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John\Downloads\"/>
    </mc:Choice>
  </mc:AlternateContent>
  <xr:revisionPtr revIDLastSave="0" documentId="13_ncr:1_{5FF6CB94-C5CB-47B8-B33C-C2174C063EE9}" xr6:coauthVersionLast="47" xr6:coauthVersionMax="47" xr10:uidLastSave="{00000000-0000-0000-0000-000000000000}"/>
  <bookViews>
    <workbookView xWindow="-108" yWindow="-108" windowWidth="23256" windowHeight="12456" firstSheet="5" activeTab="8" xr2:uid="{00000000-000D-0000-FFFF-FFFF00000000}"/>
  </bookViews>
  <sheets>
    <sheet name="Table S1" sheetId="1" r:id="rId1"/>
    <sheet name="Table S2" sheetId="2" r:id="rId2"/>
    <sheet name="Table S3" sheetId="3" r:id="rId3"/>
    <sheet name="Table S4" sheetId="4" r:id="rId4"/>
    <sheet name="Table S5" sheetId="5" r:id="rId5"/>
    <sheet name="Table S6" sheetId="13" r:id="rId6"/>
    <sheet name="Table S7" sheetId="6" r:id="rId7"/>
    <sheet name="Table S8" sheetId="7" r:id="rId8"/>
    <sheet name="Table S9" sheetId="14" r:id="rId9"/>
    <sheet name="Table S10" sheetId="8" r:id="rId10"/>
    <sheet name="Table S11" sheetId="9" r:id="rId11"/>
    <sheet name="Table S12" sheetId="10" r:id="rId12"/>
    <sheet name="Table S13" sheetId="11" r:id="rId13"/>
    <sheet name="Table S14" sheetId="12"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6" roundtripDataChecksum="+U5XoOzDEkyG+mw/Ef8eu1I9cWZ+FyEEDQ31wcqaiZ8="/>
    </ext>
  </extLst>
</workbook>
</file>

<file path=xl/calcChain.xml><?xml version="1.0" encoding="utf-8"?>
<calcChain xmlns="http://schemas.openxmlformats.org/spreadsheetml/2006/main">
  <c r="O24" i="12" l="1"/>
  <c r="P24" i="12" s="1"/>
  <c r="H24" i="12"/>
  <c r="G24" i="12"/>
  <c r="P23" i="12"/>
  <c r="O23" i="12"/>
  <c r="G23" i="12"/>
  <c r="H23" i="12" s="1"/>
  <c r="O22" i="12"/>
  <c r="P22" i="12" s="1"/>
  <c r="H22" i="12"/>
  <c r="G22" i="12"/>
  <c r="P21" i="12"/>
  <c r="O21" i="12"/>
  <c r="G21" i="12"/>
  <c r="H21" i="12" s="1"/>
  <c r="O20" i="12"/>
  <c r="P20" i="12" s="1"/>
  <c r="H20" i="12"/>
  <c r="G20" i="12"/>
  <c r="P19" i="12"/>
  <c r="O19" i="12"/>
  <c r="G19" i="12"/>
  <c r="H19" i="12" s="1"/>
  <c r="O18" i="12"/>
  <c r="P18" i="12" s="1"/>
  <c r="H18" i="12"/>
  <c r="G18" i="12"/>
  <c r="P17" i="12"/>
  <c r="O17" i="12"/>
  <c r="G17" i="12"/>
  <c r="H17" i="12" s="1"/>
  <c r="O16" i="12"/>
  <c r="P16" i="12" s="1"/>
  <c r="H16" i="12"/>
  <c r="G16" i="12"/>
  <c r="P15" i="12"/>
  <c r="O15" i="12"/>
  <c r="G15" i="12"/>
  <c r="H15" i="12" s="1"/>
  <c r="O14" i="12"/>
  <c r="P14" i="12" s="1"/>
  <c r="H14" i="12"/>
  <c r="G14" i="12"/>
  <c r="P13" i="12"/>
  <c r="O13" i="12"/>
  <c r="G13" i="12"/>
  <c r="H13" i="12" s="1"/>
  <c r="O12" i="12"/>
  <c r="P12" i="12" s="1"/>
  <c r="H12" i="12"/>
  <c r="G12" i="12"/>
  <c r="P11" i="12"/>
  <c r="O11" i="12"/>
  <c r="G11" i="12"/>
  <c r="H11" i="12" s="1"/>
  <c r="O10" i="12"/>
  <c r="P10" i="12" s="1"/>
  <c r="H10" i="12"/>
  <c r="G10" i="12"/>
  <c r="P9" i="12"/>
  <c r="O9" i="12"/>
  <c r="G9" i="12"/>
  <c r="H9" i="12" s="1"/>
  <c r="O8" i="12"/>
  <c r="P8" i="12" s="1"/>
  <c r="H8" i="12"/>
  <c r="G8" i="12"/>
  <c r="P7" i="12"/>
  <c r="O7" i="12"/>
  <c r="G7" i="12"/>
  <c r="H7" i="12" s="1"/>
  <c r="O6" i="12"/>
  <c r="P6" i="12" s="1"/>
  <c r="H6" i="12"/>
  <c r="G6" i="12"/>
  <c r="P5" i="12"/>
  <c r="O5" i="12"/>
  <c r="G5" i="12"/>
  <c r="H5" i="12" s="1"/>
  <c r="L34" i="8"/>
  <c r="K34" i="8"/>
  <c r="L33" i="8"/>
  <c r="K33" i="8"/>
  <c r="L32" i="8"/>
  <c r="K32" i="8"/>
  <c r="L31" i="8"/>
  <c r="K31" i="8"/>
  <c r="L30" i="8"/>
  <c r="K30" i="8"/>
  <c r="L29" i="8"/>
  <c r="K29" i="8"/>
  <c r="L28" i="8"/>
  <c r="K28" i="8"/>
  <c r="L27" i="8"/>
  <c r="K27" i="8"/>
  <c r="L26" i="8"/>
  <c r="K26" i="8"/>
  <c r="L25" i="8"/>
  <c r="K25" i="8"/>
  <c r="L24" i="8"/>
  <c r="K24" i="8"/>
  <c r="L23" i="8"/>
  <c r="K23" i="8"/>
  <c r="L22" i="8"/>
  <c r="K22" i="8"/>
  <c r="L21" i="8"/>
  <c r="K21" i="8"/>
  <c r="L20" i="8"/>
  <c r="K20" i="8"/>
  <c r="L19" i="8"/>
  <c r="K19" i="8"/>
  <c r="L18" i="8"/>
  <c r="K18" i="8"/>
  <c r="L17" i="8"/>
  <c r="K17" i="8"/>
  <c r="L16" i="8"/>
  <c r="K16" i="8"/>
  <c r="L15" i="8"/>
  <c r="K15" i="8"/>
  <c r="L14" i="8"/>
  <c r="K14" i="8"/>
  <c r="L13" i="8"/>
  <c r="K13" i="8"/>
  <c r="L12" i="8"/>
  <c r="K12" i="8"/>
  <c r="L11" i="8"/>
  <c r="K11" i="8"/>
  <c r="L10" i="8"/>
  <c r="K10" i="8"/>
  <c r="L9" i="8"/>
  <c r="K9" i="8"/>
  <c r="L8" i="8"/>
  <c r="K8" i="8"/>
  <c r="L7" i="8"/>
  <c r="K7" i="8"/>
  <c r="L6" i="8"/>
  <c r="K6" i="8"/>
  <c r="L5" i="8"/>
  <c r="K5" i="8"/>
  <c r="L4" i="8"/>
  <c r="K4" i="8"/>
  <c r="L3" i="8"/>
  <c r="K3" i="8"/>
  <c r="L2" i="8"/>
  <c r="K2" i="8"/>
  <c r="F20" i="6"/>
  <c r="N35" i="2"/>
  <c r="G35" i="2"/>
  <c r="F35" i="2"/>
  <c r="E35" i="2"/>
  <c r="N33" i="2"/>
  <c r="I33" i="2"/>
  <c r="N32" i="2"/>
  <c r="I32" i="2"/>
  <c r="N31" i="2"/>
  <c r="I31" i="2"/>
  <c r="N30" i="2"/>
  <c r="I30" i="2"/>
  <c r="N29" i="2"/>
  <c r="I29" i="2"/>
  <c r="N28" i="2"/>
  <c r="I28" i="2"/>
  <c r="N27" i="2"/>
  <c r="I27" i="2"/>
  <c r="N26" i="2"/>
  <c r="I26" i="2"/>
  <c r="N25" i="2"/>
  <c r="I25" i="2"/>
  <c r="N24" i="2"/>
  <c r="I24" i="2"/>
  <c r="N23" i="2"/>
  <c r="I23" i="2"/>
  <c r="N22" i="2"/>
  <c r="H22" i="2"/>
  <c r="I22" i="2" s="1"/>
  <c r="N21" i="2"/>
  <c r="I21" i="2"/>
  <c r="N20" i="2"/>
  <c r="I20" i="2"/>
  <c r="N19" i="2"/>
  <c r="I19" i="2"/>
  <c r="N18" i="2"/>
  <c r="I18" i="2"/>
  <c r="N17" i="2"/>
  <c r="I17" i="2"/>
  <c r="N16" i="2"/>
  <c r="I16" i="2"/>
  <c r="M15" i="2"/>
  <c r="L15" i="2"/>
  <c r="K15" i="2"/>
  <c r="J15" i="2"/>
  <c r="N15" i="2" s="1"/>
  <c r="I15" i="2"/>
  <c r="N14" i="2"/>
  <c r="I14" i="2"/>
  <c r="N13" i="2"/>
  <c r="I13" i="2"/>
  <c r="N12" i="2"/>
  <c r="I12" i="2"/>
  <c r="N11" i="2"/>
  <c r="I11" i="2"/>
  <c r="N10" i="2"/>
  <c r="I10" i="2"/>
  <c r="N9" i="2"/>
  <c r="I9" i="2"/>
  <c r="N8" i="2"/>
  <c r="I8" i="2"/>
  <c r="N7" i="2"/>
  <c r="I7" i="2"/>
  <c r="N6" i="2"/>
  <c r="I6" i="2"/>
  <c r="N5" i="2"/>
  <c r="I5" i="2"/>
  <c r="N4" i="2"/>
  <c r="I4" i="2"/>
  <c r="N3" i="2"/>
  <c r="M3" i="2"/>
  <c r="L3" i="2"/>
  <c r="K3" i="2"/>
  <c r="J3" i="2"/>
  <c r="I3" i="2"/>
  <c r="H35" i="2" l="1"/>
  <c r="I35" i="2" s="1"/>
</calcChain>
</file>

<file path=xl/sharedStrings.xml><?xml version="1.0" encoding="utf-8"?>
<sst xmlns="http://schemas.openxmlformats.org/spreadsheetml/2006/main" count="2926" uniqueCount="1226">
  <si>
    <t>Variant</t>
  </si>
  <si>
    <r>
      <rPr>
        <b/>
        <sz val="11"/>
        <color theme="1"/>
        <rFont val="Arial"/>
      </rPr>
      <t>alpha (</t>
    </r>
    <r>
      <rPr>
        <b/>
        <sz val="11"/>
        <color theme="1"/>
        <rFont val="Symbol"/>
      </rPr>
      <t>a</t>
    </r>
    <r>
      <rPr>
        <b/>
        <sz val="11"/>
        <color theme="1"/>
        <rFont val="Arial"/>
      </rPr>
      <t>)</t>
    </r>
  </si>
  <si>
    <r>
      <rPr>
        <b/>
        <sz val="11"/>
        <color theme="1"/>
        <rFont val="Arial"/>
      </rPr>
      <t>beta (</t>
    </r>
    <r>
      <rPr>
        <b/>
        <sz val="11"/>
        <color theme="1"/>
        <rFont val="Symbol"/>
      </rPr>
      <t>b</t>
    </r>
    <r>
      <rPr>
        <b/>
        <sz val="11"/>
        <color theme="1"/>
        <rFont val="Arial"/>
      </rPr>
      <t>)</t>
    </r>
  </si>
  <si>
    <r>
      <rPr>
        <b/>
        <sz val="11"/>
        <color theme="1"/>
        <rFont val="Arial"/>
      </rPr>
      <t>delta (</t>
    </r>
    <r>
      <rPr>
        <b/>
        <sz val="11"/>
        <color theme="1"/>
        <rFont val="Symbol"/>
      </rPr>
      <t>d</t>
    </r>
    <r>
      <rPr>
        <b/>
        <sz val="11"/>
        <color theme="1"/>
        <rFont val="Arial"/>
      </rPr>
      <t>)</t>
    </r>
  </si>
  <si>
    <r>
      <rPr>
        <b/>
        <sz val="11"/>
        <color theme="1"/>
        <rFont val="Arial"/>
      </rPr>
      <t>epsilon (</t>
    </r>
    <r>
      <rPr>
        <b/>
        <sz val="11"/>
        <color theme="1"/>
        <rFont val="Symbol"/>
      </rPr>
      <t>e</t>
    </r>
    <r>
      <rPr>
        <b/>
        <sz val="11"/>
        <color theme="1"/>
        <rFont val="Arial"/>
      </rPr>
      <t>)</t>
    </r>
  </si>
  <si>
    <r>
      <rPr>
        <b/>
        <sz val="11"/>
        <color theme="1"/>
        <rFont val="Arial"/>
      </rPr>
      <t>eta (</t>
    </r>
    <r>
      <rPr>
        <b/>
        <sz val="11"/>
        <color theme="1"/>
        <rFont val="Symbol"/>
      </rPr>
      <t>h</t>
    </r>
    <r>
      <rPr>
        <b/>
        <sz val="11"/>
        <color theme="1"/>
        <rFont val="Arial"/>
      </rPr>
      <t>)</t>
    </r>
  </si>
  <si>
    <r>
      <rPr>
        <b/>
        <sz val="11"/>
        <color theme="1"/>
        <rFont val="Arial"/>
      </rPr>
      <t>gamma (</t>
    </r>
    <r>
      <rPr>
        <b/>
        <sz val="11"/>
        <color theme="1"/>
        <rFont val="Symbol"/>
      </rPr>
      <t>g</t>
    </r>
    <r>
      <rPr>
        <b/>
        <sz val="11"/>
        <color theme="1"/>
        <rFont val="Arial"/>
      </rPr>
      <t>)</t>
    </r>
  </si>
  <si>
    <t>hongkong (HK.3)</t>
  </si>
  <si>
    <r>
      <rPr>
        <b/>
        <sz val="11"/>
        <color theme="1"/>
        <rFont val="Arial"/>
      </rPr>
      <t>iota (</t>
    </r>
    <r>
      <rPr>
        <b/>
        <sz val="11"/>
        <color theme="1"/>
        <rFont val="Symbol"/>
      </rPr>
      <t>i</t>
    </r>
    <r>
      <rPr>
        <b/>
        <sz val="11"/>
        <color theme="1"/>
        <rFont val="Arial"/>
      </rPr>
      <t>)</t>
    </r>
  </si>
  <si>
    <r>
      <rPr>
        <b/>
        <sz val="11"/>
        <color theme="1"/>
        <rFont val="Arial"/>
      </rPr>
      <t>kappa (</t>
    </r>
    <r>
      <rPr>
        <b/>
        <sz val="11"/>
        <color theme="1"/>
        <rFont val="Symbol"/>
      </rPr>
      <t>k</t>
    </r>
    <r>
      <rPr>
        <b/>
        <sz val="11"/>
        <color theme="1"/>
        <rFont val="Arial"/>
      </rPr>
      <t>)</t>
    </r>
  </si>
  <si>
    <t>kraken (Kraken)</t>
  </si>
  <si>
    <r>
      <rPr>
        <b/>
        <sz val="11"/>
        <color theme="1"/>
        <rFont val="Arial"/>
      </rPr>
      <t>lambda (</t>
    </r>
    <r>
      <rPr>
        <b/>
        <sz val="11"/>
        <color theme="1"/>
        <rFont val="Symbol"/>
      </rPr>
      <t>l</t>
    </r>
    <r>
      <rPr>
        <b/>
        <sz val="11"/>
        <color theme="1"/>
        <rFont val="Arial"/>
      </rPr>
      <t>)</t>
    </r>
  </si>
  <si>
    <r>
      <rPr>
        <b/>
        <sz val="11"/>
        <color theme="1"/>
        <rFont val="Arial"/>
      </rPr>
      <t>mu (</t>
    </r>
    <r>
      <rPr>
        <b/>
        <sz val="11"/>
        <color theme="1"/>
        <rFont val="Symbol"/>
      </rPr>
      <t>m</t>
    </r>
    <r>
      <rPr>
        <b/>
        <sz val="11"/>
        <color theme="1"/>
        <rFont val="Arial"/>
      </rPr>
      <t>)</t>
    </r>
  </si>
  <si>
    <r>
      <rPr>
        <b/>
        <sz val="11"/>
        <color theme="1"/>
        <rFont val="Arial"/>
      </rPr>
      <t>omicron (</t>
    </r>
    <r>
      <rPr>
        <b/>
        <sz val="11"/>
        <color theme="1"/>
        <rFont val="Symbol"/>
      </rPr>
      <t>o</t>
    </r>
    <r>
      <rPr>
        <b/>
        <sz val="11"/>
        <color theme="1"/>
        <rFont val="Arial"/>
      </rPr>
      <t>)</t>
    </r>
  </si>
  <si>
    <t>pirola (Pirola)</t>
  </si>
  <si>
    <t>Samples</t>
  </si>
  <si>
    <t>Proportion</t>
  </si>
  <si>
    <t>Date</t>
  </si>
  <si>
    <t>2020-02</t>
  </si>
  <si>
    <t>2020-03</t>
  </si>
  <si>
    <t>2020-04</t>
  </si>
  <si>
    <t>2020-05</t>
  </si>
  <si>
    <t>2020-06</t>
  </si>
  <si>
    <t>2020-07</t>
  </si>
  <si>
    <t>2020-08</t>
  </si>
  <si>
    <t>2020-09</t>
  </si>
  <si>
    <t>2020-10</t>
  </si>
  <si>
    <t>2020-11</t>
  </si>
  <si>
    <t>2020-12</t>
  </si>
  <si>
    <t>2020-13</t>
  </si>
  <si>
    <t>2020-14</t>
  </si>
  <si>
    <t>2020-15</t>
  </si>
  <si>
    <t>2020-16</t>
  </si>
  <si>
    <t>2020-17</t>
  </si>
  <si>
    <t>2020-18</t>
  </si>
  <si>
    <t>2020-19</t>
  </si>
  <si>
    <t>2020-20</t>
  </si>
  <si>
    <t>2020-21</t>
  </si>
  <si>
    <t>2020-22</t>
  </si>
  <si>
    <t>2020-23</t>
  </si>
  <si>
    <t>2020-24</t>
  </si>
  <si>
    <t>2020-25</t>
  </si>
  <si>
    <t>2020-26</t>
  </si>
  <si>
    <t>2020-27</t>
  </si>
  <si>
    <t>2020-28</t>
  </si>
  <si>
    <t>2020-29</t>
  </si>
  <si>
    <t>2020-30</t>
  </si>
  <si>
    <t>2020-31</t>
  </si>
  <si>
    <t>2020-32</t>
  </si>
  <si>
    <t>2020-33</t>
  </si>
  <si>
    <t>2020-34</t>
  </si>
  <si>
    <t>2020-35</t>
  </si>
  <si>
    <t>2020-36</t>
  </si>
  <si>
    <t>2020-37</t>
  </si>
  <si>
    <t>2020-38</t>
  </si>
  <si>
    <t>2020-39</t>
  </si>
  <si>
    <t>2020-40</t>
  </si>
  <si>
    <t>2020-41</t>
  </si>
  <si>
    <t>2020-42</t>
  </si>
  <si>
    <t>2020-43</t>
  </si>
  <si>
    <t>2020-44</t>
  </si>
  <si>
    <t>2020-45</t>
  </si>
  <si>
    <t>2020-46</t>
  </si>
  <si>
    <t>2020-47</t>
  </si>
  <si>
    <t>2020-48</t>
  </si>
  <si>
    <t>2020-49</t>
  </si>
  <si>
    <t>2020-50</t>
  </si>
  <si>
    <t>2020-51</t>
  </si>
  <si>
    <t>2020-52</t>
  </si>
  <si>
    <t>2020-53</t>
  </si>
  <si>
    <t>2021-01</t>
  </si>
  <si>
    <t>2021-02</t>
  </si>
  <si>
    <t>2021-03</t>
  </si>
  <si>
    <t>2021-04</t>
  </si>
  <si>
    <t>2021-05</t>
  </si>
  <si>
    <t>2021-06</t>
  </si>
  <si>
    <t>2021-07</t>
  </si>
  <si>
    <t>2021-08</t>
  </si>
  <si>
    <t>2021-09</t>
  </si>
  <si>
    <t>2021-10</t>
  </si>
  <si>
    <t>2021-11</t>
  </si>
  <si>
    <t>2021-12</t>
  </si>
  <si>
    <t>2021-13</t>
  </si>
  <si>
    <t>2021-14</t>
  </si>
  <si>
    <t>2021-15</t>
  </si>
  <si>
    <t>2021-16</t>
  </si>
  <si>
    <t>2021-17</t>
  </si>
  <si>
    <t>2021-18</t>
  </si>
  <si>
    <t>2021-19</t>
  </si>
  <si>
    <t>2021-20</t>
  </si>
  <si>
    <t>2021-21</t>
  </si>
  <si>
    <t>2021-22</t>
  </si>
  <si>
    <t>2021-23</t>
  </si>
  <si>
    <t>2021-24</t>
  </si>
  <si>
    <t>2021-25</t>
  </si>
  <si>
    <t>2021-26</t>
  </si>
  <si>
    <t>2021-27</t>
  </si>
  <si>
    <t>2021-28</t>
  </si>
  <si>
    <t>2021-29</t>
  </si>
  <si>
    <t>2021-30</t>
  </si>
  <si>
    <t>2021-31</t>
  </si>
  <si>
    <t>2021-32</t>
  </si>
  <si>
    <t>2021-33</t>
  </si>
  <si>
    <t>2021-34</t>
  </si>
  <si>
    <t>2021-35</t>
  </si>
  <si>
    <t>2021-36</t>
  </si>
  <si>
    <t>2021-37</t>
  </si>
  <si>
    <t>2021-38</t>
  </si>
  <si>
    <t>2021-39</t>
  </si>
  <si>
    <t>2021-40</t>
  </si>
  <si>
    <t>2021-41</t>
  </si>
  <si>
    <t>2021-42</t>
  </si>
  <si>
    <t>2021-43</t>
  </si>
  <si>
    <t>2021-44</t>
  </si>
  <si>
    <t>2021-45</t>
  </si>
  <si>
    <t>2021-46</t>
  </si>
  <si>
    <t>2021-47</t>
  </si>
  <si>
    <t>2021-48</t>
  </si>
  <si>
    <t>2021-49</t>
  </si>
  <si>
    <t>2021-50</t>
  </si>
  <si>
    <t>2021-51</t>
  </si>
  <si>
    <t>2021-52</t>
  </si>
  <si>
    <t>2022-01</t>
  </si>
  <si>
    <t>2022-02</t>
  </si>
  <si>
    <t>2022-03</t>
  </si>
  <si>
    <t>2022-04</t>
  </si>
  <si>
    <t>2022-05</t>
  </si>
  <si>
    <t>2022-06</t>
  </si>
  <si>
    <t>2022-07</t>
  </si>
  <si>
    <t>2022-08</t>
  </si>
  <si>
    <t>2022-09</t>
  </si>
  <si>
    <t>2022-10</t>
  </si>
  <si>
    <t>2022-11</t>
  </si>
  <si>
    <t>2022-12</t>
  </si>
  <si>
    <t>2022-13</t>
  </si>
  <si>
    <t>2022-14</t>
  </si>
  <si>
    <t>2022-15</t>
  </si>
  <si>
    <t>2022-16</t>
  </si>
  <si>
    <t>2022-17</t>
  </si>
  <si>
    <t>2022-18</t>
  </si>
  <si>
    <t>2022-19</t>
  </si>
  <si>
    <t>2022-20</t>
  </si>
  <si>
    <t>2022-21</t>
  </si>
  <si>
    <t>2022-22</t>
  </si>
  <si>
    <t>2022-23</t>
  </si>
  <si>
    <t>2022-24</t>
  </si>
  <si>
    <t>2022-25</t>
  </si>
  <si>
    <t>2022-26</t>
  </si>
  <si>
    <t>2022-27</t>
  </si>
  <si>
    <t>2022-28</t>
  </si>
  <si>
    <t>2022-29</t>
  </si>
  <si>
    <t>2022-30</t>
  </si>
  <si>
    <t>2022-31</t>
  </si>
  <si>
    <t>2022-32</t>
  </si>
  <si>
    <t>2022-33</t>
  </si>
  <si>
    <t>2022-34</t>
  </si>
  <si>
    <t>2022-35</t>
  </si>
  <si>
    <t>2022-36</t>
  </si>
  <si>
    <t>2022-37</t>
  </si>
  <si>
    <t>2022-38</t>
  </si>
  <si>
    <t>2022-39</t>
  </si>
  <si>
    <t>2022-40</t>
  </si>
  <si>
    <t>2022-41</t>
  </si>
  <si>
    <t>2022-42</t>
  </si>
  <si>
    <t>2022-43</t>
  </si>
  <si>
    <t>2022-44</t>
  </si>
  <si>
    <t>2022-45</t>
  </si>
  <si>
    <t>2022-46</t>
  </si>
  <si>
    <t>2022-47</t>
  </si>
  <si>
    <t>2022-48</t>
  </si>
  <si>
    <t>2022-49</t>
  </si>
  <si>
    <t>2022-50</t>
  </si>
  <si>
    <t>2022-51</t>
  </si>
  <si>
    <t>2022-52</t>
  </si>
  <si>
    <t>2023-01</t>
  </si>
  <si>
    <t>2023-02</t>
  </si>
  <si>
    <t>2023-03</t>
  </si>
  <si>
    <t>2023-04</t>
  </si>
  <si>
    <t>2023-05</t>
  </si>
  <si>
    <t>2023-06</t>
  </si>
  <si>
    <t>2023-07</t>
  </si>
  <si>
    <t>2023-08</t>
  </si>
  <si>
    <t>2023-09</t>
  </si>
  <si>
    <t>2023-10</t>
  </si>
  <si>
    <t>2023-11</t>
  </si>
  <si>
    <t>2023-12</t>
  </si>
  <si>
    <t>2023-13</t>
  </si>
  <si>
    <t>2023-14</t>
  </si>
  <si>
    <t>2023-15</t>
  </si>
  <si>
    <t>2023-16</t>
  </si>
  <si>
    <t>2023-17</t>
  </si>
  <si>
    <t>2023-18</t>
  </si>
  <si>
    <t>2023-19</t>
  </si>
  <si>
    <t>2023-20</t>
  </si>
  <si>
    <t>2023-21</t>
  </si>
  <si>
    <t>2023-22</t>
  </si>
  <si>
    <t>2023-23</t>
  </si>
  <si>
    <t>2023-24</t>
  </si>
  <si>
    <t>2023-25</t>
  </si>
  <si>
    <t>2023-26</t>
  </si>
  <si>
    <t>2023-27</t>
  </si>
  <si>
    <t>2023-28</t>
  </si>
  <si>
    <t>2023-29</t>
  </si>
  <si>
    <t>2023-30</t>
  </si>
  <si>
    <t>2023-31</t>
  </si>
  <si>
    <t>2023-32</t>
  </si>
  <si>
    <t>2023-33</t>
  </si>
  <si>
    <t>2023-34</t>
  </si>
  <si>
    <t>2023-35</t>
  </si>
  <si>
    <t>2023-36</t>
  </si>
  <si>
    <t>2023-37</t>
  </si>
  <si>
    <t>2023-38</t>
  </si>
  <si>
    <t>2023-39</t>
  </si>
  <si>
    <t>2023-40</t>
  </si>
  <si>
    <t>2023-41</t>
  </si>
  <si>
    <t>2023-42</t>
  </si>
  <si>
    <t>2023-43</t>
  </si>
  <si>
    <t>2023-44</t>
  </si>
  <si>
    <t>2023-45</t>
  </si>
  <si>
    <t>2023-46</t>
  </si>
  <si>
    <t>2023-47</t>
  </si>
  <si>
    <t>2023-48</t>
  </si>
  <si>
    <t>2023-49</t>
  </si>
  <si>
    <t>2023-50</t>
  </si>
  <si>
    <t>2023-51</t>
  </si>
  <si>
    <t>2023-52</t>
  </si>
  <si>
    <t>2024-01</t>
  </si>
  <si>
    <t>2024-02</t>
  </si>
  <si>
    <t>2024-03</t>
  </si>
  <si>
    <t>2024-04</t>
  </si>
  <si>
    <t>2024-05</t>
  </si>
  <si>
    <t>2024-06</t>
  </si>
  <si>
    <t>2024-07</t>
  </si>
  <si>
    <t>2024-08</t>
  </si>
  <si>
    <t>2024-09</t>
  </si>
  <si>
    <t>2024-10</t>
  </si>
  <si>
    <t>2024-11</t>
  </si>
  <si>
    <t>2024-12</t>
  </si>
  <si>
    <t>2024-13</t>
  </si>
  <si>
    <t>2024-14</t>
  </si>
  <si>
    <t>2024-15</t>
  </si>
  <si>
    <t>2024-16</t>
  </si>
  <si>
    <t>2024-17</t>
  </si>
  <si>
    <t>2024-18</t>
  </si>
  <si>
    <t>2024-19</t>
  </si>
  <si>
    <t>2024-20</t>
  </si>
  <si>
    <t>2024-21</t>
  </si>
  <si>
    <t>2024-22</t>
  </si>
  <si>
    <t>2024-23</t>
  </si>
  <si>
    <t>2024-24</t>
  </si>
  <si>
    <t>2024-25</t>
  </si>
  <si>
    <r>
      <rPr>
        <b/>
        <sz val="11"/>
        <color theme="1"/>
        <rFont val="Arial"/>
      </rPr>
      <t xml:space="preserve">Table S1: COVID-19 Sequencing Frequency Over Time. </t>
    </r>
    <r>
      <rPr>
        <sz val="11"/>
        <color theme="1"/>
        <rFont val="Arial"/>
      </rPr>
      <t xml:space="preserve">Number of COVID-19 sequences deposited into the GISAID database over time for each variant.  </t>
    </r>
    <r>
      <rPr>
        <b/>
        <sz val="11"/>
        <color theme="1"/>
        <rFont val="Arial"/>
      </rPr>
      <t>T</t>
    </r>
    <r>
      <rPr>
        <sz val="11"/>
        <color theme="1"/>
        <rFont val="Arial"/>
      </rPr>
      <t>he number of sequences and the proportion of total sequences across all variants submitted are listed for each week from January 2020 through June 2024. Within each variant, the bolded data encapsulates the weeks where the sequence number was above 10 for three consecutive weeks through when the sequence number drops below 10 for three consecutive weeks. For each variant, the persistance value is calculated by mutiplying the length of the timeframe by the maximum frequency in the population. Weekly persistence values were converted to days for the analysis.</t>
    </r>
  </si>
  <si>
    <t>Gene Name</t>
  </si>
  <si>
    <t>Subgene</t>
  </si>
  <si>
    <t>Start Position</t>
  </si>
  <si>
    <t>Stop Position</t>
  </si>
  <si>
    <t>Length</t>
  </si>
  <si>
    <t>4-fold Sites</t>
  </si>
  <si>
    <t>overlapping 4-fold sites</t>
  </si>
  <si>
    <t>analyzed  4-fold sites</t>
  </si>
  <si>
    <t>analyzable 4-fold ratio</t>
  </si>
  <si>
    <t>G</t>
  </si>
  <si>
    <t>A</t>
  </si>
  <si>
    <t>C</t>
  </si>
  <si>
    <t>T</t>
  </si>
  <si>
    <t>GC content</t>
  </si>
  <si>
    <t>ORF1a</t>
  </si>
  <si>
    <t>nsp1</t>
  </si>
  <si>
    <t>nsp2</t>
  </si>
  <si>
    <t>nsp3</t>
  </si>
  <si>
    <t>nsp4</t>
  </si>
  <si>
    <t>nsp5</t>
  </si>
  <si>
    <t>nsp6</t>
  </si>
  <si>
    <t>nsp7</t>
  </si>
  <si>
    <t>nsp8</t>
  </si>
  <si>
    <t>nsp9</t>
  </si>
  <si>
    <t>nsp10</t>
  </si>
  <si>
    <t>nsp11</t>
  </si>
  <si>
    <t>ORF1b</t>
  </si>
  <si>
    <t xml:space="preserve">nsp12 (rdrp) </t>
  </si>
  <si>
    <t>nsp13</t>
  </si>
  <si>
    <t>nsp14</t>
  </si>
  <si>
    <t>nsp15</t>
  </si>
  <si>
    <t>nsp16</t>
  </si>
  <si>
    <t>S</t>
  </si>
  <si>
    <t>ORF3a</t>
  </si>
  <si>
    <t>ORF3b</t>
  </si>
  <si>
    <t>E</t>
  </si>
  <si>
    <t>M</t>
  </si>
  <si>
    <t>ORF6</t>
  </si>
  <si>
    <t>ORF7a</t>
  </si>
  <si>
    <t>ORF7b</t>
  </si>
  <si>
    <t>ORF8</t>
  </si>
  <si>
    <t>N</t>
  </si>
  <si>
    <t>ORF9b</t>
  </si>
  <si>
    <t>ORF9c</t>
  </si>
  <si>
    <t>ORF10</t>
  </si>
  <si>
    <t>Total</t>
  </si>
  <si>
    <r>
      <rPr>
        <b/>
        <sz val="11"/>
        <color theme="1"/>
        <rFont val="Arial"/>
      </rPr>
      <t>Table S2: COVID-19 Analyzed Gene Positions.</t>
    </r>
    <r>
      <rPr>
        <sz val="11"/>
        <color theme="1"/>
        <rFont val="Arial"/>
      </rPr>
      <t xml:space="preserve"> This table displays the nucleotide content and start and stop position of each gene or subgene within COVID-19 based upon the COVID-19 NCBI and GISAID reference sequence gene annotations (NC_45512.2, EPI_ISL_402124). There is a noted frameshift (-1 bp) seperating ORF1a and ORF1b at position 13468, so 4-fold sites in ORF1b after that position are no analyzed. Length indicates the number of nucleotides of each gene. Overlapping 4-fold sites refers to the number of 4-fold sites in a gene that overlaps with another gene and are excluded from analysis. </t>
    </r>
  </si>
  <si>
    <t>T&gt;G</t>
  </si>
  <si>
    <t>T&gt;C</t>
  </si>
  <si>
    <t>T&gt;A</t>
  </si>
  <si>
    <t>G&gt;T</t>
  </si>
  <si>
    <t>G&gt;C</t>
  </si>
  <si>
    <t>G&gt;A</t>
  </si>
  <si>
    <t>C&gt;T</t>
  </si>
  <si>
    <t>C&gt;G</t>
  </si>
  <si>
    <t>C&gt;A</t>
  </si>
  <si>
    <t>A&gt;T</t>
  </si>
  <si>
    <t>A&gt;G</t>
  </si>
  <si>
    <t>A&gt;C</t>
  </si>
  <si>
    <t>T[X&gt;Y]T</t>
  </si>
  <si>
    <t>T[X&gt;Y]G</t>
  </si>
  <si>
    <t>T[X&gt;Y]C</t>
  </si>
  <si>
    <t>T[X&gt;Y]A</t>
  </si>
  <si>
    <t>G[X&gt;Y]T</t>
  </si>
  <si>
    <t>G[X&gt;Y]G</t>
  </si>
  <si>
    <t>G[X&gt;Y]C</t>
  </si>
  <si>
    <t>G[X&gt;Y]A</t>
  </si>
  <si>
    <t>C[X&gt;Y]T</t>
  </si>
  <si>
    <t>C[X&gt;Y]G</t>
  </si>
  <si>
    <t>C[X&gt;Y]C</t>
  </si>
  <si>
    <t>C[X&gt;Y]A</t>
  </si>
  <si>
    <t>A[X&gt;Y]T</t>
  </si>
  <si>
    <t>A[X&gt;Y]G</t>
  </si>
  <si>
    <t>A[X&gt;Y]C</t>
  </si>
  <si>
    <t>A[X&gt;Y]A</t>
  </si>
  <si>
    <t>Alpha</t>
  </si>
  <si>
    <t>Beta</t>
  </si>
  <si>
    <t>Delta</t>
  </si>
  <si>
    <t>Gamma</t>
  </si>
  <si>
    <t>Omnicron</t>
  </si>
  <si>
    <t>USA</t>
  </si>
  <si>
    <r>
      <rPr>
        <b/>
        <sz val="11"/>
        <color theme="1"/>
        <rFont val="Arial"/>
      </rPr>
      <t xml:space="preserve">Table S3. Content-dependent Mutation Matrices. </t>
    </r>
    <r>
      <rPr>
        <sz val="11"/>
        <color theme="1"/>
        <rFont val="Arial"/>
      </rPr>
      <t xml:space="preserve">Context-dependent mutation matrices were calculated for each variant and the grouped variants (Total) with data obtained from Gout et. al (6). Each value is calculated by averaging the frequency of mutations at a given type and context. These values range from 0 to 1, where a 1 indicates that every single site at an observed context contains mutation of this type. </t>
    </r>
  </si>
  <si>
    <t>All</t>
  </si>
  <si>
    <t>Persistent</t>
  </si>
  <si>
    <t>Transient</t>
  </si>
  <si>
    <t>Hongkong</t>
  </si>
  <si>
    <t>Kraken</t>
  </si>
  <si>
    <t>Omicron</t>
  </si>
  <si>
    <t>Pirola</t>
  </si>
  <si>
    <r>
      <rPr>
        <b/>
        <sz val="11"/>
        <color theme="1"/>
        <rFont val="Arial"/>
      </rPr>
      <t xml:space="preserve">Table S4. Context-dependent Polymorphism Matrices. </t>
    </r>
    <r>
      <rPr>
        <sz val="11"/>
        <color theme="1"/>
        <rFont val="Arial"/>
      </rPr>
      <t>Context-dependent polymorphism matrices were calculated for each variant (Alpha, Delta, Hongkong, Kraken, Omicron, Pirola) and the grouped variants (Pooled, Persistent, Transient) at analyzable four-fold degenerate sites (see Table S2) with sufficient sequence coverage (MAF = 10 out of 2×10^5 sequences). Each value is calculated by taking the sum of the number of a polymorphism at a given context divided by the total number of that context in the genome (frequency range: 0 to 1).</t>
    </r>
  </si>
  <si>
    <t>alpha</t>
  </si>
  <si>
    <t>delta</t>
  </si>
  <si>
    <t>kraken</t>
  </si>
  <si>
    <t>omicron</t>
  </si>
  <si>
    <t>pirola</t>
  </si>
  <si>
    <t>all</t>
  </si>
  <si>
    <t>persistent</t>
  </si>
  <si>
    <t>transient</t>
  </si>
  <si>
    <t>total</t>
  </si>
  <si>
    <t>4-fold</t>
  </si>
  <si>
    <t>4-fold   transitions</t>
  </si>
  <si>
    <t>4-fold   transversions</t>
  </si>
  <si>
    <t>4-fold   ts/tv</t>
  </si>
  <si>
    <t>beta</t>
  </si>
  <si>
    <t>epsilon</t>
  </si>
  <si>
    <t>eta</t>
  </si>
  <si>
    <t>gamma</t>
  </si>
  <si>
    <t>hongkong</t>
  </si>
  <si>
    <t>iota</t>
  </si>
  <si>
    <t>kappa</t>
  </si>
  <si>
    <t>lambda</t>
  </si>
  <si>
    <t>mu</t>
  </si>
  <si>
    <t>average</t>
  </si>
  <si>
    <t>1) Context-dependent Matrices</t>
  </si>
  <si>
    <t>Correlation Coefficient</t>
  </si>
  <si>
    <t>P-value</t>
  </si>
  <si>
    <t>CDP Variant</t>
  </si>
  <si>
    <t>CDM subset</t>
  </si>
  <si>
    <t>CDM variant</t>
  </si>
  <si>
    <t>Lethal</t>
  </si>
  <si>
    <t>usa</t>
  </si>
  <si>
    <t>Non-lethal</t>
  </si>
  <si>
    <t>Combined</t>
  </si>
  <si>
    <t>2) Context-dependent Matrices Without C&gt;U SNP Type</t>
  </si>
  <si>
    <t>3) TSTV matrices</t>
  </si>
  <si>
    <t>4) Naive matrices</t>
  </si>
  <si>
    <t>region index</t>
  </si>
  <si>
    <t>start</t>
  </si>
  <si>
    <t>end</t>
  </si>
  <si>
    <t>length</t>
  </si>
  <si>
    <t>genes</t>
  </si>
  <si>
    <t>significant regions</t>
  </si>
  <si>
    <t>high allele frequency</t>
  </si>
  <si>
    <t>low allele frequency</t>
  </si>
  <si>
    <t>high SNP count</t>
  </si>
  <si>
    <t>low SNP count</t>
  </si>
  <si>
    <t>magnitude of SNP frequency</t>
  </si>
  <si>
    <t>magnitude of SNP count</t>
  </si>
  <si>
    <t>nsp 1</t>
  </si>
  <si>
    <t>q</t>
  </si>
  <si>
    <t>nsp 2</t>
  </si>
  <si>
    <t>nsp 3</t>
  </si>
  <si>
    <t>s</t>
  </si>
  <si>
    <t>nsps 3, 4</t>
  </si>
  <si>
    <t>nsp 4</t>
  </si>
  <si>
    <t>nsp 5</t>
  </si>
  <si>
    <t>nsps 5, 6</t>
  </si>
  <si>
    <t>nsps 6, 7</t>
  </si>
  <si>
    <t>nsps 7-9</t>
  </si>
  <si>
    <t>nsps 9, 10</t>
  </si>
  <si>
    <t>t</t>
  </si>
  <si>
    <t>nsp 12</t>
  </si>
  <si>
    <t>nsps 12, 13</t>
  </si>
  <si>
    <t>nsp 13</t>
  </si>
  <si>
    <t>u</t>
  </si>
  <si>
    <t>nsps 13, 14</t>
  </si>
  <si>
    <t>nsp 14</t>
  </si>
  <si>
    <t>nsps 14, 15</t>
  </si>
  <si>
    <t>nsps 15, 16</t>
  </si>
  <si>
    <t>nsp 16</t>
  </si>
  <si>
    <t>nsp 16 and Spike</t>
  </si>
  <si>
    <t>Spike</t>
  </si>
  <si>
    <t>v_1</t>
  </si>
  <si>
    <t>E, M</t>
  </si>
  <si>
    <t>x</t>
  </si>
  <si>
    <t>ORF7a, ORF7b</t>
  </si>
  <si>
    <t>y</t>
  </si>
  <si>
    <t>ORF8, N</t>
  </si>
  <si>
    <t>z</t>
  </si>
  <si>
    <t>gene</t>
  </si>
  <si>
    <t>position</t>
  </si>
  <si>
    <t>ref</t>
  </si>
  <si>
    <t>SNP</t>
  </si>
  <si>
    <t>original triplet</t>
  </si>
  <si>
    <t>SNP triplet</t>
  </si>
  <si>
    <t>AA change</t>
  </si>
  <si>
    <t>AA change (frameshift)</t>
  </si>
  <si>
    <t>Nonsyn</t>
  </si>
  <si>
    <t>Allele Frequency</t>
  </si>
  <si>
    <t>persistent count (+)</t>
  </si>
  <si>
    <t>transient count (-)</t>
  </si>
  <si>
    <t>omicron variants count (*)</t>
  </si>
  <si>
    <t>alpha (+)</t>
  </si>
  <si>
    <t>delta (+)</t>
  </si>
  <si>
    <t>kraken (+, *)</t>
  </si>
  <si>
    <t>omicron (+,*)</t>
  </si>
  <si>
    <t>pirola (+,*)</t>
  </si>
  <si>
    <t>hongkong (*)</t>
  </si>
  <si>
    <t>beta (-)</t>
  </si>
  <si>
    <t>epsilon (-)</t>
  </si>
  <si>
    <t>eta (-)</t>
  </si>
  <si>
    <t>gamma (-)</t>
  </si>
  <si>
    <t>iota (-)</t>
  </si>
  <si>
    <t>kappa (-)</t>
  </si>
  <si>
    <t>lambda (-)</t>
  </si>
  <si>
    <t>mu (-)</t>
  </si>
  <si>
    <t>AAA</t>
  </si>
  <si>
    <t>AGA</t>
  </si>
  <si>
    <t>A405G</t>
  </si>
  <si>
    <t>K47R</t>
  </si>
  <si>
    <t>U</t>
  </si>
  <si>
    <t>AGU</t>
  </si>
  <si>
    <t>AGG</t>
  </si>
  <si>
    <t>U670G</t>
  </si>
  <si>
    <t>S135R</t>
  </si>
  <si>
    <t>GAU</t>
  </si>
  <si>
    <t>GAC</t>
  </si>
  <si>
    <t>U733C</t>
  </si>
  <si>
    <t>D156D</t>
  </si>
  <si>
    <t>GCU</t>
  </si>
  <si>
    <t>C897A</t>
  </si>
  <si>
    <t>A31D</t>
  </si>
  <si>
    <t>UCC</t>
  </si>
  <si>
    <t>UCU</t>
  </si>
  <si>
    <t>C913U</t>
  </si>
  <si>
    <t>S36S</t>
  </si>
  <si>
    <t>ACC</t>
  </si>
  <si>
    <t>AUC</t>
  </si>
  <si>
    <t>C1059U</t>
  </si>
  <si>
    <t>T85I</t>
  </si>
  <si>
    <t>UUC</t>
  </si>
  <si>
    <t>UUU</t>
  </si>
  <si>
    <t>C1498U</t>
  </si>
  <si>
    <t>F231F</t>
  </si>
  <si>
    <t>GGA</t>
  </si>
  <si>
    <t>GGG</t>
  </si>
  <si>
    <t>A1807G</t>
  </si>
  <si>
    <t>G334G</t>
  </si>
  <si>
    <t>GUU</t>
  </si>
  <si>
    <t>C2334U</t>
  </si>
  <si>
    <t>A510V</t>
  </si>
  <si>
    <t>GUC</t>
  </si>
  <si>
    <t>C2395U</t>
  </si>
  <si>
    <t>V530V</t>
  </si>
  <si>
    <t>UUG</t>
  </si>
  <si>
    <t>CUG</t>
  </si>
  <si>
    <t>U2597C</t>
  </si>
  <si>
    <t>L598L</t>
  </si>
  <si>
    <t>AAG</t>
  </si>
  <si>
    <t>G2659A</t>
  </si>
  <si>
    <t>K618K</t>
  </si>
  <si>
    <t>ACA</t>
  </si>
  <si>
    <t>ACU</t>
  </si>
  <si>
    <t>A2692U</t>
  </si>
  <si>
    <t>T629T</t>
  </si>
  <si>
    <t>C2749U</t>
  </si>
  <si>
    <t>D10D</t>
  </si>
  <si>
    <t>AUU</t>
  </si>
  <si>
    <t>C2790U</t>
  </si>
  <si>
    <t>T24I</t>
  </si>
  <si>
    <t>A2832G</t>
  </si>
  <si>
    <t>K38R</t>
  </si>
  <si>
    <t>C3037U</t>
  </si>
  <si>
    <t>F106F</t>
  </si>
  <si>
    <t>C3267U</t>
  </si>
  <si>
    <t>T183I</t>
  </si>
  <si>
    <t>GCA</t>
  </si>
  <si>
    <t>A3428G</t>
  </si>
  <si>
    <t>T237A</t>
  </si>
  <si>
    <t>GUG</t>
  </si>
  <si>
    <t>G3431U</t>
  </si>
  <si>
    <t>V238L</t>
  </si>
  <si>
    <t>UAC</t>
  </si>
  <si>
    <t>UAU</t>
  </si>
  <si>
    <t>C3457U</t>
  </si>
  <si>
    <t>Y246Y</t>
  </si>
  <si>
    <t>GGU</t>
  </si>
  <si>
    <t>GGC</t>
  </si>
  <si>
    <t>U3565C</t>
  </si>
  <si>
    <t>G282G</t>
  </si>
  <si>
    <t>UCA</t>
  </si>
  <si>
    <t>UUA</t>
  </si>
  <si>
    <t>C3828U</t>
  </si>
  <si>
    <t>S370L</t>
  </si>
  <si>
    <t>C4002U</t>
  </si>
  <si>
    <t>T428I</t>
  </si>
  <si>
    <t>G4181U</t>
  </si>
  <si>
    <t>A488S</t>
  </si>
  <si>
    <t>G4184A</t>
  </si>
  <si>
    <t>G489S</t>
  </si>
  <si>
    <t>GCC</t>
  </si>
  <si>
    <t>C4321U</t>
  </si>
  <si>
    <t>A534A</t>
  </si>
  <si>
    <t>C4878U</t>
  </si>
  <si>
    <t>T720I</t>
  </si>
  <si>
    <t>C4965U</t>
  </si>
  <si>
    <t>T749I</t>
  </si>
  <si>
    <t>AAU</t>
  </si>
  <si>
    <t>G5230U</t>
  </si>
  <si>
    <t>K837N</t>
  </si>
  <si>
    <t>GCG</t>
  </si>
  <si>
    <t>U5386G</t>
  </si>
  <si>
    <t>A889A</t>
  </si>
  <si>
    <t>C5388A</t>
  </si>
  <si>
    <t>A890D</t>
  </si>
  <si>
    <t>CAA</t>
  </si>
  <si>
    <t>A5648C</t>
  </si>
  <si>
    <t>K977Q</t>
  </si>
  <si>
    <t>G5720A</t>
  </si>
  <si>
    <t>G1001S</t>
  </si>
  <si>
    <t>C5986U</t>
  </si>
  <si>
    <t>F1089F</t>
  </si>
  <si>
    <t>AGC</t>
  </si>
  <si>
    <t>C6037U</t>
  </si>
  <si>
    <t>S1106S</t>
  </si>
  <si>
    <t>G6101A</t>
  </si>
  <si>
    <t>G1128S</t>
  </si>
  <si>
    <t>A6183G</t>
  </si>
  <si>
    <t>K1155R</t>
  </si>
  <si>
    <t>C6285U</t>
  </si>
  <si>
    <t>T1189I</t>
  </si>
  <si>
    <t>CCA</t>
  </si>
  <si>
    <t>CCG</t>
  </si>
  <si>
    <t>A6319G</t>
  </si>
  <si>
    <t>P1200P</t>
  </si>
  <si>
    <t>CUA</t>
  </si>
  <si>
    <t>C6402U</t>
  </si>
  <si>
    <t>P1228L</t>
  </si>
  <si>
    <t>CAC</t>
  </si>
  <si>
    <t>CAU</t>
  </si>
  <si>
    <t>C6541U</t>
  </si>
  <si>
    <t>H1274H</t>
  </si>
  <si>
    <t>GUA</t>
  </si>
  <si>
    <t>A6613G</t>
  </si>
  <si>
    <t>V1298V</t>
  </si>
  <si>
    <t>AUA</t>
  </si>
  <si>
    <t>U6954C</t>
  </si>
  <si>
    <t>I1412T</t>
  </si>
  <si>
    <t>CCU</t>
  </si>
  <si>
    <t>C7124U</t>
  </si>
  <si>
    <t>P1469S</t>
  </si>
  <si>
    <t>UCG</t>
  </si>
  <si>
    <t>A7201G</t>
  </si>
  <si>
    <t>S1494S</t>
  </si>
  <si>
    <t>U7424G</t>
  </si>
  <si>
    <t>F1569V</t>
  </si>
  <si>
    <t>AAC</t>
  </si>
  <si>
    <t>A7842G</t>
  </si>
  <si>
    <t>N1708S</t>
  </si>
  <si>
    <t>C8293U</t>
  </si>
  <si>
    <t>T1858T</t>
  </si>
  <si>
    <t>G8393A</t>
  </si>
  <si>
    <t>A1892T</t>
  </si>
  <si>
    <t>U8593C</t>
  </si>
  <si>
    <t>V13V</t>
  </si>
  <si>
    <t>C8809U</t>
  </si>
  <si>
    <t>D85D</t>
  </si>
  <si>
    <t>C8947U</t>
  </si>
  <si>
    <t>N131N</t>
  </si>
  <si>
    <t>C8986U</t>
  </si>
  <si>
    <t>D144D</t>
  </si>
  <si>
    <t>G9053U</t>
  </si>
  <si>
    <t>V167L</t>
  </si>
  <si>
    <t>CUU</t>
  </si>
  <si>
    <t>C9344U</t>
  </si>
  <si>
    <t>L264F</t>
  </si>
  <si>
    <t>A9424G</t>
  </si>
  <si>
    <t>V290V</t>
  </si>
  <si>
    <t>C9534U</t>
  </si>
  <si>
    <t>T327I</t>
  </si>
  <si>
    <t>C9565U</t>
  </si>
  <si>
    <t>F337F</t>
  </si>
  <si>
    <t>C9693U</t>
  </si>
  <si>
    <t>A380V</t>
  </si>
  <si>
    <t>G9738C</t>
  </si>
  <si>
    <t>S395T</t>
  </si>
  <si>
    <t>C9857U</t>
  </si>
  <si>
    <t>L435L</t>
  </si>
  <si>
    <t>C9866U</t>
  </si>
  <si>
    <t>L438F</t>
  </si>
  <si>
    <t>U9867C</t>
  </si>
  <si>
    <t>L438P</t>
  </si>
  <si>
    <t>C10029U</t>
  </si>
  <si>
    <t>T492I</t>
  </si>
  <si>
    <t>G10097A</t>
  </si>
  <si>
    <t>G15S</t>
  </si>
  <si>
    <t>C10198U</t>
  </si>
  <si>
    <t>D48D</t>
  </si>
  <si>
    <t>CUC</t>
  </si>
  <si>
    <t>U10204C</t>
  </si>
  <si>
    <t>L50L</t>
  </si>
  <si>
    <t>A10323G</t>
  </si>
  <si>
    <t>K90R</t>
  </si>
  <si>
    <t>G10447A</t>
  </si>
  <si>
    <t>R131R</t>
  </si>
  <si>
    <t>CCC</t>
  </si>
  <si>
    <t>C10449A</t>
  </si>
  <si>
    <t>P132H</t>
  </si>
  <si>
    <t>G11042U</t>
  </si>
  <si>
    <t>V24F</t>
  </si>
  <si>
    <t>A11201G</t>
  </si>
  <si>
    <t>T77A</t>
  </si>
  <si>
    <t>A11332G</t>
  </si>
  <si>
    <t>V120V</t>
  </si>
  <si>
    <t>CGA</t>
  </si>
  <si>
    <t>A11451G</t>
  </si>
  <si>
    <t>Q160R</t>
  </si>
  <si>
    <t>A11537G</t>
  </si>
  <si>
    <t>I189V</t>
  </si>
  <si>
    <t>G11727A</t>
  </si>
  <si>
    <t>R252K</t>
  </si>
  <si>
    <t>C12100U</t>
  </si>
  <si>
    <t>A3A</t>
  </si>
  <si>
    <t>C12778U</t>
  </si>
  <si>
    <t>Y31Y</t>
  </si>
  <si>
    <t>C12789U</t>
  </si>
  <si>
    <t>T35I</t>
  </si>
  <si>
    <t>C12815U</t>
  </si>
  <si>
    <t>L44L</t>
  </si>
  <si>
    <t>A12878G</t>
  </si>
  <si>
    <t>I65V</t>
  </si>
  <si>
    <t>C12880U</t>
  </si>
  <si>
    <t>I65I</t>
  </si>
  <si>
    <t>A13057U</t>
  </si>
  <si>
    <t>S11S</t>
  </si>
  <si>
    <t>U13195C</t>
  </si>
  <si>
    <t>V57V</t>
  </si>
  <si>
    <t>U13339C</t>
  </si>
  <si>
    <t>N105N</t>
  </si>
  <si>
    <t>nsp12 (rdrp)</t>
  </si>
  <si>
    <t>A13536U</t>
  </si>
  <si>
    <t>Y32F</t>
  </si>
  <si>
    <t>Y32I</t>
  </si>
  <si>
    <t>GAA</t>
  </si>
  <si>
    <t>U13627A</t>
  </si>
  <si>
    <t>D62E</t>
  </si>
  <si>
    <t>D62I</t>
  </si>
  <si>
    <t>A13713A</t>
  </si>
  <si>
    <t>K91K</t>
  </si>
  <si>
    <t>R91K</t>
  </si>
  <si>
    <t>A13860U</t>
  </si>
  <si>
    <t>D140V</t>
  </si>
  <si>
    <t>D140I</t>
  </si>
  <si>
    <t>A14407U</t>
  </si>
  <si>
    <t>P322P</t>
  </si>
  <si>
    <t>P322H</t>
  </si>
  <si>
    <t>C14408U</t>
  </si>
  <si>
    <t>P323S</t>
  </si>
  <si>
    <t>P323L</t>
  </si>
  <si>
    <t>C14676U</t>
  </si>
  <si>
    <t>P412L</t>
  </si>
  <si>
    <t>A15240U</t>
  </si>
  <si>
    <t>N600I</t>
  </si>
  <si>
    <t>A15279U</t>
  </si>
  <si>
    <t>H613L</t>
  </si>
  <si>
    <t>H613I</t>
  </si>
  <si>
    <t>C15451A</t>
  </si>
  <si>
    <t>G670G</t>
  </si>
  <si>
    <t>G670A</t>
  </si>
  <si>
    <t>U15714U</t>
  </si>
  <si>
    <t>L758L</t>
  </si>
  <si>
    <t>L758F</t>
  </si>
  <si>
    <t>U15738U</t>
  </si>
  <si>
    <t>F766F</t>
  </si>
  <si>
    <t>F766L</t>
  </si>
  <si>
    <t>C15756A</t>
  </si>
  <si>
    <t>S772Y</t>
  </si>
  <si>
    <t>S772H</t>
  </si>
  <si>
    <t>A15939C</t>
  </si>
  <si>
    <t>D833A</t>
  </si>
  <si>
    <t>D833T</t>
  </si>
  <si>
    <t>C16176C</t>
  </si>
  <si>
    <t>T912T</t>
  </si>
  <si>
    <t>T912P</t>
  </si>
  <si>
    <t>U16342C</t>
  </si>
  <si>
    <t>S36P</t>
  </si>
  <si>
    <t>Y36Y</t>
  </si>
  <si>
    <t>C16394U</t>
  </si>
  <si>
    <t>P53L</t>
  </si>
  <si>
    <t>Q54</t>
  </si>
  <si>
    <t>C16466U</t>
  </si>
  <si>
    <t>P77L</t>
  </si>
  <si>
    <t>H78Y</t>
  </si>
  <si>
    <t>A16500C</t>
  </si>
  <si>
    <t>Q88H</t>
  </si>
  <si>
    <t>K89T</t>
  </si>
  <si>
    <t>UGU</t>
  </si>
  <si>
    <t>G16852U</t>
  </si>
  <si>
    <t>G206C</t>
  </si>
  <si>
    <t>M206I</t>
  </si>
  <si>
    <t>A16878U</t>
  </si>
  <si>
    <t>T214T</t>
  </si>
  <si>
    <t>Q215L</t>
  </si>
  <si>
    <t>G17014U</t>
  </si>
  <si>
    <t>D260Y</t>
  </si>
  <si>
    <t>Q260H</t>
  </si>
  <si>
    <t>U17124C</t>
  </si>
  <si>
    <t>A296A</t>
  </si>
  <si>
    <t>L297P</t>
  </si>
  <si>
    <t>GAG</t>
  </si>
  <si>
    <t>G17259U</t>
  </si>
  <si>
    <t>E341D</t>
  </si>
  <si>
    <t>S342I</t>
  </si>
  <si>
    <t>CGU</t>
  </si>
  <si>
    <t>C17410U</t>
  </si>
  <si>
    <t>R392C</t>
  </si>
  <si>
    <t>Y392Y</t>
  </si>
  <si>
    <t>C17491U</t>
  </si>
  <si>
    <t>P419S</t>
  </si>
  <si>
    <t>N419N</t>
  </si>
  <si>
    <t>AUG</t>
  </si>
  <si>
    <t>G17523U</t>
  </si>
  <si>
    <t>M429I</t>
  </si>
  <si>
    <t>430L</t>
  </si>
  <si>
    <t>U17859C</t>
  </si>
  <si>
    <t>Y541Y</t>
  </si>
  <si>
    <t>M542T</t>
  </si>
  <si>
    <t>A18163G</t>
  </si>
  <si>
    <t>I42V</t>
  </si>
  <si>
    <t>T42T</t>
  </si>
  <si>
    <t>C18171U</t>
  </si>
  <si>
    <t>G44G</t>
  </si>
  <si>
    <t>A45V</t>
  </si>
  <si>
    <t>A18492G</t>
  </si>
  <si>
    <t>P151P</t>
  </si>
  <si>
    <t>H152R</t>
  </si>
  <si>
    <t>C18877U</t>
  </si>
  <si>
    <t>L280L</t>
  </si>
  <si>
    <t>V280V</t>
  </si>
  <si>
    <t>UGC</t>
  </si>
  <si>
    <t>C18894U</t>
  </si>
  <si>
    <t>C285C</t>
  </si>
  <si>
    <t>A286V</t>
  </si>
  <si>
    <t>U19035C</t>
  </si>
  <si>
    <t>I332I</t>
  </si>
  <si>
    <t>L333S</t>
  </si>
  <si>
    <t>C19220U</t>
  </si>
  <si>
    <t>A394V</t>
  </si>
  <si>
    <t>L395L</t>
  </si>
  <si>
    <t>A19326G</t>
  </si>
  <si>
    <t>P429P</t>
  </si>
  <si>
    <t>Q430R</t>
  </si>
  <si>
    <t>C19955U</t>
  </si>
  <si>
    <t>T112I</t>
  </si>
  <si>
    <t>L113L</t>
  </si>
  <si>
    <t>A20055G</t>
  </si>
  <si>
    <t>E145E</t>
  </si>
  <si>
    <t>K146R</t>
  </si>
  <si>
    <t>C20148U</t>
  </si>
  <si>
    <t>F176F</t>
  </si>
  <si>
    <t>S177L</t>
  </si>
  <si>
    <t>A20262G</t>
  </si>
  <si>
    <t>L214L</t>
  </si>
  <si>
    <t>215W</t>
  </si>
  <si>
    <t>A20396G</t>
  </si>
  <si>
    <t>K259R</t>
  </si>
  <si>
    <t>R260G</t>
  </si>
  <si>
    <t>U20401G</t>
  </si>
  <si>
    <t>S261A</t>
  </si>
  <si>
    <t>N261K</t>
  </si>
  <si>
    <t>A20724G</t>
  </si>
  <si>
    <t>L22L</t>
  </si>
  <si>
    <t>23W</t>
  </si>
  <si>
    <t>NTD (spike)</t>
  </si>
  <si>
    <t>G21600U</t>
  </si>
  <si>
    <t>S1I</t>
  </si>
  <si>
    <t>S13I</t>
  </si>
  <si>
    <t>C21614U</t>
  </si>
  <si>
    <t>L6F</t>
  </si>
  <si>
    <t>L18F</t>
  </si>
  <si>
    <t>C21618U</t>
  </si>
  <si>
    <t>T7I</t>
  </si>
  <si>
    <t>T19I</t>
  </si>
  <si>
    <t>C21618G</t>
  </si>
  <si>
    <t>T7R</t>
  </si>
  <si>
    <t>T19R</t>
  </si>
  <si>
    <t>C21621A</t>
  </si>
  <si>
    <t>T8N</t>
  </si>
  <si>
    <t>T20N</t>
  </si>
  <si>
    <t>C21622U</t>
  </si>
  <si>
    <t>T8T</t>
  </si>
  <si>
    <t>T20T</t>
  </si>
  <si>
    <t>G21624C</t>
  </si>
  <si>
    <t>R9T</t>
  </si>
  <si>
    <t>R21T</t>
  </si>
  <si>
    <t>C21638U</t>
  </si>
  <si>
    <t>P14S</t>
  </si>
  <si>
    <t>P26S</t>
  </si>
  <si>
    <t>C21711U</t>
  </si>
  <si>
    <t>S38L</t>
  </si>
  <si>
    <t>S50L</t>
  </si>
  <si>
    <t>CAG</t>
  </si>
  <si>
    <t>CGG</t>
  </si>
  <si>
    <t>A21717G</t>
  </si>
  <si>
    <t>Q40R</t>
  </si>
  <si>
    <t>Q52R</t>
  </si>
  <si>
    <t>G21718U</t>
  </si>
  <si>
    <t>Q40H</t>
  </si>
  <si>
    <t>Q52H</t>
  </si>
  <si>
    <t>C21762U</t>
  </si>
  <si>
    <t>A55V</t>
  </si>
  <si>
    <t>A67V</t>
  </si>
  <si>
    <t>G21786U</t>
  </si>
  <si>
    <t>G63V</t>
  </si>
  <si>
    <t>G75V</t>
  </si>
  <si>
    <t>C21789U</t>
  </si>
  <si>
    <t>T64I</t>
  </si>
  <si>
    <t>T76I</t>
  </si>
  <si>
    <t>A21801C</t>
  </si>
  <si>
    <t>D68A</t>
  </si>
  <si>
    <t>D80A</t>
  </si>
  <si>
    <t>U21810C</t>
  </si>
  <si>
    <t>V71A</t>
  </si>
  <si>
    <t>V83A</t>
  </si>
  <si>
    <t>C21846U</t>
  </si>
  <si>
    <t>T83I</t>
  </si>
  <si>
    <t>T95I</t>
  </si>
  <si>
    <t>U21895C</t>
  </si>
  <si>
    <t>D99D</t>
  </si>
  <si>
    <t>D111D</t>
  </si>
  <si>
    <t>G21941U</t>
  </si>
  <si>
    <t>V115F</t>
  </si>
  <si>
    <t>V127F</t>
  </si>
  <si>
    <t>G21974U</t>
  </si>
  <si>
    <t>D126Y</t>
  </si>
  <si>
    <t>D138Y</t>
  </si>
  <si>
    <t>G21987A</t>
  </si>
  <si>
    <t>G130D</t>
  </si>
  <si>
    <t>G142D</t>
  </si>
  <si>
    <t>A21993C</t>
  </si>
  <si>
    <t>Y132S</t>
  </si>
  <si>
    <t>Y144S</t>
  </si>
  <si>
    <t>U21995A</t>
  </si>
  <si>
    <t>Y133N</t>
  </si>
  <si>
    <t>Y145N</t>
  </si>
  <si>
    <t>C22000A</t>
  </si>
  <si>
    <t>H134Q</t>
  </si>
  <si>
    <t>H146Q</t>
  </si>
  <si>
    <t>UGG</t>
  </si>
  <si>
    <t>G22018U</t>
  </si>
  <si>
    <t>W140C</t>
  </si>
  <si>
    <t>W152C</t>
  </si>
  <si>
    <t>G22022A</t>
  </si>
  <si>
    <t>E142K</t>
  </si>
  <si>
    <t>E154K</t>
  </si>
  <si>
    <t>U22032C</t>
  </si>
  <si>
    <t>F145S</t>
  </si>
  <si>
    <t>F157S</t>
  </si>
  <si>
    <t>C22033A</t>
  </si>
  <si>
    <t>F145L</t>
  </si>
  <si>
    <t>F157L</t>
  </si>
  <si>
    <t>A22034G</t>
  </si>
  <si>
    <t>R146G</t>
  </si>
  <si>
    <t>R158G</t>
  </si>
  <si>
    <t>C22109G</t>
  </si>
  <si>
    <t>Q171E</t>
  </si>
  <si>
    <t>Q183E</t>
  </si>
  <si>
    <t>G22132U</t>
  </si>
  <si>
    <t>R178S</t>
  </si>
  <si>
    <t>R190S</t>
  </si>
  <si>
    <t>U22200G</t>
  </si>
  <si>
    <t>V201G</t>
  </si>
  <si>
    <t>V213G</t>
  </si>
  <si>
    <t>U22200A</t>
  </si>
  <si>
    <t>V201E</t>
  </si>
  <si>
    <t>V213E</t>
  </si>
  <si>
    <t>A22206G</t>
  </si>
  <si>
    <t>D203G</t>
  </si>
  <si>
    <t>D215G</t>
  </si>
  <si>
    <t>C22208U</t>
  </si>
  <si>
    <t>L204F</t>
  </si>
  <si>
    <t>L216F</t>
  </si>
  <si>
    <t>C22295A</t>
  </si>
  <si>
    <t>H233N</t>
  </si>
  <si>
    <t>H245N</t>
  </si>
  <si>
    <t>G22317U</t>
  </si>
  <si>
    <t>G240V</t>
  </si>
  <si>
    <t>G252V</t>
  </si>
  <si>
    <t>A22320G</t>
  </si>
  <si>
    <t>D241G</t>
  </si>
  <si>
    <t>D253G</t>
  </si>
  <si>
    <t>C22353A</t>
  </si>
  <si>
    <t>A252D</t>
  </si>
  <si>
    <t>A264D</t>
  </si>
  <si>
    <t>RBD (spike)</t>
  </si>
  <si>
    <t>A22556G</t>
  </si>
  <si>
    <t>I14V</t>
  </si>
  <si>
    <t>I332V</t>
  </si>
  <si>
    <t>G22577C</t>
  </si>
  <si>
    <t>G21R</t>
  </si>
  <si>
    <t>G339R</t>
  </si>
  <si>
    <t>G22578A</t>
  </si>
  <si>
    <t>G21D</t>
  </si>
  <si>
    <t>G339D</t>
  </si>
  <si>
    <t>G22599C</t>
  </si>
  <si>
    <t>R28T</t>
  </si>
  <si>
    <t>R346T</t>
  </si>
  <si>
    <t>G22599A</t>
  </si>
  <si>
    <t>R28K</t>
  </si>
  <si>
    <t>R346K</t>
  </si>
  <si>
    <t>ACG</t>
  </si>
  <si>
    <t>A22629C</t>
  </si>
  <si>
    <t>K38T</t>
  </si>
  <si>
    <t>K356T</t>
  </si>
  <si>
    <t>C22664A</t>
  </si>
  <si>
    <t>L50I</t>
  </si>
  <si>
    <t>L368I</t>
  </si>
  <si>
    <t>U22673C</t>
  </si>
  <si>
    <t>S53P</t>
  </si>
  <si>
    <t>S371P</t>
  </si>
  <si>
    <t>C22674U</t>
  </si>
  <si>
    <t>S53F</t>
  </si>
  <si>
    <t>S371F</t>
  </si>
  <si>
    <t>U22679C</t>
  </si>
  <si>
    <t>S55P</t>
  </si>
  <si>
    <t>S373P</t>
  </si>
  <si>
    <t>C22686U</t>
  </si>
  <si>
    <t>S57F</t>
  </si>
  <si>
    <t>S375F</t>
  </si>
  <si>
    <t>A22688G</t>
  </si>
  <si>
    <t>T58A</t>
  </si>
  <si>
    <t>T376A</t>
  </si>
  <si>
    <t>G22770A</t>
  </si>
  <si>
    <t>R85K</t>
  </si>
  <si>
    <t>R403K</t>
  </si>
  <si>
    <t>G22775A</t>
  </si>
  <si>
    <t>D87N</t>
  </si>
  <si>
    <t>D405N</t>
  </si>
  <si>
    <t>A22786C</t>
  </si>
  <si>
    <t>R90S</t>
  </si>
  <si>
    <t>R408S</t>
  </si>
  <si>
    <t>A22812C</t>
  </si>
  <si>
    <t>K99T</t>
  </si>
  <si>
    <t>K417T</t>
  </si>
  <si>
    <t>G22813U</t>
  </si>
  <si>
    <t>K99N</t>
  </si>
  <si>
    <t>K417N</t>
  </si>
  <si>
    <t>U22882G</t>
  </si>
  <si>
    <t>N122K</t>
  </si>
  <si>
    <t>N440K</t>
  </si>
  <si>
    <t>G22895C</t>
  </si>
  <si>
    <t>V127L</t>
  </si>
  <si>
    <t>V445L</t>
  </si>
  <si>
    <t>U22896C</t>
  </si>
  <si>
    <t>V127A</t>
  </si>
  <si>
    <t>V445A</t>
  </si>
  <si>
    <t>U22896A</t>
  </si>
  <si>
    <t>V127D</t>
  </si>
  <si>
    <t>V445D</t>
  </si>
  <si>
    <t>G22898A</t>
  </si>
  <si>
    <t>G128S</t>
  </si>
  <si>
    <t>G446S</t>
  </si>
  <si>
    <t>A22910G</t>
  </si>
  <si>
    <t>N132D</t>
  </si>
  <si>
    <t>N450D</t>
  </si>
  <si>
    <t>C22916U</t>
  </si>
  <si>
    <t>L134L</t>
  </si>
  <si>
    <t>L452L</t>
  </si>
  <si>
    <t>U22917G</t>
  </si>
  <si>
    <t>L134R</t>
  </si>
  <si>
    <t>L452R</t>
  </si>
  <si>
    <t>U22917A</t>
  </si>
  <si>
    <t>L134Q</t>
  </si>
  <si>
    <t>L452Q</t>
  </si>
  <si>
    <t>U22926C</t>
  </si>
  <si>
    <t>L137S</t>
  </si>
  <si>
    <t>L455S</t>
  </si>
  <si>
    <t>G22927U</t>
  </si>
  <si>
    <t>L137F</t>
  </si>
  <si>
    <t>L455F</t>
  </si>
  <si>
    <t>U22930A</t>
  </si>
  <si>
    <t>F138L</t>
  </si>
  <si>
    <t>F456L</t>
  </si>
  <si>
    <t>U22942G</t>
  </si>
  <si>
    <t>N142K</t>
  </si>
  <si>
    <t>N460K</t>
  </si>
  <si>
    <t>U22942A</t>
  </si>
  <si>
    <t>G22992A</t>
  </si>
  <si>
    <t>S159N</t>
  </si>
  <si>
    <t>S477N</t>
  </si>
  <si>
    <t>C22995A</t>
  </si>
  <si>
    <t>T160K</t>
  </si>
  <si>
    <t>T478K</t>
  </si>
  <si>
    <t>U23005A</t>
  </si>
  <si>
    <t>N163K</t>
  </si>
  <si>
    <t>N481K</t>
  </si>
  <si>
    <t>G23012C</t>
  </si>
  <si>
    <t>E166Q</t>
  </si>
  <si>
    <t>E484Q</t>
  </si>
  <si>
    <t>G23012A</t>
  </si>
  <si>
    <t>E166K</t>
  </si>
  <si>
    <t>E484K</t>
  </si>
  <si>
    <t>A23013C</t>
  </si>
  <si>
    <t>E166A</t>
  </si>
  <si>
    <t>E484A</t>
  </si>
  <si>
    <t>U23018C</t>
  </si>
  <si>
    <t>F168L</t>
  </si>
  <si>
    <t>F486L</t>
  </si>
  <si>
    <t>U23019C</t>
  </si>
  <si>
    <t>F168S</t>
  </si>
  <si>
    <t>F486S</t>
  </si>
  <si>
    <t>U23031C</t>
  </si>
  <si>
    <t>F172S</t>
  </si>
  <si>
    <t>F490S</t>
  </si>
  <si>
    <t>A23040G</t>
  </si>
  <si>
    <t>Q175R</t>
  </si>
  <si>
    <t>Q493R</t>
  </si>
  <si>
    <t>G23048A</t>
  </si>
  <si>
    <t>G178S</t>
  </si>
  <si>
    <t>G496S</t>
  </si>
  <si>
    <t>A23055G</t>
  </si>
  <si>
    <t>Q180R</t>
  </si>
  <si>
    <t>Q498R</t>
  </si>
  <si>
    <t>A23063U</t>
  </si>
  <si>
    <t>N183Y</t>
  </si>
  <si>
    <t>N501Y</t>
  </si>
  <si>
    <t>U23075C</t>
  </si>
  <si>
    <t>Y187H</t>
  </si>
  <si>
    <t>Y505H</t>
  </si>
  <si>
    <t>SD1_2 (spike)</t>
  </si>
  <si>
    <t>C23202A</t>
  </si>
  <si>
    <t>T5K</t>
  </si>
  <si>
    <t>T547K</t>
  </si>
  <si>
    <t>G23222A</t>
  </si>
  <si>
    <t>E12K</t>
  </si>
  <si>
    <t>E554K</t>
  </si>
  <si>
    <t>C23271U</t>
  </si>
  <si>
    <t>A28V</t>
  </si>
  <si>
    <t>A570V</t>
  </si>
  <si>
    <t>C23271A</t>
  </si>
  <si>
    <t>A28D</t>
  </si>
  <si>
    <t>A570D</t>
  </si>
  <si>
    <t>A23403G</t>
  </si>
  <si>
    <t>D72G</t>
  </si>
  <si>
    <t>D614G</t>
  </si>
  <si>
    <t>C23423U</t>
  </si>
  <si>
    <t>P79S</t>
  </si>
  <si>
    <t>P621S</t>
  </si>
  <si>
    <t>C23525U</t>
  </si>
  <si>
    <t>H113Y</t>
  </si>
  <si>
    <t>H655Y</t>
  </si>
  <si>
    <t>G23593C</t>
  </si>
  <si>
    <t>Q135H</t>
  </si>
  <si>
    <t>Q677H</t>
  </si>
  <si>
    <t>U23599G</t>
  </si>
  <si>
    <t>N137K</t>
  </si>
  <si>
    <t>N679K</t>
  </si>
  <si>
    <t>C23604G</t>
  </si>
  <si>
    <t>P139R</t>
  </si>
  <si>
    <t>P681R</t>
  </si>
  <si>
    <t>C23604A</t>
  </si>
  <si>
    <t>P139H</t>
  </si>
  <si>
    <t>P681H</t>
  </si>
  <si>
    <t>C23664U</t>
  </si>
  <si>
    <t>A159V</t>
  </si>
  <si>
    <t>A701V</t>
  </si>
  <si>
    <t>C23709U</t>
  </si>
  <si>
    <t>T174I</t>
  </si>
  <si>
    <t>T716I</t>
  </si>
  <si>
    <t>C23731U</t>
  </si>
  <si>
    <t>T181T</t>
  </si>
  <si>
    <t>T723T</t>
  </si>
  <si>
    <t>C23854A</t>
  </si>
  <si>
    <t>N222K</t>
  </si>
  <si>
    <t>N764K</t>
  </si>
  <si>
    <t>G23948U</t>
  </si>
  <si>
    <t>D254Y</t>
  </si>
  <si>
    <t>D796Y</t>
  </si>
  <si>
    <t>C24130A</t>
  </si>
  <si>
    <t>N314K</t>
  </si>
  <si>
    <t>N856K</t>
  </si>
  <si>
    <t>C24138A</t>
  </si>
  <si>
    <t>T317N</t>
  </si>
  <si>
    <t>T859N</t>
  </si>
  <si>
    <t>U24224C</t>
  </si>
  <si>
    <t>F346L</t>
  </si>
  <si>
    <t>F888L</t>
  </si>
  <si>
    <t>U24349C</t>
  </si>
  <si>
    <t>S387S</t>
  </si>
  <si>
    <t>S929S</t>
  </si>
  <si>
    <t>C24378U</t>
  </si>
  <si>
    <t>S397F</t>
  </si>
  <si>
    <t>S939F</t>
  </si>
  <si>
    <t>G24410A</t>
  </si>
  <si>
    <t>D408N</t>
  </si>
  <si>
    <t>D950N</t>
  </si>
  <si>
    <t>A24424U</t>
  </si>
  <si>
    <t>Q412H</t>
  </si>
  <si>
    <t>Q954H</t>
  </si>
  <si>
    <t>A24432G</t>
  </si>
  <si>
    <t>Q415R</t>
  </si>
  <si>
    <t>Q957R</t>
  </si>
  <si>
    <t>U24469A</t>
  </si>
  <si>
    <t>N427K</t>
  </si>
  <si>
    <t>N969K</t>
  </si>
  <si>
    <t>C24503U</t>
  </si>
  <si>
    <t>L439F</t>
  </si>
  <si>
    <t>L981F</t>
  </si>
  <si>
    <t>U24506G</t>
  </si>
  <si>
    <t>S440A</t>
  </si>
  <si>
    <t>S982A</t>
  </si>
  <si>
    <t>C24642U</t>
  </si>
  <si>
    <t>T485I</t>
  </si>
  <si>
    <t>T1027I</t>
  </si>
  <si>
    <t>C24748U</t>
  </si>
  <si>
    <t>F520F</t>
  </si>
  <si>
    <t>F1062F</t>
  </si>
  <si>
    <t>A24775U</t>
  </si>
  <si>
    <t>Q529H</t>
  </si>
  <si>
    <t>Q1071H</t>
  </si>
  <si>
    <t>C24863G</t>
  </si>
  <si>
    <t>H559D</t>
  </si>
  <si>
    <t>H1101D</t>
  </si>
  <si>
    <t>G24914C</t>
  </si>
  <si>
    <t>D576H</t>
  </si>
  <si>
    <t>D1118H</t>
  </si>
  <si>
    <t>C24990U</t>
  </si>
  <si>
    <t>P601L</t>
  </si>
  <si>
    <t>P1143L</t>
  </si>
  <si>
    <t>C25000U</t>
  </si>
  <si>
    <t>D604D</t>
  </si>
  <si>
    <t>D1146D</t>
  </si>
  <si>
    <t>G25088U</t>
  </si>
  <si>
    <t>V634F</t>
  </si>
  <si>
    <t>V1176F</t>
  </si>
  <si>
    <t>RdRp sub-region</t>
  </si>
  <si>
    <t>Persistent (+)</t>
  </si>
  <si>
    <t>Transient (-)</t>
  </si>
  <si>
    <t>kraken (+)</t>
  </si>
  <si>
    <t>omicron (+)</t>
  </si>
  <si>
    <t>pirola (+)</t>
  </si>
  <si>
    <t>NiRAN</t>
  </si>
  <si>
    <t>Interface</t>
  </si>
  <si>
    <t>Hand</t>
  </si>
  <si>
    <t>Range of CDP Frequencies</t>
  </si>
  <si>
    <t>including Zeros</t>
  </si>
  <si>
    <t>Excluding Zeros</t>
  </si>
  <si>
    <t>SNP Type</t>
  </si>
  <si>
    <t>U&gt;G</t>
  </si>
  <si>
    <t>U&gt;C</t>
  </si>
  <si>
    <t>U&gt;A</t>
  </si>
  <si>
    <t>G&gt;U</t>
  </si>
  <si>
    <t>C&gt;U</t>
  </si>
  <si>
    <t>A&gt;U</t>
  </si>
  <si>
    <t>avg</t>
  </si>
  <si>
    <t>MAF threshold</t>
  </si>
  <si>
    <t>Gene</t>
  </si>
  <si>
    <t>gene SNP count</t>
  </si>
  <si>
    <t>gene size (bp)</t>
  </si>
  <si>
    <t>genome SNP count</t>
  </si>
  <si>
    <t>genome size (bp)</t>
  </si>
  <si>
    <t>SNPs/bp/gene</t>
  </si>
  <si>
    <t>SNPs/bp/genome</t>
  </si>
  <si>
    <t>SNP Ratio</t>
  </si>
  <si>
    <t>p-value</t>
  </si>
  <si>
    <t>interface</t>
  </si>
  <si>
    <t>hand</t>
  </si>
  <si>
    <t>NTD</t>
  </si>
  <si>
    <t>RBD</t>
  </si>
  <si>
    <t>SD1_2</t>
  </si>
  <si>
    <r>
      <t xml:space="preserve">Table S5. Context-dependent Polymorphism Correlations Between Variants. </t>
    </r>
    <r>
      <rPr>
        <sz val="11"/>
        <color theme="1"/>
        <rFont val="Arial"/>
      </rPr>
      <t>P-values for the one-to-one Pearson's correlation between the context-dependent polymorphism for each variant (Fig. S3A). Compared variants include individual variants (alpha, delta, kraken, omicron, pirola) and pooled variants (all, persistent, transient) with sufficient sequences (MAF = 10 out of 2×10^5 sequences)</t>
    </r>
    <r>
      <rPr>
        <b/>
        <sz val="11"/>
        <color theme="1"/>
        <rFont val="Arial"/>
      </rPr>
      <t>.</t>
    </r>
  </si>
  <si>
    <r>
      <t xml:space="preserve">Table S6. Context-dependent Polymorphism Correlations Between Variants Without Dominant Polymorphism Types. </t>
    </r>
    <r>
      <rPr>
        <sz val="11"/>
        <color theme="1"/>
        <rFont val="Arial"/>
      </rPr>
      <t>P-values for the one-to-one Pearson's correlation between the context-dependent polymorphism for each variant (Fig. S6) excluding the dominant polymorphism types (G&gt;A, C&gt;U). Compared variants include individual variants (alpha, delta, kraken, omicron, pirola) and pooled variants (all, persistent, transient) with sufficient sequences (MAF = 10 out of 2×10^5 sequences)</t>
    </r>
    <r>
      <rPr>
        <b/>
        <sz val="11"/>
        <color theme="1"/>
        <rFont val="Arial"/>
      </rPr>
      <t>.</t>
    </r>
  </si>
  <si>
    <t>all_cols</t>
  </si>
  <si>
    <t>cut_cols</t>
  </si>
  <si>
    <t>count</t>
  </si>
  <si>
    <t>mean</t>
  </si>
  <si>
    <t>std</t>
  </si>
  <si>
    <t>min</t>
  </si>
  <si>
    <t>5%</t>
  </si>
  <si>
    <t>50%</t>
  </si>
  <si>
    <t>95%</t>
  </si>
  <si>
    <t>max</t>
  </si>
  <si>
    <t>error</t>
  </si>
  <si>
    <r>
      <t xml:space="preserve">Table S7. Number and Type of Single Nucleotide Polymorphism (SNP) Across Variants. </t>
    </r>
    <r>
      <rPr>
        <sz val="11"/>
        <color theme="1"/>
        <rFont val="Arial"/>
      </rPr>
      <t>The 4-fold column indicates the number of SNPs at 4-fold degenerate sites. 4-fold degenerate sites are sub-divided into transitions and transversions. Ts/Tv indicates the ratio of transitions to tranversion SNPs.</t>
    </r>
  </si>
  <si>
    <r>
      <t xml:space="preserve">Table S8. Correlation Between Context-dependent Polymorphism (CDP) Context-dependent Mutation (CDM) matrices. </t>
    </r>
    <r>
      <rPr>
        <sz val="11"/>
        <color theme="1"/>
        <rFont val="Arial"/>
      </rPr>
      <t>Peason's correlation and p-values for CDM matrices (Table S3) vs CDP matrices (Table S4) for each variant. Correlations are subset into Lethal (only includes mutations labeled as lethal), Non-lethal (only includes mutations defined as non-lethal), and Combined (includes both lethal and non-lethal mutations). Boxes highlighted in blue indicate a direct comparison between CDM and CDP matrices for the same variant. The first table correlates the CDM and CDP matrices for all three subsets. The second table correlates the CDM and CDP matrices for all three subsets without the most abundant C&gt;U mutations. The third table correlates the CDM and CDP matrices only using a 12-parameter model where contextual information is ignored. The fourth table correlates CDM and CDP matrices using a 4-parameter model where the mutation type is ignored.</t>
    </r>
  </si>
  <si>
    <r>
      <t xml:space="preserve">Table S9. Distribution Statistics of Correlations Between Simulated Polymorphisms and Context-Dependent Mutations. </t>
    </r>
    <r>
      <rPr>
        <sz val="11"/>
        <color theme="1"/>
        <rFont val="Arial"/>
        <family val="2"/>
      </rPr>
      <t>For each simulation type, simulated polymorphisms are analyzed and converted into rates. Polymorphism rates are then correlated with Context-Dependent Mutation (CDM) frequencies with all polymorphism types (all_cols) and without the dominant polymorphism types (cut_cols) where G&gt;A and C&gt;U are removed from analysis.</t>
    </r>
  </si>
  <si>
    <r>
      <t xml:space="preserve">Table S10. Regions of significant polymorphism allele frequency in COVID-19. </t>
    </r>
    <r>
      <rPr>
        <sz val="11"/>
        <color theme="1"/>
        <rFont val="Arial"/>
      </rPr>
      <t xml:space="preserve">Analysis of the allele frequency of polymorphisms distributed throughout the COVID-19 genome has defined regions in which the allele frequency of SNPs is significantly high (&gt;=95%) or significantly low (&lt;=5%). SNP allele frequencies are averaged across a 100 base pair window and gaps between significant regions fewer than 250 base pairs. The associated genes and </t>
    </r>
    <r>
      <rPr>
        <i/>
        <sz val="11"/>
        <color theme="1"/>
        <rFont val="Arial"/>
      </rPr>
      <t>simulated significant regions</t>
    </r>
    <r>
      <rPr>
        <sz val="11"/>
        <color theme="1"/>
        <rFont val="Arial"/>
      </rPr>
      <t xml:space="preserve"> (Fig. 3) encompassing a region are listed. Additionally, the number of nucleotides with significantly high or low allele frequency are normalized by the length of the region resulting in an allele frequency magnitude. Similarly, the number of nucleotides with significantly high or low SNP count are normalized by the length of the region resulting in a SNP count magnitude.</t>
    </r>
    <r>
      <rPr>
        <b/>
        <sz val="11"/>
        <color theme="1"/>
        <rFont val="Arial"/>
      </rPr>
      <t xml:space="preserve"> </t>
    </r>
    <r>
      <rPr>
        <sz val="11"/>
        <color theme="1"/>
        <rFont val="Arial"/>
      </rPr>
      <t>Region 27 (v_1) is highlighted in red indicating that the magnitude of SNP frequency compared to the magnitude of SNP count is noteworthy.</t>
    </r>
  </si>
  <si>
    <r>
      <rPr>
        <b/>
        <sz val="11"/>
        <color theme="1"/>
        <rFont val="Arial"/>
      </rPr>
      <t>Table S11. High Frequency Polymorphisms in ORF1ab Subgenes and Spike Subregions</t>
    </r>
    <r>
      <rPr>
        <sz val="11"/>
        <color theme="1"/>
        <rFont val="Arial"/>
      </rPr>
      <t>. Analysis of high frequency (MAF &gt;=30%) single nucleotide polymorphisms (SNP) within population variants in non-structural proteins (NSP) and spike protein subdomains (NTD,RBD,SD1_2). Each SNP includes both the nucleotide position, the reference nucleotide, the SNP, resulting triplet and amino acid changes, and whether the SNP generate a nonsynonomous change. Amino acid cohanges for each SNP are shown for both with (AA change) and without (AA change frameshift) the frameshift mutation in nsp12. Spike subdomains (NTD,RBD,SD1_2) are indexed based on starting position of the spike protein in the reference genome (EPI_ISL_405). The allele frequency of each SNP is shown in each variant and high frequency SNPs are highlighted in green with color brightness indicating frequency from low to high. The number of variants with a high frequency SNPs at each position is shown for persistent (+), transient (-), and omicron-derived variants (*).</t>
    </r>
  </si>
  <si>
    <r>
      <t xml:space="preserve">Table S12. Analysis of High-frequency Mutations in the RdRp. </t>
    </r>
    <r>
      <rPr>
        <sz val="11"/>
        <color theme="1"/>
        <rFont val="Arial"/>
      </rPr>
      <t>Analysis of high-frequency (MAF&gt;=30%) single nucleotide polymorphisms (SNP) in Nsp12 of the RNA dependent RNA polymerase (RdRp) across analyzed variants. The RdRp subregion (NiRAN, Interface, and Hand sub-region), SNP position. amino acid change, and whether the SNP results in a nonsynonymous change is shown. The frequency of the SNP in each variant is shown, and highlighted in green (color scale from light to dark green). A Fisher's Exact Test on the SNPs located in the hand yields a significant difference (p&lt;0.00078) in the number of high frequency SNPs in the hand domain of persistent variants (5) vs transient variants (8).</t>
    </r>
  </si>
  <si>
    <r>
      <rPr>
        <b/>
        <sz val="11"/>
        <color theme="1"/>
        <rFont val="Arial"/>
      </rPr>
      <t>Table S13. Range of CDP Frequencies by SNP Type.</t>
    </r>
    <r>
      <rPr>
        <sz val="11"/>
        <color theme="1"/>
        <rFont val="Arial"/>
      </rPr>
      <t xml:space="preserve"> Range of context-dependent polymorphism frequencies of the All variant for each polymorphism type determined by subtracting the maximum and minimum frequency of each SNP type when including contexts without polymorphisms (including zeros) and when excluding contexts without polymorphisms (excluding zeros). Average indicates the average CDP range across the 12 SNP.</t>
    </r>
  </si>
  <si>
    <r>
      <t xml:space="preserve">Table S14. Gene SNP Count Binomial Tests. </t>
    </r>
    <r>
      <rPr>
        <sz val="11"/>
        <color theme="1"/>
        <rFont val="Arial"/>
      </rPr>
      <t>Binomial proportions test between the number of polymorphisms in each gene (SNP/gene_bp) versus the number of polymorphisms in the rest of the genome (SNP/genome_bp). The binomial test p-value is shown (p) with significance shown in yellow (p&lt;0.05). Table shows proportion test when using a low minimum allele frequency (MAF) threshold of (5×10^-5) and a high minimum allele frequency threshold (0.9). A significant excess (red) or dearth (blue) of SNPs is highlighted for each MAF threshold.</t>
    </r>
  </si>
  <si>
    <t>Full</t>
  </si>
  <si>
    <t>Ts/Tv</t>
  </si>
  <si>
    <t>Naïve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</si>
</sst>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000"/>
  </numFmts>
  <fonts count="12">
    <font>
      <sz val="11"/>
      <color theme="1"/>
      <name val="Aptos Narrow"/>
      <scheme val="minor"/>
    </font>
    <font>
      <b/>
      <sz val="11"/>
      <color theme="1"/>
      <name val="Arial"/>
    </font>
    <font>
      <b/>
      <sz val="11"/>
      <color theme="1"/>
      <name val="Aptos Narrow"/>
    </font>
    <font>
      <sz val="11"/>
      <color theme="1"/>
      <name val="Aptos Narrow"/>
    </font>
    <font>
      <sz val="11"/>
      <color theme="1"/>
      <name val="Arial"/>
    </font>
    <font>
      <sz val="11"/>
      <name val="Aptos Narrow"/>
    </font>
    <font>
      <sz val="11"/>
      <color rgb="FF000000"/>
      <name val="Arial"/>
    </font>
    <font>
      <b/>
      <sz val="11"/>
      <color theme="1"/>
      <name val="Symbol"/>
    </font>
    <font>
      <i/>
      <sz val="11"/>
      <color theme="1"/>
      <name val="Arial"/>
    </font>
    <font>
      <b/>
      <sz val="11"/>
      <color theme="1"/>
      <name val="Aptos Narrow"/>
      <family val="2"/>
      <scheme val="minor"/>
    </font>
    <font>
      <sz val="11"/>
      <color theme="1"/>
      <name val="Arial"/>
      <family val="2"/>
    </font>
    <font>
      <b/>
      <sz val="11"/>
      <color theme="1"/>
      <name val="Arial"/>
      <family val="2"/>
    </font>
  </fonts>
  <fills count="5">
    <fill>
      <patternFill patternType="none"/>
    </fill>
    <fill>
      <patternFill patternType="gray125"/>
    </fill>
    <fill>
      <patternFill patternType="solid">
        <fgColor rgb="FFA4C2F4"/>
        <bgColor rgb="FFA4C2F4"/>
      </patternFill>
    </fill>
    <fill>
      <patternFill patternType="solid">
        <fgColor rgb="FFE06666"/>
        <bgColor rgb="FFE06666"/>
      </patternFill>
    </fill>
    <fill>
      <patternFill patternType="solid">
        <fgColor rgb="FFA6C9EB"/>
        <bgColor rgb="FFA6C9EB"/>
      </patternFill>
    </fill>
  </fills>
  <borders count="47">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thin">
        <color rgb="FF000000"/>
      </right>
      <top style="medium">
        <color rgb="FF000000"/>
      </top>
      <bottom/>
      <diagonal/>
    </border>
    <border>
      <left/>
      <right/>
      <top style="medium">
        <color rgb="FF000000"/>
      </top>
      <bottom/>
      <diagonal/>
    </border>
    <border>
      <left/>
      <right/>
      <top/>
      <bottom/>
      <diagonal/>
    </border>
    <border>
      <left style="medium">
        <color rgb="FF000000"/>
      </left>
      <right/>
      <top/>
      <bottom/>
      <diagonal/>
    </border>
    <border>
      <left/>
      <right style="thin">
        <color rgb="FF000000"/>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right/>
      <top style="thin">
        <color rgb="FF000000"/>
      </top>
      <bottom/>
      <diagonal/>
    </border>
    <border>
      <left style="thin">
        <color rgb="FF000000"/>
      </left>
      <right/>
      <top style="thin">
        <color rgb="FF000000"/>
      </top>
      <bottom/>
      <diagonal/>
    </border>
    <border>
      <left/>
      <right/>
      <top style="thin">
        <color rgb="FF000000"/>
      </top>
      <bottom style="thin">
        <color rgb="FF00000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229">
    <xf numFmtId="0" fontId="0" fillId="0" borderId="0" xfId="0"/>
    <xf numFmtId="0" fontId="1" fillId="0" borderId="1" xfId="0" applyFont="1" applyBorder="1"/>
    <xf numFmtId="0" fontId="1" fillId="0" borderId="2" xfId="0" applyFont="1" applyBorder="1"/>
    <xf numFmtId="0" fontId="2" fillId="0" borderId="3" xfId="0" applyFont="1" applyBorder="1"/>
    <xf numFmtId="0" fontId="1" fillId="0" borderId="4" xfId="0" applyFont="1" applyBorder="1"/>
    <xf numFmtId="0" fontId="1" fillId="0" borderId="5" xfId="0" applyFont="1" applyBorder="1"/>
    <xf numFmtId="0" fontId="1" fillId="0" borderId="6" xfId="0" applyFont="1" applyBorder="1"/>
    <xf numFmtId="0" fontId="1" fillId="0" borderId="7" xfId="0" applyFont="1" applyBorder="1"/>
    <xf numFmtId="0" fontId="1" fillId="0" borderId="8" xfId="0" applyFont="1" applyBorder="1"/>
    <xf numFmtId="0" fontId="1" fillId="0" borderId="9" xfId="0" applyFont="1" applyBorder="1"/>
    <xf numFmtId="0" fontId="3" fillId="0" borderId="3" xfId="0" applyFont="1" applyBorder="1"/>
    <xf numFmtId="0" fontId="2" fillId="0" borderId="4" xfId="0" applyFont="1" applyBorder="1"/>
    <xf numFmtId="0" fontId="3" fillId="0" borderId="0" xfId="0" applyFont="1"/>
    <xf numFmtId="0" fontId="3" fillId="0" borderId="6" xfId="0" applyFont="1" applyBorder="1"/>
    <xf numFmtId="0" fontId="2" fillId="0" borderId="0" xfId="0" applyFont="1"/>
    <xf numFmtId="0" fontId="2" fillId="0" borderId="6" xfId="0" applyFont="1" applyBorder="1"/>
    <xf numFmtId="0" fontId="2" fillId="0" borderId="7" xfId="0" applyFont="1" applyBorder="1"/>
    <xf numFmtId="0" fontId="3" fillId="0" borderId="10" xfId="0" applyFont="1" applyBorder="1"/>
    <xf numFmtId="0" fontId="3" fillId="0" borderId="9" xfId="0" applyFont="1" applyBorder="1"/>
    <xf numFmtId="0" fontId="2" fillId="0" borderId="10" xfId="0" applyFont="1" applyBorder="1"/>
    <xf numFmtId="0" fontId="4" fillId="0" borderId="0" xfId="0" applyFont="1"/>
    <xf numFmtId="0" fontId="1" fillId="0" borderId="11" xfId="0" applyFont="1" applyBorder="1"/>
    <xf numFmtId="0" fontId="1" fillId="0" borderId="0" xfId="0" applyFont="1" applyAlignment="1">
      <alignment wrapText="1"/>
    </xf>
    <xf numFmtId="0" fontId="1" fillId="0" borderId="12" xfId="0" applyFont="1" applyBorder="1"/>
    <xf numFmtId="0" fontId="4" fillId="0" borderId="13" xfId="0" applyFont="1" applyBorder="1"/>
    <xf numFmtId="10" fontId="4" fillId="0" borderId="0" xfId="0" applyNumberFormat="1" applyFont="1"/>
    <xf numFmtId="0" fontId="4" fillId="0" borderId="2" xfId="0" applyFont="1" applyBorder="1"/>
    <xf numFmtId="0" fontId="4" fillId="0" borderId="11" xfId="0" applyFont="1" applyBorder="1"/>
    <xf numFmtId="10" fontId="4" fillId="0" borderId="3" xfId="0" applyNumberFormat="1" applyFont="1" applyBorder="1"/>
    <xf numFmtId="0" fontId="4" fillId="0" borderId="6" xfId="0" applyFont="1" applyBorder="1"/>
    <xf numFmtId="0" fontId="4" fillId="0" borderId="5" xfId="0" applyFont="1" applyBorder="1"/>
    <xf numFmtId="10" fontId="4" fillId="0" borderId="6" xfId="0" applyNumberFormat="1" applyFont="1" applyBorder="1"/>
    <xf numFmtId="0" fontId="4" fillId="0" borderId="9" xfId="0" applyFont="1" applyBorder="1"/>
    <xf numFmtId="0" fontId="4" fillId="0" borderId="10" xfId="0" applyFont="1" applyBorder="1"/>
    <xf numFmtId="10" fontId="4" fillId="0" borderId="10" xfId="0" applyNumberFormat="1" applyFont="1" applyBorder="1"/>
    <xf numFmtId="0" fontId="4" fillId="0" borderId="8" xfId="0" applyFont="1" applyBorder="1"/>
    <xf numFmtId="10" fontId="4" fillId="0" borderId="9" xfId="0" applyNumberFormat="1" applyFont="1" applyBorder="1"/>
    <xf numFmtId="0" fontId="6" fillId="0" borderId="0" xfId="0" applyFont="1" applyAlignment="1">
      <alignment horizontal="right"/>
    </xf>
    <xf numFmtId="0" fontId="1" fillId="0" borderId="0" xfId="0" applyFont="1" applyAlignment="1">
      <alignment horizontal="left" vertical="center"/>
    </xf>
    <xf numFmtId="0" fontId="1" fillId="0" borderId="0" xfId="0" applyFont="1"/>
    <xf numFmtId="0" fontId="1" fillId="0" borderId="0" xfId="0" applyFont="1" applyAlignment="1">
      <alignment horizontal="center" vertical="center"/>
    </xf>
    <xf numFmtId="11" fontId="4" fillId="0" borderId="14" xfId="0" applyNumberFormat="1" applyFont="1" applyBorder="1"/>
    <xf numFmtId="11" fontId="4" fillId="0" borderId="15" xfId="0" applyNumberFormat="1" applyFont="1" applyBorder="1"/>
    <xf numFmtId="11" fontId="4" fillId="0" borderId="16" xfId="0" applyNumberFormat="1" applyFont="1" applyBorder="1"/>
    <xf numFmtId="11" fontId="4" fillId="0" borderId="17" xfId="0" applyNumberFormat="1" applyFont="1" applyBorder="1"/>
    <xf numFmtId="11" fontId="4" fillId="0" borderId="0" xfId="0" applyNumberFormat="1" applyFont="1"/>
    <xf numFmtId="11" fontId="4" fillId="0" borderId="18" xfId="0" applyNumberFormat="1" applyFont="1" applyBorder="1"/>
    <xf numFmtId="11" fontId="4" fillId="0" borderId="19" xfId="0" applyNumberFormat="1" applyFont="1" applyBorder="1"/>
    <xf numFmtId="11" fontId="4" fillId="0" borderId="20" xfId="0" applyNumberFormat="1" applyFont="1" applyBorder="1"/>
    <xf numFmtId="11" fontId="4" fillId="0" borderId="21" xfId="0" applyNumberFormat="1" applyFont="1" applyBorder="1"/>
    <xf numFmtId="164" fontId="4" fillId="0" borderId="14" xfId="0" applyNumberFormat="1" applyFont="1" applyBorder="1"/>
    <xf numFmtId="164" fontId="4" fillId="0" borderId="15" xfId="0" applyNumberFormat="1" applyFont="1" applyBorder="1"/>
    <xf numFmtId="164" fontId="4" fillId="0" borderId="22" xfId="0" applyNumberFormat="1" applyFont="1" applyBorder="1"/>
    <xf numFmtId="164" fontId="4" fillId="2" borderId="23" xfId="0" applyNumberFormat="1" applyFont="1" applyFill="1" applyBorder="1"/>
    <xf numFmtId="164" fontId="4" fillId="0" borderId="16" xfId="0" applyNumberFormat="1" applyFont="1" applyBorder="1"/>
    <xf numFmtId="164" fontId="4" fillId="0" borderId="17" xfId="0" applyNumberFormat="1" applyFont="1" applyBorder="1"/>
    <xf numFmtId="164" fontId="4" fillId="0" borderId="0" xfId="0" applyNumberFormat="1" applyFont="1"/>
    <xf numFmtId="164" fontId="4" fillId="0" borderId="6" xfId="0" applyNumberFormat="1" applyFont="1" applyBorder="1"/>
    <xf numFmtId="164" fontId="4" fillId="3" borderId="24" xfId="0" applyNumberFormat="1" applyFont="1" applyFill="1" applyBorder="1"/>
    <xf numFmtId="164" fontId="4" fillId="0" borderId="18" xfId="0" applyNumberFormat="1" applyFont="1" applyBorder="1"/>
    <xf numFmtId="164" fontId="4" fillId="2" borderId="25" xfId="0" applyNumberFormat="1" applyFont="1" applyFill="1" applyBorder="1"/>
    <xf numFmtId="164" fontId="4" fillId="0" borderId="19" xfId="0" applyNumberFormat="1" applyFont="1" applyBorder="1"/>
    <xf numFmtId="164" fontId="4" fillId="0" borderId="20" xfId="0" applyNumberFormat="1" applyFont="1" applyBorder="1"/>
    <xf numFmtId="164" fontId="4" fillId="0" borderId="26" xfId="0" applyNumberFormat="1" applyFont="1" applyBorder="1"/>
    <xf numFmtId="164" fontId="4" fillId="2" borderId="27" xfId="0" applyNumberFormat="1" applyFont="1" applyFill="1" applyBorder="1"/>
    <xf numFmtId="164" fontId="4" fillId="2" borderId="28" xfId="0" applyNumberFormat="1" applyFont="1" applyFill="1" applyBorder="1"/>
    <xf numFmtId="164" fontId="4" fillId="0" borderId="21" xfId="0" applyNumberFormat="1" applyFont="1" applyBorder="1"/>
    <xf numFmtId="0" fontId="4" fillId="0" borderId="29" xfId="0" applyFont="1" applyBorder="1"/>
    <xf numFmtId="0" fontId="1" fillId="0" borderId="11" xfId="0" applyFont="1" applyBorder="1" applyAlignment="1">
      <alignment horizontal="center"/>
    </xf>
    <xf numFmtId="0" fontId="1" fillId="0" borderId="3" xfId="0" applyFont="1" applyBorder="1" applyAlignment="1">
      <alignment horizontal="center"/>
    </xf>
    <xf numFmtId="11" fontId="4" fillId="0" borderId="11" xfId="0" applyNumberFormat="1" applyFont="1" applyBorder="1"/>
    <xf numFmtId="11" fontId="4" fillId="0" borderId="3" xfId="0" applyNumberFormat="1" applyFont="1" applyBorder="1"/>
    <xf numFmtId="11" fontId="4" fillId="0" borderId="5" xfId="0" applyNumberFormat="1" applyFont="1" applyBorder="1"/>
    <xf numFmtId="11" fontId="4" fillId="0" borderId="6" xfId="0" applyNumberFormat="1" applyFont="1" applyBorder="1"/>
    <xf numFmtId="11" fontId="4" fillId="0" borderId="8" xfId="0" applyNumberFormat="1" applyFont="1" applyBorder="1"/>
    <xf numFmtId="11" fontId="4" fillId="0" borderId="10" xfId="0" applyNumberFormat="1" applyFont="1" applyBorder="1"/>
    <xf numFmtId="164" fontId="4" fillId="0" borderId="3" xfId="0" applyNumberFormat="1" applyFont="1" applyBorder="1"/>
    <xf numFmtId="164" fontId="4" fillId="0" borderId="9" xfId="0" applyNumberFormat="1" applyFont="1" applyBorder="1"/>
    <xf numFmtId="164" fontId="4" fillId="0" borderId="29" xfId="0" applyNumberFormat="1" applyFont="1" applyBorder="1"/>
    <xf numFmtId="0" fontId="1" fillId="0" borderId="0" xfId="0" applyFont="1" applyAlignment="1">
      <alignment horizontal="center"/>
    </xf>
    <xf numFmtId="0" fontId="1" fillId="0" borderId="0" xfId="0" applyFont="1" applyAlignment="1">
      <alignment horizontal="center" wrapText="1"/>
    </xf>
    <xf numFmtId="0" fontId="1" fillId="0" borderId="2" xfId="0" applyFont="1" applyBorder="1" applyAlignment="1">
      <alignment horizontal="center" vertical="center"/>
    </xf>
    <xf numFmtId="0" fontId="1" fillId="0" borderId="11" xfId="0" applyFont="1" applyBorder="1" applyAlignment="1">
      <alignment horizontal="center" vertical="center"/>
    </xf>
    <xf numFmtId="0" fontId="1" fillId="0" borderId="3" xfId="0" applyFont="1" applyBorder="1" applyAlignment="1">
      <alignment horizontal="center" vertical="center"/>
    </xf>
    <xf numFmtId="0" fontId="1" fillId="0" borderId="1" xfId="0" applyFont="1" applyBorder="1" applyAlignment="1">
      <alignment horizontal="center" wrapText="1"/>
    </xf>
    <xf numFmtId="164" fontId="4" fillId="0" borderId="11" xfId="0" applyNumberFormat="1" applyFont="1" applyBorder="1"/>
    <xf numFmtId="11" fontId="4" fillId="0" borderId="2" xfId="0" applyNumberFormat="1" applyFont="1" applyBorder="1"/>
    <xf numFmtId="0" fontId="1" fillId="0" borderId="3" xfId="0" applyFont="1" applyBorder="1"/>
    <xf numFmtId="164" fontId="4" fillId="4" borderId="24" xfId="0" applyNumberFormat="1" applyFont="1" applyFill="1" applyBorder="1"/>
    <xf numFmtId="11" fontId="4" fillId="4" borderId="30" xfId="0" applyNumberFormat="1" applyFont="1" applyFill="1" applyBorder="1"/>
    <xf numFmtId="11" fontId="4" fillId="4" borderId="24" xfId="0" applyNumberFormat="1" applyFont="1" applyFill="1" applyBorder="1"/>
    <xf numFmtId="164" fontId="4" fillId="4" borderId="31" xfId="0" applyNumberFormat="1" applyFont="1" applyFill="1" applyBorder="1"/>
    <xf numFmtId="11" fontId="4" fillId="4" borderId="32" xfId="0" applyNumberFormat="1" applyFont="1" applyFill="1" applyBorder="1"/>
    <xf numFmtId="164" fontId="4" fillId="4" borderId="33" xfId="0" applyNumberFormat="1" applyFont="1" applyFill="1" applyBorder="1"/>
    <xf numFmtId="11" fontId="4" fillId="4" borderId="34" xfId="0" applyNumberFormat="1" applyFont="1" applyFill="1" applyBorder="1"/>
    <xf numFmtId="164" fontId="4" fillId="0" borderId="10" xfId="0" applyNumberFormat="1" applyFont="1" applyBorder="1"/>
    <xf numFmtId="164" fontId="4" fillId="4" borderId="32" xfId="0" applyNumberFormat="1" applyFont="1" applyFill="1" applyBorder="1"/>
    <xf numFmtId="0" fontId="4" fillId="0" borderId="0" xfId="0" applyFont="1" applyAlignment="1">
      <alignment horizontal="center"/>
    </xf>
    <xf numFmtId="0" fontId="1" fillId="0" borderId="29" xfId="0" applyFont="1" applyBorder="1" applyAlignment="1">
      <alignment horizontal="center" wrapText="1"/>
    </xf>
    <xf numFmtId="0" fontId="1" fillId="0" borderId="5" xfId="0" applyFont="1" applyBorder="1" applyAlignment="1">
      <alignment horizontal="center" vertical="center"/>
    </xf>
    <xf numFmtId="0" fontId="1" fillId="0" borderId="6" xfId="0" applyFont="1" applyBorder="1" applyAlignment="1">
      <alignment horizontal="center" vertical="center"/>
    </xf>
    <xf numFmtId="164" fontId="4" fillId="4" borderId="30" xfId="0" applyNumberFormat="1" applyFont="1" applyFill="1" applyBorder="1"/>
    <xf numFmtId="164" fontId="4" fillId="0" borderId="5" xfId="0" applyNumberFormat="1" applyFont="1" applyBorder="1"/>
    <xf numFmtId="164" fontId="4" fillId="0" borderId="8" xfId="0" applyNumberFormat="1" applyFont="1" applyBorder="1"/>
    <xf numFmtId="0" fontId="2" fillId="0" borderId="10" xfId="0" applyFont="1" applyBorder="1" applyAlignment="1">
      <alignment horizontal="center" vertical="top" wrapText="1"/>
    </xf>
    <xf numFmtId="0" fontId="2" fillId="0" borderId="9" xfId="0" applyFont="1" applyBorder="1" applyAlignment="1">
      <alignment horizontal="center" vertical="top" wrapText="1"/>
    </xf>
    <xf numFmtId="0" fontId="3" fillId="0" borderId="0" xfId="0" applyFont="1" applyAlignment="1">
      <alignment horizontal="left" vertical="top"/>
    </xf>
    <xf numFmtId="0" fontId="3" fillId="0" borderId="0" xfId="0" applyFont="1" applyAlignment="1">
      <alignment horizontal="left"/>
    </xf>
    <xf numFmtId="0" fontId="3" fillId="0" borderId="6" xfId="0" applyFont="1" applyBorder="1" applyAlignment="1">
      <alignment horizontal="left"/>
    </xf>
    <xf numFmtId="0" fontId="3" fillId="0" borderId="0" xfId="0" applyFont="1" applyAlignment="1">
      <alignment horizontal="left" wrapText="1"/>
    </xf>
    <xf numFmtId="10" fontId="3" fillId="0" borderId="0" xfId="0" applyNumberFormat="1" applyFont="1" applyAlignment="1">
      <alignment horizontal="left"/>
    </xf>
    <xf numFmtId="10" fontId="3" fillId="0" borderId="6" xfId="0" applyNumberFormat="1" applyFont="1" applyBorder="1" applyAlignment="1">
      <alignment horizontal="left"/>
    </xf>
    <xf numFmtId="0" fontId="3" fillId="3" borderId="24" xfId="0" applyFont="1" applyFill="1" applyBorder="1" applyAlignment="1">
      <alignment horizontal="left" vertical="top"/>
    </xf>
    <xf numFmtId="0" fontId="3" fillId="3" borderId="24" xfId="0" applyFont="1" applyFill="1" applyBorder="1" applyAlignment="1">
      <alignment horizontal="left"/>
    </xf>
    <xf numFmtId="0" fontId="3" fillId="3" borderId="31" xfId="0" applyFont="1" applyFill="1" applyBorder="1" applyAlignment="1">
      <alignment horizontal="left"/>
    </xf>
    <xf numFmtId="0" fontId="3" fillId="3" borderId="24" xfId="0" applyFont="1" applyFill="1" applyBorder="1" applyAlignment="1">
      <alignment horizontal="left" wrapText="1"/>
    </xf>
    <xf numFmtId="10" fontId="3" fillId="3" borderId="24" xfId="0" applyNumberFormat="1" applyFont="1" applyFill="1" applyBorder="1" applyAlignment="1">
      <alignment horizontal="left"/>
    </xf>
    <xf numFmtId="10" fontId="3" fillId="3" borderId="31" xfId="0" applyNumberFormat="1" applyFont="1" applyFill="1" applyBorder="1" applyAlignment="1">
      <alignment horizontal="left"/>
    </xf>
    <xf numFmtId="0" fontId="3" fillId="0" borderId="10" xfId="0" applyFont="1" applyBorder="1" applyAlignment="1">
      <alignment horizontal="left" vertical="top"/>
    </xf>
    <xf numFmtId="0" fontId="3" fillId="0" borderId="10" xfId="0" applyFont="1" applyBorder="1" applyAlignment="1">
      <alignment horizontal="left"/>
    </xf>
    <xf numFmtId="0" fontId="3" fillId="0" borderId="9" xfId="0" applyFont="1" applyBorder="1" applyAlignment="1">
      <alignment horizontal="left"/>
    </xf>
    <xf numFmtId="0" fontId="3" fillId="0" borderId="10" xfId="0" applyFont="1" applyBorder="1" applyAlignment="1">
      <alignment horizontal="left" wrapText="1"/>
    </xf>
    <xf numFmtId="10" fontId="3" fillId="0" borderId="10" xfId="0" applyNumberFormat="1" applyFont="1" applyBorder="1" applyAlignment="1">
      <alignment horizontal="left"/>
    </xf>
    <xf numFmtId="10" fontId="3" fillId="0" borderId="9" xfId="0" applyNumberFormat="1" applyFont="1" applyBorder="1" applyAlignment="1">
      <alignment horizontal="left"/>
    </xf>
    <xf numFmtId="0" fontId="4" fillId="0" borderId="3" xfId="0" applyFont="1" applyBorder="1"/>
    <xf numFmtId="0" fontId="6" fillId="0" borderId="0" xfId="0" applyFont="1"/>
    <xf numFmtId="164" fontId="4" fillId="0" borderId="2" xfId="0" applyNumberFormat="1" applyFont="1" applyBorder="1"/>
    <xf numFmtId="0" fontId="1" fillId="0" borderId="10" xfId="0" applyFont="1" applyBorder="1"/>
    <xf numFmtId="0" fontId="6" fillId="0" borderId="10" xfId="0" applyFont="1" applyBorder="1"/>
    <xf numFmtId="0" fontId="1" fillId="0" borderId="35" xfId="0" applyFont="1" applyBorder="1"/>
    <xf numFmtId="0" fontId="4" fillId="0" borderId="12" xfId="0" applyFont="1" applyBorder="1"/>
    <xf numFmtId="0" fontId="4" fillId="0" borderId="35" xfId="0" applyFont="1" applyBorder="1"/>
    <xf numFmtId="164" fontId="4" fillId="0" borderId="12" xfId="0" applyNumberFormat="1" applyFont="1" applyBorder="1"/>
    <xf numFmtId="164" fontId="4" fillId="0" borderId="35" xfId="0" applyNumberFormat="1" applyFont="1" applyBorder="1"/>
    <xf numFmtId="164" fontId="4" fillId="0" borderId="13" xfId="0" applyNumberFormat="1" applyFont="1" applyBorder="1"/>
    <xf numFmtId="0" fontId="3" fillId="0" borderId="1" xfId="0" applyFont="1" applyBorder="1"/>
    <xf numFmtId="164" fontId="3" fillId="0" borderId="2" xfId="0" applyNumberFormat="1" applyFont="1" applyBorder="1"/>
    <xf numFmtId="164" fontId="3" fillId="0" borderId="11" xfId="0" applyNumberFormat="1" applyFont="1" applyBorder="1"/>
    <xf numFmtId="164" fontId="3" fillId="0" borderId="3" xfId="0" applyNumberFormat="1" applyFont="1" applyBorder="1"/>
    <xf numFmtId="0" fontId="3" fillId="0" borderId="4" xfId="0" applyFont="1" applyBorder="1"/>
    <xf numFmtId="164" fontId="3" fillId="0" borderId="5" xfId="0" applyNumberFormat="1" applyFont="1" applyBorder="1"/>
    <xf numFmtId="164" fontId="3" fillId="0" borderId="0" xfId="0" applyNumberFormat="1" applyFont="1"/>
    <xf numFmtId="164" fontId="3" fillId="0" borderId="6" xfId="0" applyNumberFormat="1" applyFont="1" applyBorder="1"/>
    <xf numFmtId="0" fontId="3" fillId="0" borderId="11" xfId="0" applyFont="1" applyBorder="1"/>
    <xf numFmtId="0" fontId="3" fillId="0" borderId="7" xfId="0" applyFont="1" applyBorder="1"/>
    <xf numFmtId="164" fontId="3" fillId="0" borderId="8" xfId="0" applyNumberFormat="1" applyFont="1" applyBorder="1"/>
    <xf numFmtId="164" fontId="3" fillId="0" borderId="10" xfId="0" applyNumberFormat="1" applyFont="1" applyBorder="1"/>
    <xf numFmtId="164" fontId="3" fillId="0" borderId="9" xfId="0" applyNumberFormat="1" applyFont="1" applyBorder="1"/>
    <xf numFmtId="0" fontId="2" fillId="0" borderId="0" xfId="0" applyFont="1" applyAlignment="1">
      <alignment horizontal="center"/>
    </xf>
    <xf numFmtId="0" fontId="1" fillId="0" borderId="29" xfId="0" applyFont="1" applyBorder="1"/>
    <xf numFmtId="0" fontId="1" fillId="0" borderId="13" xfId="0" applyFont="1" applyBorder="1"/>
    <xf numFmtId="10" fontId="4" fillId="0" borderId="1" xfId="0" applyNumberFormat="1" applyFont="1" applyBorder="1"/>
    <xf numFmtId="10" fontId="4" fillId="0" borderId="4" xfId="0" applyNumberFormat="1" applyFont="1" applyBorder="1"/>
    <xf numFmtId="10" fontId="4" fillId="0" borderId="29" xfId="0" applyNumberFormat="1" applyFont="1" applyBorder="1"/>
    <xf numFmtId="10" fontId="4" fillId="0" borderId="13" xfId="0" applyNumberFormat="1" applyFont="1" applyBorder="1"/>
    <xf numFmtId="0" fontId="2" fillId="0" borderId="2" xfId="0" applyFont="1" applyBorder="1"/>
    <xf numFmtId="0" fontId="3" fillId="0" borderId="2" xfId="0" applyFont="1" applyBorder="1"/>
    <xf numFmtId="165" fontId="3" fillId="0" borderId="11" xfId="0" applyNumberFormat="1" applyFont="1" applyBorder="1"/>
    <xf numFmtId="166" fontId="3" fillId="0" borderId="11" xfId="0" applyNumberFormat="1" applyFont="1" applyBorder="1"/>
    <xf numFmtId="166" fontId="3" fillId="0" borderId="3" xfId="0" applyNumberFormat="1" applyFont="1" applyBorder="1"/>
    <xf numFmtId="0" fontId="2" fillId="0" borderId="5" xfId="0" applyFont="1" applyBorder="1"/>
    <xf numFmtId="0" fontId="3" fillId="0" borderId="5" xfId="0" applyFont="1" applyBorder="1"/>
    <xf numFmtId="165" fontId="3" fillId="0" borderId="0" xfId="0" applyNumberFormat="1" applyFont="1"/>
    <xf numFmtId="166" fontId="3" fillId="0" borderId="0" xfId="0" applyNumberFormat="1" applyFont="1"/>
    <xf numFmtId="166" fontId="3" fillId="0" borderId="6" xfId="0" applyNumberFormat="1" applyFont="1" applyBorder="1"/>
    <xf numFmtId="166" fontId="3" fillId="0" borderId="10" xfId="0" applyNumberFormat="1" applyFont="1" applyBorder="1"/>
    <xf numFmtId="0" fontId="2" fillId="0" borderId="8" xfId="0" applyFont="1" applyBorder="1"/>
    <xf numFmtId="0" fontId="3" fillId="0" borderId="8" xfId="0" applyFont="1" applyBorder="1"/>
    <xf numFmtId="165" fontId="3" fillId="0" borderId="10" xfId="0" applyNumberFormat="1" applyFont="1" applyBorder="1"/>
    <xf numFmtId="166" fontId="3" fillId="0" borderId="9" xfId="0" applyNumberFormat="1" applyFont="1" applyBorder="1"/>
    <xf numFmtId="0" fontId="4" fillId="0" borderId="0" xfId="0" applyFont="1" applyAlignment="1">
      <alignment wrapText="1"/>
    </xf>
    <xf numFmtId="0" fontId="0" fillId="0" borderId="0" xfId="0"/>
    <xf numFmtId="0" fontId="1" fillId="0" borderId="0" xfId="0" applyFont="1" applyAlignment="1">
      <alignment wrapText="1"/>
    </xf>
    <xf numFmtId="0" fontId="5" fillId="0" borderId="10" xfId="0" applyFont="1" applyBorder="1"/>
    <xf numFmtId="0" fontId="1" fillId="0" borderId="11" xfId="0" applyFont="1" applyBorder="1" applyAlignment="1">
      <alignment wrapText="1"/>
    </xf>
    <xf numFmtId="0" fontId="1" fillId="0" borderId="2" xfId="0" applyFont="1" applyBorder="1"/>
    <xf numFmtId="0" fontId="5" fillId="0" borderId="5" xfId="0" applyFont="1" applyBorder="1"/>
    <xf numFmtId="0" fontId="1" fillId="0" borderId="11" xfId="0" applyFont="1" applyBorder="1"/>
    <xf numFmtId="0" fontId="1" fillId="0" borderId="3" xfId="0" applyFont="1" applyBorder="1" applyAlignment="1">
      <alignment wrapText="1"/>
    </xf>
    <xf numFmtId="0" fontId="5" fillId="0" borderId="6" xfId="0" applyFont="1" applyBorder="1"/>
    <xf numFmtId="0" fontId="5" fillId="0" borderId="9" xfId="0" applyFont="1" applyBorder="1"/>
    <xf numFmtId="0" fontId="4" fillId="0" borderId="0" xfId="0" applyFont="1" applyAlignment="1">
      <alignment horizontal="left" vertical="center" wrapText="1"/>
    </xf>
    <xf numFmtId="0" fontId="1" fillId="0" borderId="0" xfId="0" applyFont="1" applyAlignment="1">
      <alignment horizontal="left" wrapText="1"/>
    </xf>
    <xf numFmtId="0" fontId="1" fillId="0" borderId="0" xfId="0" applyFont="1" applyAlignment="1">
      <alignment horizontal="left" vertical="center" wrapText="1"/>
    </xf>
    <xf numFmtId="0" fontId="1" fillId="0" borderId="11" xfId="0" applyFont="1" applyBorder="1" applyAlignment="1">
      <alignment horizontal="left" wrapText="1"/>
    </xf>
    <xf numFmtId="0" fontId="5" fillId="0" borderId="11" xfId="0" applyFont="1" applyBorder="1"/>
    <xf numFmtId="0" fontId="1" fillId="0" borderId="11" xfId="0" applyFont="1" applyBorder="1" applyAlignment="1">
      <alignment horizontal="center" vertical="center"/>
    </xf>
    <xf numFmtId="0" fontId="1" fillId="0" borderId="3" xfId="0" applyFont="1" applyBorder="1" applyAlignment="1">
      <alignment horizontal="center" vertical="center"/>
    </xf>
    <xf numFmtId="0" fontId="1" fillId="0" borderId="1" xfId="0" applyFont="1" applyBorder="1" applyAlignment="1">
      <alignment horizontal="center" vertical="center"/>
    </xf>
    <xf numFmtId="0" fontId="5" fillId="0" borderId="4" xfId="0" applyFont="1" applyBorder="1"/>
    <xf numFmtId="0" fontId="5" fillId="0" borderId="7" xfId="0" applyFont="1" applyBorder="1"/>
    <xf numFmtId="0" fontId="1" fillId="0" borderId="4" xfId="0" applyFont="1" applyBorder="1" applyAlignment="1">
      <alignment horizontal="center" vertical="center"/>
    </xf>
    <xf numFmtId="0" fontId="1" fillId="0" borderId="0" xfId="0" applyFont="1" applyAlignment="1">
      <alignment horizontal="center"/>
    </xf>
    <xf numFmtId="0" fontId="1" fillId="0" borderId="0" xfId="0" applyFont="1" applyAlignment="1">
      <alignment horizontal="center" vertical="center"/>
    </xf>
    <xf numFmtId="0" fontId="1" fillId="0" borderId="2" xfId="0" applyFont="1" applyBorder="1" applyAlignment="1">
      <alignment horizontal="center" vertical="center"/>
    </xf>
    <xf numFmtId="0" fontId="5" fillId="0" borderId="8" xfId="0" applyFont="1" applyBorder="1"/>
    <xf numFmtId="0" fontId="1" fillId="0" borderId="5" xfId="0" applyFont="1" applyBorder="1" applyAlignment="1">
      <alignment horizontal="center" vertical="center"/>
    </xf>
    <xf numFmtId="0" fontId="1" fillId="0" borderId="2" xfId="0" applyFont="1" applyBorder="1" applyAlignment="1">
      <alignment horizontal="center"/>
    </xf>
    <xf numFmtId="0" fontId="1" fillId="0" borderId="2" xfId="0" applyFont="1" applyBorder="1" applyAlignment="1">
      <alignment wrapText="1"/>
    </xf>
    <xf numFmtId="0" fontId="1" fillId="0" borderId="0" xfId="0" applyFont="1" applyAlignment="1">
      <alignment vertical="top" wrapText="1"/>
    </xf>
    <xf numFmtId="0" fontId="1" fillId="0" borderId="11" xfId="0" applyFont="1" applyBorder="1" applyAlignment="1">
      <alignment vertical="top" wrapText="1"/>
    </xf>
    <xf numFmtId="0" fontId="1" fillId="0" borderId="0" xfId="0" applyFont="1"/>
    <xf numFmtId="0" fontId="1" fillId="0" borderId="12" xfId="0" applyFont="1" applyBorder="1" applyAlignment="1">
      <alignment horizontal="center"/>
    </xf>
    <xf numFmtId="0" fontId="5" fillId="0" borderId="13" xfId="0" applyFont="1" applyBorder="1"/>
    <xf numFmtId="0" fontId="5" fillId="0" borderId="35" xfId="0" applyFont="1" applyBorder="1"/>
    <xf numFmtId="11" fontId="2" fillId="0" borderId="2" xfId="0" applyNumberFormat="1" applyFont="1" applyBorder="1" applyAlignment="1">
      <alignment horizontal="center"/>
    </xf>
    <xf numFmtId="0" fontId="5" fillId="0" borderId="3" xfId="0" applyFont="1" applyBorder="1"/>
    <xf numFmtId="0" fontId="2" fillId="0" borderId="2" xfId="0" applyFont="1" applyBorder="1" applyAlignment="1">
      <alignment horizontal="center"/>
    </xf>
    <xf numFmtId="0" fontId="0" fillId="0" borderId="36" xfId="0" applyBorder="1"/>
    <xf numFmtId="0" fontId="0" fillId="0" borderId="37" xfId="0" applyBorder="1"/>
    <xf numFmtId="0" fontId="0" fillId="0" borderId="38" xfId="0" applyBorder="1"/>
    <xf numFmtId="0" fontId="0" fillId="0" borderId="39" xfId="0" applyBorder="1"/>
    <xf numFmtId="0" fontId="0" fillId="0" borderId="24" xfId="0" applyBorder="1"/>
    <xf numFmtId="0" fontId="0" fillId="0" borderId="40" xfId="0" applyBorder="1"/>
    <xf numFmtId="0" fontId="0" fillId="0" borderId="41" xfId="0" applyBorder="1"/>
    <xf numFmtId="0" fontId="0" fillId="0" borderId="42" xfId="0" applyBorder="1"/>
    <xf numFmtId="0" fontId="0" fillId="0" borderId="43" xfId="0" applyBorder="1"/>
    <xf numFmtId="0" fontId="11" fillId="0" borderId="24" xfId="0" applyFont="1" applyBorder="1" applyAlignment="1">
      <alignment horizontal="left" wrapText="1"/>
    </xf>
    <xf numFmtId="0" fontId="11" fillId="0" borderId="0" xfId="0" applyFont="1" applyAlignment="1">
      <alignment horizontal="left" wrapText="1"/>
    </xf>
    <xf numFmtId="0" fontId="10" fillId="0" borderId="0" xfId="0" applyFont="1" applyAlignment="1">
      <alignment horizontal="left" wrapText="1"/>
    </xf>
    <xf numFmtId="0" fontId="9" fillId="0" borderId="36" xfId="0" applyFont="1" applyBorder="1"/>
    <xf numFmtId="0" fontId="9" fillId="0" borderId="37" xfId="0" applyFont="1" applyBorder="1"/>
    <xf numFmtId="0" fontId="9" fillId="0" borderId="38" xfId="0" applyFont="1" applyBorder="1"/>
    <xf numFmtId="0" fontId="9" fillId="0" borderId="39" xfId="0" applyFont="1" applyBorder="1"/>
    <xf numFmtId="0" fontId="9" fillId="0" borderId="24" xfId="0" applyFont="1" applyBorder="1"/>
    <xf numFmtId="0" fontId="9" fillId="0" borderId="40" xfId="0" applyFont="1" applyBorder="1"/>
    <xf numFmtId="0" fontId="9" fillId="0" borderId="44" xfId="0" applyFont="1" applyBorder="1"/>
    <xf numFmtId="0" fontId="9" fillId="0" borderId="45" xfId="0" applyFont="1" applyBorder="1"/>
    <xf numFmtId="0" fontId="9" fillId="0" borderId="46" xfId="0" applyFont="1" applyBorder="1"/>
  </cellXfs>
  <cellStyles count="1">
    <cellStyle name="Normal" xfId="0" builtinId="0"/>
  </cellStyles>
  <dxfs count="3">
    <dxf>
      <fill>
        <patternFill patternType="solid">
          <fgColor rgb="FFA4C2F4"/>
          <bgColor rgb="FFA4C2F4"/>
        </patternFill>
      </fill>
    </dxf>
    <dxf>
      <fill>
        <patternFill patternType="solid">
          <fgColor rgb="FFE06666"/>
          <bgColor rgb="FFE06666"/>
        </patternFill>
      </fill>
    </dxf>
    <dxf>
      <fill>
        <patternFill patternType="solid">
          <fgColor rgb="FFFFE599"/>
          <bgColor rgb="FFFFE5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customschemas.google.com/relationships/workbookmetadata" Target="metadata"/><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1000"/>
  <sheetViews>
    <sheetView showGridLines="0" workbookViewId="0"/>
  </sheetViews>
  <sheetFormatPr defaultColWidth="12.6640625" defaultRowHeight="15" customHeight="1"/>
  <cols>
    <col min="1" max="1" width="9.44140625" customWidth="1"/>
    <col min="2" max="2" width="9" customWidth="1"/>
    <col min="3" max="3" width="11.21875" customWidth="1"/>
    <col min="4" max="4" width="8.88671875" customWidth="1"/>
    <col min="5" max="5" width="11.44140625" customWidth="1"/>
    <col min="6" max="6" width="8.6640625" customWidth="1"/>
    <col min="7" max="7" width="11.44140625" customWidth="1"/>
    <col min="8" max="8" width="8.6640625" customWidth="1"/>
    <col min="9" max="9" width="11.33203125" customWidth="1"/>
    <col min="10" max="10" width="8.6640625" customWidth="1"/>
    <col min="11" max="11" width="11.33203125" customWidth="1"/>
    <col min="12" max="12" width="8.6640625" customWidth="1"/>
    <col min="13" max="13" width="11.21875" customWidth="1"/>
    <col min="14" max="14" width="8.6640625" customWidth="1"/>
    <col min="15" max="15" width="11.21875" customWidth="1"/>
    <col min="16" max="16" width="8.6640625" customWidth="1"/>
    <col min="17" max="17" width="11.21875" customWidth="1"/>
    <col min="18" max="18" width="8.6640625" customWidth="1"/>
    <col min="19" max="19" width="11.109375" customWidth="1"/>
    <col min="20" max="20" width="8.6640625" customWidth="1"/>
    <col min="21" max="21" width="11.44140625" customWidth="1"/>
    <col min="22" max="22" width="8.6640625" customWidth="1"/>
    <col min="23" max="23" width="11.109375" customWidth="1"/>
    <col min="24" max="24" width="8.6640625" customWidth="1"/>
    <col min="25" max="25" width="11.109375" customWidth="1"/>
    <col min="26" max="26" width="8.6640625" customWidth="1"/>
    <col min="27" max="27" width="11.21875" customWidth="1"/>
    <col min="28" max="28" width="8.6640625" customWidth="1"/>
    <col min="29" max="29" width="11.44140625" customWidth="1"/>
  </cols>
  <sheetData>
    <row r="1" spans="1:29" ht="14.25" customHeight="1">
      <c r="A1" s="1" t="s">
        <v>0</v>
      </c>
      <c r="B1" s="2" t="s">
        <v>1</v>
      </c>
      <c r="C1" s="3"/>
      <c r="D1" s="2" t="s">
        <v>2</v>
      </c>
      <c r="E1" s="3"/>
      <c r="F1" s="2" t="s">
        <v>3</v>
      </c>
      <c r="G1" s="3"/>
      <c r="H1" s="2" t="s">
        <v>4</v>
      </c>
      <c r="I1" s="3"/>
      <c r="J1" s="2" t="s">
        <v>5</v>
      </c>
      <c r="K1" s="3"/>
      <c r="L1" s="2" t="s">
        <v>6</v>
      </c>
      <c r="M1" s="3"/>
      <c r="N1" s="2" t="s">
        <v>7</v>
      </c>
      <c r="O1" s="3"/>
      <c r="P1" s="2" t="s">
        <v>8</v>
      </c>
      <c r="Q1" s="3"/>
      <c r="R1" s="2" t="s">
        <v>9</v>
      </c>
      <c r="S1" s="3"/>
      <c r="T1" s="2" t="s">
        <v>10</v>
      </c>
      <c r="U1" s="3"/>
      <c r="V1" s="2" t="s">
        <v>11</v>
      </c>
      <c r="W1" s="3"/>
      <c r="X1" s="2" t="s">
        <v>12</v>
      </c>
      <c r="Y1" s="3"/>
      <c r="Z1" s="2" t="s">
        <v>13</v>
      </c>
      <c r="AA1" s="3"/>
      <c r="AB1" s="2" t="s">
        <v>14</v>
      </c>
      <c r="AC1" s="3"/>
    </row>
    <row r="2" spans="1:29" ht="14.25" customHeight="1">
      <c r="A2" s="4"/>
      <c r="B2" s="5"/>
      <c r="C2" s="6"/>
      <c r="D2" s="5"/>
      <c r="E2" s="6"/>
      <c r="F2" s="5"/>
      <c r="G2" s="6"/>
      <c r="H2" s="5"/>
      <c r="I2" s="6"/>
      <c r="J2" s="5"/>
      <c r="K2" s="6"/>
      <c r="L2" s="5"/>
      <c r="M2" s="6"/>
      <c r="N2" s="5"/>
      <c r="O2" s="6"/>
      <c r="P2" s="5"/>
      <c r="Q2" s="6"/>
      <c r="R2" s="5"/>
      <c r="S2" s="6"/>
      <c r="T2" s="5"/>
      <c r="U2" s="6"/>
      <c r="V2" s="5"/>
      <c r="W2" s="6"/>
      <c r="X2" s="5"/>
      <c r="Y2" s="6"/>
      <c r="Z2" s="5"/>
      <c r="AA2" s="6"/>
      <c r="AB2" s="5"/>
      <c r="AC2" s="6"/>
    </row>
    <row r="3" spans="1:29" ht="14.25" customHeight="1">
      <c r="A3" s="7"/>
      <c r="B3" s="8" t="s">
        <v>15</v>
      </c>
      <c r="C3" s="9" t="s">
        <v>16</v>
      </c>
      <c r="D3" s="8" t="s">
        <v>15</v>
      </c>
      <c r="E3" s="9" t="s">
        <v>16</v>
      </c>
      <c r="F3" s="8" t="s">
        <v>15</v>
      </c>
      <c r="G3" s="9" t="s">
        <v>16</v>
      </c>
      <c r="H3" s="8" t="s">
        <v>15</v>
      </c>
      <c r="I3" s="9" t="s">
        <v>16</v>
      </c>
      <c r="J3" s="8" t="s">
        <v>15</v>
      </c>
      <c r="K3" s="9" t="s">
        <v>16</v>
      </c>
      <c r="L3" s="8" t="s">
        <v>15</v>
      </c>
      <c r="M3" s="9" t="s">
        <v>16</v>
      </c>
      <c r="N3" s="8" t="s">
        <v>15</v>
      </c>
      <c r="O3" s="9" t="s">
        <v>16</v>
      </c>
      <c r="P3" s="8" t="s">
        <v>15</v>
      </c>
      <c r="Q3" s="9" t="s">
        <v>16</v>
      </c>
      <c r="R3" s="8" t="s">
        <v>15</v>
      </c>
      <c r="S3" s="9" t="s">
        <v>16</v>
      </c>
      <c r="T3" s="8" t="s">
        <v>15</v>
      </c>
      <c r="U3" s="9" t="s">
        <v>16</v>
      </c>
      <c r="V3" s="8" t="s">
        <v>15</v>
      </c>
      <c r="W3" s="9" t="s">
        <v>16</v>
      </c>
      <c r="X3" s="8" t="s">
        <v>15</v>
      </c>
      <c r="Y3" s="9" t="s">
        <v>16</v>
      </c>
      <c r="Z3" s="8" t="s">
        <v>15</v>
      </c>
      <c r="AA3" s="9" t="s">
        <v>16</v>
      </c>
      <c r="AB3" s="8" t="s">
        <v>15</v>
      </c>
      <c r="AC3" s="9" t="s">
        <v>16</v>
      </c>
    </row>
    <row r="4" spans="1:29" ht="14.25" customHeight="1">
      <c r="A4" s="7" t="s">
        <v>17</v>
      </c>
      <c r="C4" s="10"/>
      <c r="E4" s="10"/>
      <c r="G4" s="10"/>
      <c r="I4" s="10"/>
      <c r="K4" s="10"/>
      <c r="M4" s="10"/>
      <c r="O4" s="10"/>
      <c r="Q4" s="10"/>
      <c r="S4" s="10"/>
      <c r="U4" s="10"/>
      <c r="W4" s="10"/>
      <c r="Y4" s="10"/>
      <c r="AA4" s="10"/>
      <c r="AC4" s="10"/>
    </row>
    <row r="5" spans="1:29" ht="14.25" customHeight="1">
      <c r="A5" s="11" t="s">
        <v>18</v>
      </c>
      <c r="B5" s="12">
        <v>0</v>
      </c>
      <c r="C5" s="13"/>
      <c r="D5" s="12">
        <v>0</v>
      </c>
      <c r="E5" s="13"/>
      <c r="F5" s="12">
        <v>0</v>
      </c>
      <c r="G5" s="13"/>
      <c r="H5" s="12">
        <v>0</v>
      </c>
      <c r="I5" s="13"/>
      <c r="J5" s="12">
        <v>0</v>
      </c>
      <c r="K5" s="13"/>
      <c r="L5" s="12">
        <v>0</v>
      </c>
      <c r="M5" s="13"/>
      <c r="N5" s="12">
        <v>0</v>
      </c>
      <c r="O5" s="13"/>
      <c r="P5" s="12">
        <v>0</v>
      </c>
      <c r="Q5" s="13"/>
      <c r="R5" s="12">
        <v>0</v>
      </c>
      <c r="S5" s="13"/>
      <c r="T5" s="12">
        <v>0</v>
      </c>
      <c r="U5" s="13"/>
      <c r="V5" s="12">
        <v>0</v>
      </c>
      <c r="W5" s="13"/>
      <c r="X5" s="12">
        <v>0</v>
      </c>
      <c r="Y5" s="13"/>
      <c r="Z5" s="12">
        <v>0</v>
      </c>
      <c r="AA5" s="13"/>
      <c r="AB5" s="12">
        <v>0</v>
      </c>
      <c r="AC5" s="13"/>
    </row>
    <row r="6" spans="1:29" ht="14.25" customHeight="1">
      <c r="A6" s="11" t="s">
        <v>19</v>
      </c>
      <c r="B6" s="12">
        <v>13</v>
      </c>
      <c r="C6" s="13">
        <v>0.216667</v>
      </c>
      <c r="D6" s="12">
        <v>0</v>
      </c>
      <c r="E6" s="13"/>
      <c r="F6" s="12">
        <v>0</v>
      </c>
      <c r="G6" s="13"/>
      <c r="H6" s="12">
        <v>0</v>
      </c>
      <c r="I6" s="13"/>
      <c r="J6" s="12">
        <v>0</v>
      </c>
      <c r="K6" s="13"/>
      <c r="L6" s="12">
        <v>0</v>
      </c>
      <c r="M6" s="13"/>
      <c r="N6" s="12">
        <v>0</v>
      </c>
      <c r="O6" s="13"/>
      <c r="P6" s="12">
        <v>1</v>
      </c>
      <c r="Q6" s="13">
        <v>1.6667000000000001E-2</v>
      </c>
      <c r="R6" s="12">
        <v>0</v>
      </c>
      <c r="S6" s="13"/>
      <c r="T6" s="12">
        <v>0</v>
      </c>
      <c r="U6" s="13"/>
      <c r="V6" s="12">
        <v>0</v>
      </c>
      <c r="W6" s="13"/>
      <c r="X6" s="12">
        <v>0</v>
      </c>
      <c r="Y6" s="13"/>
      <c r="Z6" s="12">
        <v>1</v>
      </c>
      <c r="AA6" s="13">
        <v>1.6667000000000001E-2</v>
      </c>
      <c r="AB6" s="12">
        <v>0</v>
      </c>
      <c r="AC6" s="13"/>
    </row>
    <row r="7" spans="1:29" ht="14.25" customHeight="1">
      <c r="A7" s="11" t="s">
        <v>20</v>
      </c>
      <c r="B7" s="12">
        <v>0</v>
      </c>
      <c r="C7" s="13"/>
      <c r="D7" s="12">
        <v>0</v>
      </c>
      <c r="E7" s="13"/>
      <c r="F7" s="12">
        <v>0</v>
      </c>
      <c r="G7" s="13"/>
      <c r="H7" s="12">
        <v>1</v>
      </c>
      <c r="I7" s="13">
        <v>3.1150000000000001E-3</v>
      </c>
      <c r="J7" s="12">
        <v>0</v>
      </c>
      <c r="K7" s="13"/>
      <c r="L7" s="12">
        <v>0</v>
      </c>
      <c r="M7" s="13"/>
      <c r="N7" s="12">
        <v>0</v>
      </c>
      <c r="O7" s="13"/>
      <c r="P7" s="12">
        <v>5</v>
      </c>
      <c r="Q7" s="13">
        <v>1.5576E-2</v>
      </c>
      <c r="R7" s="12">
        <v>0</v>
      </c>
      <c r="S7" s="13"/>
      <c r="T7" s="12">
        <v>0</v>
      </c>
      <c r="U7" s="13"/>
      <c r="V7" s="12">
        <v>0</v>
      </c>
      <c r="W7" s="13"/>
      <c r="X7" s="12">
        <v>0</v>
      </c>
      <c r="Y7" s="13"/>
      <c r="Z7" s="12">
        <v>14</v>
      </c>
      <c r="AA7" s="13">
        <v>4.3614E-2</v>
      </c>
      <c r="AB7" s="12">
        <v>1</v>
      </c>
      <c r="AC7" s="13">
        <v>3.1150000000000001E-3</v>
      </c>
    </row>
    <row r="8" spans="1:29" ht="14.25" customHeight="1">
      <c r="A8" s="11" t="s">
        <v>21</v>
      </c>
      <c r="B8" s="12">
        <v>0</v>
      </c>
      <c r="C8" s="13"/>
      <c r="D8" s="12">
        <v>0</v>
      </c>
      <c r="E8" s="13"/>
      <c r="F8" s="12">
        <v>1</v>
      </c>
      <c r="G8" s="13">
        <v>2.32E-3</v>
      </c>
      <c r="H8" s="12">
        <v>0</v>
      </c>
      <c r="I8" s="13"/>
      <c r="J8" s="12">
        <v>0</v>
      </c>
      <c r="K8" s="13"/>
      <c r="L8" s="12">
        <v>0</v>
      </c>
      <c r="M8" s="13"/>
      <c r="N8" s="12">
        <v>0</v>
      </c>
      <c r="O8" s="13"/>
      <c r="P8" s="12">
        <v>7</v>
      </c>
      <c r="Q8" s="13">
        <v>1.6240999999999998E-2</v>
      </c>
      <c r="R8" s="12">
        <v>0</v>
      </c>
      <c r="S8" s="13"/>
      <c r="T8" s="12">
        <v>0</v>
      </c>
      <c r="U8" s="13"/>
      <c r="V8" s="12">
        <v>0</v>
      </c>
      <c r="W8" s="13"/>
      <c r="X8" s="12">
        <v>0</v>
      </c>
      <c r="Y8" s="13"/>
      <c r="Z8" s="12">
        <v>15</v>
      </c>
      <c r="AA8" s="13">
        <v>3.4803000000000001E-2</v>
      </c>
      <c r="AB8" s="12">
        <v>0</v>
      </c>
      <c r="AC8" s="13"/>
    </row>
    <row r="9" spans="1:29" ht="14.25" customHeight="1">
      <c r="A9" s="11" t="s">
        <v>22</v>
      </c>
      <c r="B9" s="12">
        <v>1</v>
      </c>
      <c r="C9" s="13">
        <v>2.3579999999999999E-3</v>
      </c>
      <c r="D9" s="12">
        <v>0</v>
      </c>
      <c r="E9" s="13"/>
      <c r="F9" s="12">
        <v>3</v>
      </c>
      <c r="G9" s="13">
        <v>7.0749999999999997E-3</v>
      </c>
      <c r="H9" s="12">
        <v>0</v>
      </c>
      <c r="I9" s="13"/>
      <c r="J9" s="12">
        <v>0</v>
      </c>
      <c r="K9" s="13"/>
      <c r="L9" s="12">
        <v>0</v>
      </c>
      <c r="M9" s="13"/>
      <c r="N9" s="12">
        <v>0</v>
      </c>
      <c r="O9" s="13"/>
      <c r="P9" s="12">
        <v>4</v>
      </c>
      <c r="Q9" s="13">
        <v>9.4339999999999997E-3</v>
      </c>
      <c r="R9" s="12">
        <v>0</v>
      </c>
      <c r="S9" s="13"/>
      <c r="T9" s="12">
        <v>0</v>
      </c>
      <c r="U9" s="13"/>
      <c r="V9" s="12">
        <v>0</v>
      </c>
      <c r="W9" s="13"/>
      <c r="X9" s="12">
        <v>0</v>
      </c>
      <c r="Y9" s="13"/>
      <c r="Z9" s="12">
        <v>11</v>
      </c>
      <c r="AA9" s="13">
        <v>2.5943000000000001E-2</v>
      </c>
      <c r="AB9" s="12">
        <v>0</v>
      </c>
      <c r="AC9" s="13"/>
    </row>
    <row r="10" spans="1:29" ht="14.25" customHeight="1">
      <c r="A10" s="11" t="s">
        <v>23</v>
      </c>
      <c r="B10" s="12">
        <v>0</v>
      </c>
      <c r="C10" s="13"/>
      <c r="D10" s="12">
        <v>0</v>
      </c>
      <c r="E10" s="13"/>
      <c r="F10" s="12">
        <v>10</v>
      </c>
      <c r="G10" s="13">
        <v>3.0675000000000001E-2</v>
      </c>
      <c r="H10" s="12">
        <v>0</v>
      </c>
      <c r="I10" s="13"/>
      <c r="J10" s="12">
        <v>0</v>
      </c>
      <c r="K10" s="13"/>
      <c r="L10" s="12">
        <v>0</v>
      </c>
      <c r="M10" s="13"/>
      <c r="N10" s="12">
        <v>0</v>
      </c>
      <c r="O10" s="13"/>
      <c r="P10" s="12">
        <v>4</v>
      </c>
      <c r="Q10" s="13">
        <v>1.227E-2</v>
      </c>
      <c r="R10" s="12">
        <v>0</v>
      </c>
      <c r="S10" s="13"/>
      <c r="T10" s="12">
        <v>0</v>
      </c>
      <c r="U10" s="13"/>
      <c r="V10" s="12">
        <v>0</v>
      </c>
      <c r="W10" s="13"/>
      <c r="X10" s="12">
        <v>0</v>
      </c>
      <c r="Y10" s="13"/>
      <c r="Z10" s="12">
        <v>17</v>
      </c>
      <c r="AA10" s="13">
        <v>5.2146999999999999E-2</v>
      </c>
      <c r="AB10" s="12">
        <v>0</v>
      </c>
      <c r="AC10" s="13"/>
    </row>
    <row r="11" spans="1:29" ht="14.25" customHeight="1">
      <c r="A11" s="11" t="s">
        <v>24</v>
      </c>
      <c r="B11" s="12">
        <v>0</v>
      </c>
      <c r="C11" s="13"/>
      <c r="D11" s="12">
        <v>1</v>
      </c>
      <c r="E11" s="13">
        <v>2.3530000000000001E-3</v>
      </c>
      <c r="F11" s="12">
        <v>7</v>
      </c>
      <c r="G11" s="13">
        <v>1.6471E-2</v>
      </c>
      <c r="H11" s="12">
        <v>0</v>
      </c>
      <c r="I11" s="13"/>
      <c r="J11" s="12">
        <v>0</v>
      </c>
      <c r="K11" s="13"/>
      <c r="L11" s="12">
        <v>0</v>
      </c>
      <c r="M11" s="13"/>
      <c r="N11" s="12">
        <v>0</v>
      </c>
      <c r="O11" s="13"/>
      <c r="P11" s="12">
        <v>0</v>
      </c>
      <c r="Q11" s="13"/>
      <c r="R11" s="12">
        <v>0</v>
      </c>
      <c r="S11" s="13"/>
      <c r="T11" s="12">
        <v>0</v>
      </c>
      <c r="U11" s="13"/>
      <c r="V11" s="12">
        <v>0</v>
      </c>
      <c r="W11" s="13"/>
      <c r="X11" s="12">
        <v>0</v>
      </c>
      <c r="Y11" s="13"/>
      <c r="Z11" s="12">
        <v>4</v>
      </c>
      <c r="AA11" s="13">
        <v>9.4120000000000002E-3</v>
      </c>
      <c r="AB11" s="12">
        <v>0</v>
      </c>
      <c r="AC11" s="13"/>
    </row>
    <row r="12" spans="1:29" ht="14.25" customHeight="1">
      <c r="A12" s="11" t="s">
        <v>25</v>
      </c>
      <c r="B12" s="12">
        <v>0</v>
      </c>
      <c r="C12" s="13"/>
      <c r="D12" s="12">
        <v>1</v>
      </c>
      <c r="E12" s="13">
        <v>9.0899999999999998E-4</v>
      </c>
      <c r="F12" s="12">
        <v>9</v>
      </c>
      <c r="G12" s="13">
        <v>8.182E-3</v>
      </c>
      <c r="H12" s="12">
        <v>0</v>
      </c>
      <c r="I12" s="13"/>
      <c r="J12" s="12">
        <v>0</v>
      </c>
      <c r="K12" s="13"/>
      <c r="L12" s="12">
        <v>0</v>
      </c>
      <c r="M12" s="13"/>
      <c r="N12" s="12">
        <v>0</v>
      </c>
      <c r="O12" s="13"/>
      <c r="P12" s="12">
        <v>0</v>
      </c>
      <c r="Q12" s="13"/>
      <c r="R12" s="12">
        <v>0</v>
      </c>
      <c r="S12" s="13"/>
      <c r="T12" s="12">
        <v>0</v>
      </c>
      <c r="U12" s="13"/>
      <c r="V12" s="12">
        <v>0</v>
      </c>
      <c r="W12" s="13"/>
      <c r="X12" s="12">
        <v>0</v>
      </c>
      <c r="Y12" s="13"/>
      <c r="Z12" s="12">
        <v>12</v>
      </c>
      <c r="AA12" s="13">
        <v>1.0909E-2</v>
      </c>
      <c r="AB12" s="12">
        <v>0</v>
      </c>
      <c r="AC12" s="13"/>
    </row>
    <row r="13" spans="1:29" ht="14.25" customHeight="1">
      <c r="A13" s="11" t="s">
        <v>26</v>
      </c>
      <c r="B13" s="12">
        <v>0</v>
      </c>
      <c r="C13" s="13"/>
      <c r="D13" s="12">
        <v>0</v>
      </c>
      <c r="E13" s="13"/>
      <c r="F13" s="12">
        <v>4</v>
      </c>
      <c r="G13" s="13">
        <v>1.1169999999999999E-3</v>
      </c>
      <c r="H13" s="12">
        <v>1</v>
      </c>
      <c r="I13" s="13">
        <v>2.7900000000000001E-4</v>
      </c>
      <c r="J13" s="12">
        <v>0</v>
      </c>
      <c r="K13" s="13"/>
      <c r="L13" s="12">
        <v>0</v>
      </c>
      <c r="M13" s="13"/>
      <c r="N13" s="12">
        <v>0</v>
      </c>
      <c r="O13" s="13"/>
      <c r="P13" s="12">
        <v>1</v>
      </c>
      <c r="Q13" s="13">
        <v>2.7900000000000001E-4</v>
      </c>
      <c r="R13" s="12">
        <v>3</v>
      </c>
      <c r="S13" s="13">
        <v>8.3799999999999999E-4</v>
      </c>
      <c r="T13" s="12">
        <v>0</v>
      </c>
      <c r="U13" s="13"/>
      <c r="V13" s="12">
        <v>0</v>
      </c>
      <c r="W13" s="13"/>
      <c r="X13" s="12">
        <v>0</v>
      </c>
      <c r="Y13" s="13"/>
      <c r="Z13" s="12">
        <v>9</v>
      </c>
      <c r="AA13" s="13">
        <v>2.513E-3</v>
      </c>
      <c r="AB13" s="12">
        <v>0</v>
      </c>
      <c r="AC13" s="13"/>
    </row>
    <row r="14" spans="1:29" ht="14.25" customHeight="1">
      <c r="A14" s="11" t="s">
        <v>27</v>
      </c>
      <c r="B14" s="12">
        <v>2</v>
      </c>
      <c r="C14" s="13">
        <v>2.04E-4</v>
      </c>
      <c r="D14" s="12">
        <v>0</v>
      </c>
      <c r="E14" s="13"/>
      <c r="F14" s="12">
        <v>33</v>
      </c>
      <c r="G14" s="13">
        <v>3.372E-3</v>
      </c>
      <c r="H14" s="12">
        <v>1</v>
      </c>
      <c r="I14" s="13">
        <v>1.02E-4</v>
      </c>
      <c r="J14" s="12">
        <v>0</v>
      </c>
      <c r="K14" s="13"/>
      <c r="L14" s="12">
        <v>0</v>
      </c>
      <c r="M14" s="13"/>
      <c r="N14" s="12">
        <v>0</v>
      </c>
      <c r="O14" s="13"/>
      <c r="P14" s="12">
        <v>1</v>
      </c>
      <c r="Q14" s="13">
        <v>1.02E-4</v>
      </c>
      <c r="R14" s="12">
        <v>0</v>
      </c>
      <c r="S14" s="13"/>
      <c r="T14" s="12">
        <v>0</v>
      </c>
      <c r="U14" s="13"/>
      <c r="V14" s="12">
        <v>0</v>
      </c>
      <c r="W14" s="13"/>
      <c r="X14" s="12">
        <v>0</v>
      </c>
      <c r="Y14" s="13"/>
      <c r="Z14" s="12">
        <v>12</v>
      </c>
      <c r="AA14" s="13">
        <v>1.2260000000000001E-3</v>
      </c>
      <c r="AB14" s="12">
        <v>0</v>
      </c>
      <c r="AC14" s="13"/>
    </row>
    <row r="15" spans="1:29" ht="14.25" customHeight="1">
      <c r="A15" s="11" t="s">
        <v>28</v>
      </c>
      <c r="B15" s="12">
        <v>3</v>
      </c>
      <c r="C15" s="13">
        <v>1.7899999999999999E-4</v>
      </c>
      <c r="D15" s="12">
        <v>0</v>
      </c>
      <c r="E15" s="13"/>
      <c r="F15" s="12">
        <v>25</v>
      </c>
      <c r="G15" s="13">
        <v>1.4920000000000001E-3</v>
      </c>
      <c r="H15" s="12">
        <v>0</v>
      </c>
      <c r="I15" s="13"/>
      <c r="J15" s="12">
        <v>0</v>
      </c>
      <c r="K15" s="13"/>
      <c r="L15" s="12">
        <v>1</v>
      </c>
      <c r="M15" s="13">
        <v>6.0000000000000002E-5</v>
      </c>
      <c r="N15" s="12">
        <v>0</v>
      </c>
      <c r="O15" s="13"/>
      <c r="P15" s="12">
        <v>3</v>
      </c>
      <c r="Q15" s="13">
        <v>1.7899999999999999E-4</v>
      </c>
      <c r="R15" s="12">
        <v>2</v>
      </c>
      <c r="S15" s="13">
        <v>1.1900000000000001E-4</v>
      </c>
      <c r="T15" s="12">
        <v>0</v>
      </c>
      <c r="U15" s="13"/>
      <c r="V15" s="12">
        <v>0</v>
      </c>
      <c r="W15" s="13"/>
      <c r="X15" s="12">
        <v>0</v>
      </c>
      <c r="Y15" s="13"/>
      <c r="Z15" s="12">
        <v>3</v>
      </c>
      <c r="AA15" s="13">
        <v>1.7899999999999999E-4</v>
      </c>
      <c r="AB15" s="12">
        <v>0</v>
      </c>
      <c r="AC15" s="13"/>
    </row>
    <row r="16" spans="1:29" ht="14.25" customHeight="1">
      <c r="A16" s="11" t="s">
        <v>29</v>
      </c>
      <c r="B16" s="12">
        <v>4</v>
      </c>
      <c r="C16" s="13">
        <v>1.8799999999999999E-4</v>
      </c>
      <c r="D16" s="12">
        <v>1</v>
      </c>
      <c r="E16" s="13">
        <v>4.6999999999999997E-5</v>
      </c>
      <c r="F16" s="12">
        <v>9</v>
      </c>
      <c r="G16" s="13">
        <v>4.2299999999999998E-4</v>
      </c>
      <c r="H16" s="12">
        <v>0</v>
      </c>
      <c r="I16" s="13"/>
      <c r="J16" s="12">
        <v>2</v>
      </c>
      <c r="K16" s="13">
        <v>9.3999999999999994E-5</v>
      </c>
      <c r="L16" s="12">
        <v>0</v>
      </c>
      <c r="M16" s="13"/>
      <c r="N16" s="12">
        <v>0</v>
      </c>
      <c r="O16" s="13"/>
      <c r="P16" s="12">
        <v>1</v>
      </c>
      <c r="Q16" s="13">
        <v>4.6999999999999997E-5</v>
      </c>
      <c r="R16" s="12">
        <v>0</v>
      </c>
      <c r="S16" s="13"/>
      <c r="T16" s="12">
        <v>0</v>
      </c>
      <c r="U16" s="13"/>
      <c r="V16" s="12">
        <v>0</v>
      </c>
      <c r="W16" s="13"/>
      <c r="X16" s="12">
        <v>0</v>
      </c>
      <c r="Y16" s="13"/>
      <c r="Z16" s="12">
        <v>10</v>
      </c>
      <c r="AA16" s="13">
        <v>4.6999999999999999E-4</v>
      </c>
      <c r="AB16" s="12">
        <v>0</v>
      </c>
      <c r="AC16" s="13"/>
    </row>
    <row r="17" spans="1:29" ht="14.25" customHeight="1">
      <c r="A17" s="11" t="s">
        <v>30</v>
      </c>
      <c r="B17" s="12">
        <v>5</v>
      </c>
      <c r="C17" s="13">
        <v>2.5099999999999998E-4</v>
      </c>
      <c r="D17" s="12">
        <v>1</v>
      </c>
      <c r="E17" s="13">
        <v>5.0000000000000002E-5</v>
      </c>
      <c r="F17" s="12">
        <v>22</v>
      </c>
      <c r="G17" s="13">
        <v>1.1039999999999999E-3</v>
      </c>
      <c r="H17" s="12">
        <v>0</v>
      </c>
      <c r="I17" s="13"/>
      <c r="J17" s="12">
        <v>0</v>
      </c>
      <c r="K17" s="13"/>
      <c r="L17" s="12">
        <v>0</v>
      </c>
      <c r="M17" s="13"/>
      <c r="N17" s="12">
        <v>0</v>
      </c>
      <c r="O17" s="13"/>
      <c r="P17" s="12">
        <v>2</v>
      </c>
      <c r="Q17" s="13">
        <v>1E-4</v>
      </c>
      <c r="R17" s="12">
        <v>1</v>
      </c>
      <c r="S17" s="13">
        <v>5.0000000000000002E-5</v>
      </c>
      <c r="T17" s="12">
        <v>1</v>
      </c>
      <c r="U17" s="13">
        <v>5.0000000000000002E-5</v>
      </c>
      <c r="V17" s="12">
        <v>0</v>
      </c>
      <c r="W17" s="13"/>
      <c r="X17" s="12">
        <v>0</v>
      </c>
      <c r="Y17" s="13"/>
      <c r="Z17" s="12">
        <v>8</v>
      </c>
      <c r="AA17" s="13">
        <v>4.0099999999999999E-4</v>
      </c>
      <c r="AB17" s="12">
        <v>0</v>
      </c>
      <c r="AC17" s="13"/>
    </row>
    <row r="18" spans="1:29" ht="14.25" customHeight="1">
      <c r="A18" s="11" t="s">
        <v>31</v>
      </c>
      <c r="B18" s="12">
        <v>4</v>
      </c>
      <c r="C18" s="13">
        <v>2.4399999999999999E-4</v>
      </c>
      <c r="D18" s="12">
        <v>0</v>
      </c>
      <c r="E18" s="13"/>
      <c r="F18" s="12">
        <v>20</v>
      </c>
      <c r="G18" s="13">
        <v>1.222E-3</v>
      </c>
      <c r="H18" s="12">
        <v>1</v>
      </c>
      <c r="I18" s="13">
        <v>6.0999999999999999E-5</v>
      </c>
      <c r="J18" s="12">
        <v>0</v>
      </c>
      <c r="K18" s="13"/>
      <c r="L18" s="12">
        <v>2</v>
      </c>
      <c r="M18" s="13">
        <v>1.22E-4</v>
      </c>
      <c r="N18" s="12">
        <v>0</v>
      </c>
      <c r="O18" s="13"/>
      <c r="P18" s="12">
        <v>6</v>
      </c>
      <c r="Q18" s="13">
        <v>3.6699999999999998E-4</v>
      </c>
      <c r="R18" s="12">
        <v>8</v>
      </c>
      <c r="S18" s="13">
        <v>4.8899999999999996E-4</v>
      </c>
      <c r="T18" s="12">
        <v>0</v>
      </c>
      <c r="U18" s="13"/>
      <c r="V18" s="12">
        <v>0</v>
      </c>
      <c r="W18" s="13"/>
      <c r="X18" s="12">
        <v>0</v>
      </c>
      <c r="Y18" s="13"/>
      <c r="Z18" s="12">
        <v>9</v>
      </c>
      <c r="AA18" s="13">
        <v>5.5000000000000003E-4</v>
      </c>
      <c r="AB18" s="12">
        <v>0</v>
      </c>
      <c r="AC18" s="13"/>
    </row>
    <row r="19" spans="1:29" ht="14.25" customHeight="1">
      <c r="A19" s="11" t="s">
        <v>32</v>
      </c>
      <c r="B19" s="12">
        <v>4</v>
      </c>
      <c r="C19" s="13">
        <v>2.9100000000000003E-4</v>
      </c>
      <c r="D19" s="12">
        <v>0</v>
      </c>
      <c r="E19" s="13"/>
      <c r="F19" s="12">
        <v>4</v>
      </c>
      <c r="G19" s="13">
        <v>2.9100000000000003E-4</v>
      </c>
      <c r="H19" s="12">
        <v>1</v>
      </c>
      <c r="I19" s="13">
        <v>7.2999999999999999E-5</v>
      </c>
      <c r="J19" s="12">
        <v>0</v>
      </c>
      <c r="K19" s="13"/>
      <c r="L19" s="12">
        <v>0</v>
      </c>
      <c r="M19" s="13"/>
      <c r="N19" s="12">
        <v>0</v>
      </c>
      <c r="O19" s="13"/>
      <c r="P19" s="12">
        <v>1</v>
      </c>
      <c r="Q19" s="13">
        <v>7.2999999999999999E-5</v>
      </c>
      <c r="R19" s="12">
        <v>0</v>
      </c>
      <c r="S19" s="13"/>
      <c r="T19" s="12">
        <v>0</v>
      </c>
      <c r="U19" s="13"/>
      <c r="V19" s="12">
        <v>0</v>
      </c>
      <c r="W19" s="13"/>
      <c r="X19" s="12">
        <v>0</v>
      </c>
      <c r="Y19" s="13"/>
      <c r="Z19" s="12">
        <v>22</v>
      </c>
      <c r="AA19" s="13">
        <v>1.601E-3</v>
      </c>
      <c r="AB19" s="12">
        <v>0</v>
      </c>
      <c r="AC19" s="13"/>
    </row>
    <row r="20" spans="1:29" ht="14.25" customHeight="1">
      <c r="A20" s="11" t="s">
        <v>33</v>
      </c>
      <c r="B20" s="12">
        <v>14</v>
      </c>
      <c r="C20" s="13">
        <v>1.2210000000000001E-3</v>
      </c>
      <c r="D20" s="12">
        <v>0</v>
      </c>
      <c r="E20" s="13"/>
      <c r="F20" s="12">
        <v>3</v>
      </c>
      <c r="G20" s="13">
        <v>2.6200000000000003E-4</v>
      </c>
      <c r="H20" s="12">
        <v>0</v>
      </c>
      <c r="I20" s="13"/>
      <c r="J20" s="12">
        <v>0</v>
      </c>
      <c r="K20" s="13"/>
      <c r="L20" s="12">
        <v>2</v>
      </c>
      <c r="M20" s="13">
        <v>1.74E-4</v>
      </c>
      <c r="N20" s="12">
        <v>0</v>
      </c>
      <c r="O20" s="13"/>
      <c r="P20" s="12">
        <v>4</v>
      </c>
      <c r="Q20" s="13">
        <v>3.4900000000000003E-4</v>
      </c>
      <c r="R20" s="12">
        <v>0</v>
      </c>
      <c r="S20" s="13"/>
      <c r="T20" s="12">
        <v>0</v>
      </c>
      <c r="U20" s="13"/>
      <c r="V20" s="12">
        <v>0</v>
      </c>
      <c r="W20" s="13"/>
      <c r="X20" s="12">
        <v>0</v>
      </c>
      <c r="Y20" s="13"/>
      <c r="Z20" s="12">
        <v>10</v>
      </c>
      <c r="AA20" s="13">
        <v>8.7200000000000005E-4</v>
      </c>
      <c r="AB20" s="12">
        <v>0</v>
      </c>
      <c r="AC20" s="13"/>
    </row>
    <row r="21" spans="1:29" ht="14.25" customHeight="1">
      <c r="A21" s="11" t="s">
        <v>34</v>
      </c>
      <c r="B21" s="12">
        <v>2</v>
      </c>
      <c r="C21" s="13">
        <v>1.9599999999999999E-4</v>
      </c>
      <c r="D21" s="12">
        <v>0</v>
      </c>
      <c r="E21" s="13"/>
      <c r="F21" s="12">
        <v>15</v>
      </c>
      <c r="G21" s="13">
        <v>1.467E-3</v>
      </c>
      <c r="H21" s="12">
        <v>1</v>
      </c>
      <c r="I21" s="13">
        <v>9.7999999999999997E-5</v>
      </c>
      <c r="J21" s="12">
        <v>0</v>
      </c>
      <c r="K21" s="13"/>
      <c r="L21" s="12">
        <v>1</v>
      </c>
      <c r="M21" s="13">
        <v>9.7999999999999997E-5</v>
      </c>
      <c r="N21" s="12">
        <v>0</v>
      </c>
      <c r="O21" s="13"/>
      <c r="P21" s="12">
        <v>0</v>
      </c>
      <c r="Q21" s="13"/>
      <c r="R21" s="12">
        <v>0</v>
      </c>
      <c r="S21" s="13"/>
      <c r="T21" s="12">
        <v>0</v>
      </c>
      <c r="U21" s="13"/>
      <c r="V21" s="12">
        <v>0</v>
      </c>
      <c r="W21" s="13"/>
      <c r="X21" s="12">
        <v>0</v>
      </c>
      <c r="Y21" s="13"/>
      <c r="Z21" s="12">
        <v>4</v>
      </c>
      <c r="AA21" s="13">
        <v>3.9100000000000002E-4</v>
      </c>
      <c r="AB21" s="12">
        <v>0</v>
      </c>
      <c r="AC21" s="13"/>
    </row>
    <row r="22" spans="1:29" ht="14.25" customHeight="1">
      <c r="A22" s="11" t="s">
        <v>35</v>
      </c>
      <c r="B22" s="12">
        <v>9</v>
      </c>
      <c r="C22" s="13">
        <v>1.0529999999999999E-3</v>
      </c>
      <c r="D22" s="12">
        <v>3</v>
      </c>
      <c r="E22" s="13">
        <v>3.5100000000000002E-4</v>
      </c>
      <c r="F22" s="12">
        <v>8</v>
      </c>
      <c r="G22" s="13">
        <v>9.3599999999999998E-4</v>
      </c>
      <c r="H22" s="12">
        <v>0</v>
      </c>
      <c r="I22" s="13"/>
      <c r="J22" s="12">
        <v>0</v>
      </c>
      <c r="K22" s="13"/>
      <c r="L22" s="12">
        <v>2</v>
      </c>
      <c r="M22" s="13">
        <v>2.34E-4</v>
      </c>
      <c r="N22" s="12">
        <v>0</v>
      </c>
      <c r="O22" s="13"/>
      <c r="P22" s="12">
        <v>1</v>
      </c>
      <c r="Q22" s="13">
        <v>1.17E-4</v>
      </c>
      <c r="R22" s="12">
        <v>0</v>
      </c>
      <c r="S22" s="13"/>
      <c r="T22" s="12">
        <v>0</v>
      </c>
      <c r="U22" s="13"/>
      <c r="V22" s="12">
        <v>0</v>
      </c>
      <c r="W22" s="13"/>
      <c r="X22" s="12">
        <v>0</v>
      </c>
      <c r="Y22" s="13"/>
      <c r="Z22" s="12">
        <v>2</v>
      </c>
      <c r="AA22" s="13">
        <v>2.34E-4</v>
      </c>
      <c r="AB22" s="12">
        <v>0</v>
      </c>
      <c r="AC22" s="13"/>
    </row>
    <row r="23" spans="1:29" ht="14.25" customHeight="1">
      <c r="A23" s="11" t="s">
        <v>36</v>
      </c>
      <c r="B23" s="12">
        <v>5</v>
      </c>
      <c r="C23" s="13">
        <v>6.3500000000000004E-4</v>
      </c>
      <c r="D23" s="12">
        <v>0</v>
      </c>
      <c r="E23" s="13"/>
      <c r="F23" s="12">
        <v>26</v>
      </c>
      <c r="G23" s="13">
        <v>3.3019999999999998E-3</v>
      </c>
      <c r="H23" s="12">
        <v>0</v>
      </c>
      <c r="I23" s="13"/>
      <c r="J23" s="12">
        <v>2</v>
      </c>
      <c r="K23" s="13">
        <v>2.5399999999999999E-4</v>
      </c>
      <c r="L23" s="12">
        <v>0</v>
      </c>
      <c r="M23" s="13"/>
      <c r="N23" s="12">
        <v>0</v>
      </c>
      <c r="O23" s="13"/>
      <c r="P23" s="12">
        <v>0</v>
      </c>
      <c r="Q23" s="13"/>
      <c r="R23" s="12">
        <v>0</v>
      </c>
      <c r="S23" s="13"/>
      <c r="T23" s="12">
        <v>0</v>
      </c>
      <c r="U23" s="13"/>
      <c r="V23" s="12">
        <v>0</v>
      </c>
      <c r="W23" s="13"/>
      <c r="X23" s="12">
        <v>0</v>
      </c>
      <c r="Y23" s="13"/>
      <c r="Z23" s="12">
        <v>3</v>
      </c>
      <c r="AA23" s="13">
        <v>3.8099999999999999E-4</v>
      </c>
      <c r="AB23" s="12">
        <v>0</v>
      </c>
      <c r="AC23" s="13"/>
    </row>
    <row r="24" spans="1:29" ht="14.25" customHeight="1">
      <c r="A24" s="11" t="s">
        <v>37</v>
      </c>
      <c r="B24" s="12">
        <v>12</v>
      </c>
      <c r="C24" s="13">
        <v>1.6819999999999999E-3</v>
      </c>
      <c r="D24" s="12">
        <v>0</v>
      </c>
      <c r="E24" s="13"/>
      <c r="F24" s="12">
        <v>1</v>
      </c>
      <c r="G24" s="13">
        <v>1.3999999999999999E-4</v>
      </c>
      <c r="H24" s="12">
        <v>0</v>
      </c>
      <c r="I24" s="13"/>
      <c r="J24" s="12">
        <v>1</v>
      </c>
      <c r="K24" s="13">
        <v>1.3999999999999999E-4</v>
      </c>
      <c r="L24" s="12">
        <v>0</v>
      </c>
      <c r="M24" s="13"/>
      <c r="N24" s="12">
        <v>0</v>
      </c>
      <c r="O24" s="13"/>
      <c r="P24" s="12">
        <v>0</v>
      </c>
      <c r="Q24" s="13"/>
      <c r="R24" s="12">
        <v>0</v>
      </c>
      <c r="S24" s="13"/>
      <c r="T24" s="12">
        <v>0</v>
      </c>
      <c r="U24" s="13"/>
      <c r="V24" s="12">
        <v>0</v>
      </c>
      <c r="W24" s="13"/>
      <c r="X24" s="12">
        <v>0</v>
      </c>
      <c r="Y24" s="13"/>
      <c r="Z24" s="12">
        <v>12</v>
      </c>
      <c r="AA24" s="13">
        <v>1.6819999999999999E-3</v>
      </c>
      <c r="AB24" s="12">
        <v>1</v>
      </c>
      <c r="AC24" s="13">
        <v>1.3999999999999999E-4</v>
      </c>
    </row>
    <row r="25" spans="1:29" ht="14.25" customHeight="1">
      <c r="A25" s="11" t="s">
        <v>38</v>
      </c>
      <c r="B25" s="12">
        <v>2</v>
      </c>
      <c r="C25" s="13">
        <v>3.6699999999999998E-4</v>
      </c>
      <c r="D25" s="12">
        <v>1</v>
      </c>
      <c r="E25" s="13">
        <v>1.83E-4</v>
      </c>
      <c r="F25" s="12">
        <v>3</v>
      </c>
      <c r="G25" s="13">
        <v>5.5000000000000003E-4</v>
      </c>
      <c r="H25" s="12">
        <v>1</v>
      </c>
      <c r="I25" s="13">
        <v>1.83E-4</v>
      </c>
      <c r="J25" s="12">
        <v>8</v>
      </c>
      <c r="K25" s="13">
        <v>1.4679999999999999E-3</v>
      </c>
      <c r="L25" s="12">
        <v>0</v>
      </c>
      <c r="M25" s="13"/>
      <c r="N25" s="12">
        <v>0</v>
      </c>
      <c r="O25" s="13"/>
      <c r="P25" s="12">
        <v>0</v>
      </c>
      <c r="Q25" s="13"/>
      <c r="R25" s="12">
        <v>0</v>
      </c>
      <c r="S25" s="13"/>
      <c r="T25" s="12">
        <v>0</v>
      </c>
      <c r="U25" s="13"/>
      <c r="V25" s="12">
        <v>0</v>
      </c>
      <c r="W25" s="13"/>
      <c r="X25" s="12">
        <v>0</v>
      </c>
      <c r="Y25" s="13"/>
      <c r="Z25" s="12">
        <v>3</v>
      </c>
      <c r="AA25" s="13">
        <v>5.5000000000000003E-4</v>
      </c>
      <c r="AB25" s="12">
        <v>0</v>
      </c>
      <c r="AC25" s="13"/>
    </row>
    <row r="26" spans="1:29" ht="14.25" customHeight="1">
      <c r="A26" s="11" t="s">
        <v>39</v>
      </c>
      <c r="B26" s="12">
        <v>4</v>
      </c>
      <c r="C26" s="13">
        <v>6.69E-4</v>
      </c>
      <c r="D26" s="12">
        <v>2</v>
      </c>
      <c r="E26" s="13">
        <v>3.3500000000000001E-4</v>
      </c>
      <c r="F26" s="12">
        <v>11</v>
      </c>
      <c r="G26" s="13">
        <v>1.8400000000000001E-3</v>
      </c>
      <c r="H26" s="12">
        <v>0</v>
      </c>
      <c r="I26" s="13"/>
      <c r="J26" s="12">
        <v>0</v>
      </c>
      <c r="K26" s="13"/>
      <c r="L26" s="12">
        <v>2</v>
      </c>
      <c r="M26" s="13">
        <v>3.3500000000000001E-4</v>
      </c>
      <c r="N26" s="12">
        <v>0</v>
      </c>
      <c r="O26" s="13"/>
      <c r="P26" s="12">
        <v>0</v>
      </c>
      <c r="Q26" s="13"/>
      <c r="R26" s="12">
        <v>1</v>
      </c>
      <c r="S26" s="13">
        <v>1.6699999999999999E-4</v>
      </c>
      <c r="T26" s="12">
        <v>0</v>
      </c>
      <c r="U26" s="13"/>
      <c r="V26" s="12">
        <v>0</v>
      </c>
      <c r="W26" s="13"/>
      <c r="X26" s="12">
        <v>0</v>
      </c>
      <c r="Y26" s="13"/>
      <c r="Z26" s="12">
        <v>3</v>
      </c>
      <c r="AA26" s="13">
        <v>5.0199999999999995E-4</v>
      </c>
      <c r="AB26" s="12">
        <v>0</v>
      </c>
      <c r="AC26" s="13"/>
    </row>
    <row r="27" spans="1:29" ht="14.25" customHeight="1">
      <c r="A27" s="11" t="s">
        <v>40</v>
      </c>
      <c r="B27" s="12">
        <v>0</v>
      </c>
      <c r="C27" s="13"/>
      <c r="D27" s="12">
        <v>0</v>
      </c>
      <c r="E27" s="13"/>
      <c r="F27" s="12">
        <v>5</v>
      </c>
      <c r="G27" s="13">
        <v>6.3699999999999998E-4</v>
      </c>
      <c r="H27" s="12">
        <v>0</v>
      </c>
      <c r="I27" s="13"/>
      <c r="J27" s="12">
        <v>0</v>
      </c>
      <c r="K27" s="13"/>
      <c r="L27" s="12">
        <v>0</v>
      </c>
      <c r="M27" s="13"/>
      <c r="N27" s="12">
        <v>0</v>
      </c>
      <c r="O27" s="13"/>
      <c r="P27" s="12">
        <v>0</v>
      </c>
      <c r="Q27" s="13"/>
      <c r="R27" s="12">
        <v>0</v>
      </c>
      <c r="S27" s="13"/>
      <c r="T27" s="12">
        <v>0</v>
      </c>
      <c r="U27" s="13"/>
      <c r="V27" s="12">
        <v>0</v>
      </c>
      <c r="W27" s="13"/>
      <c r="X27" s="12">
        <v>0</v>
      </c>
      <c r="Y27" s="13"/>
      <c r="Z27" s="12">
        <v>2</v>
      </c>
      <c r="AA27" s="13">
        <v>2.5500000000000002E-4</v>
      </c>
      <c r="AB27" s="12">
        <v>0</v>
      </c>
      <c r="AC27" s="13"/>
    </row>
    <row r="28" spans="1:29" ht="14.25" customHeight="1">
      <c r="A28" s="11" t="s">
        <v>41</v>
      </c>
      <c r="B28" s="12">
        <v>0</v>
      </c>
      <c r="C28" s="13"/>
      <c r="D28" s="12">
        <v>0</v>
      </c>
      <c r="E28" s="13"/>
      <c r="F28" s="12">
        <v>7</v>
      </c>
      <c r="G28" s="13">
        <v>6.78E-4</v>
      </c>
      <c r="H28" s="12">
        <v>0</v>
      </c>
      <c r="I28" s="13"/>
      <c r="J28" s="12">
        <v>0</v>
      </c>
      <c r="K28" s="13"/>
      <c r="L28" s="12">
        <v>0</v>
      </c>
      <c r="M28" s="13"/>
      <c r="N28" s="12">
        <v>0</v>
      </c>
      <c r="O28" s="13"/>
      <c r="P28" s="12">
        <v>0</v>
      </c>
      <c r="Q28" s="13"/>
      <c r="R28" s="12">
        <v>0</v>
      </c>
      <c r="S28" s="13"/>
      <c r="T28" s="12">
        <v>0</v>
      </c>
      <c r="U28" s="13"/>
      <c r="V28" s="12">
        <v>0</v>
      </c>
      <c r="W28" s="13"/>
      <c r="X28" s="12">
        <v>0</v>
      </c>
      <c r="Y28" s="13"/>
      <c r="Z28" s="12">
        <v>18</v>
      </c>
      <c r="AA28" s="13">
        <v>1.7440000000000001E-3</v>
      </c>
      <c r="AB28" s="12">
        <v>0</v>
      </c>
      <c r="AC28" s="13"/>
    </row>
    <row r="29" spans="1:29" ht="14.25" customHeight="1">
      <c r="A29" s="11" t="s">
        <v>42</v>
      </c>
      <c r="B29" s="12">
        <v>0</v>
      </c>
      <c r="C29" s="13"/>
      <c r="D29" s="12">
        <v>2</v>
      </c>
      <c r="E29" s="13">
        <v>2.2900000000000001E-4</v>
      </c>
      <c r="F29" s="12">
        <v>6</v>
      </c>
      <c r="G29" s="13">
        <v>6.8800000000000003E-4</v>
      </c>
      <c r="H29" s="12">
        <v>0</v>
      </c>
      <c r="I29" s="13"/>
      <c r="J29" s="12">
        <v>0</v>
      </c>
      <c r="K29" s="13"/>
      <c r="L29" s="12">
        <v>0</v>
      </c>
      <c r="M29" s="13"/>
      <c r="N29" s="12">
        <v>0</v>
      </c>
      <c r="O29" s="13"/>
      <c r="P29" s="12">
        <v>0</v>
      </c>
      <c r="Q29" s="13"/>
      <c r="R29" s="12">
        <v>0</v>
      </c>
      <c r="S29" s="13"/>
      <c r="T29" s="12">
        <v>0</v>
      </c>
      <c r="U29" s="13"/>
      <c r="V29" s="12">
        <v>0</v>
      </c>
      <c r="W29" s="13"/>
      <c r="X29" s="12">
        <v>0</v>
      </c>
      <c r="Y29" s="13"/>
      <c r="Z29" s="12">
        <v>1</v>
      </c>
      <c r="AA29" s="13">
        <v>1.15E-4</v>
      </c>
      <c r="AB29" s="12">
        <v>0</v>
      </c>
      <c r="AC29" s="13"/>
    </row>
    <row r="30" spans="1:29" ht="14.25" customHeight="1">
      <c r="A30" s="11" t="s">
        <v>43</v>
      </c>
      <c r="B30" s="12">
        <v>2</v>
      </c>
      <c r="C30" s="13">
        <v>2.13E-4</v>
      </c>
      <c r="D30" s="12">
        <v>0</v>
      </c>
      <c r="E30" s="13"/>
      <c r="F30" s="12">
        <v>1</v>
      </c>
      <c r="G30" s="13">
        <v>1.07E-4</v>
      </c>
      <c r="H30" s="12">
        <v>0</v>
      </c>
      <c r="I30" s="13"/>
      <c r="J30" s="12">
        <v>0</v>
      </c>
      <c r="K30" s="13"/>
      <c r="L30" s="12">
        <v>0</v>
      </c>
      <c r="M30" s="13"/>
      <c r="N30" s="12">
        <v>0</v>
      </c>
      <c r="O30" s="13"/>
      <c r="P30" s="12">
        <v>0</v>
      </c>
      <c r="Q30" s="13"/>
      <c r="R30" s="12">
        <v>0</v>
      </c>
      <c r="S30" s="13"/>
      <c r="T30" s="12">
        <v>0</v>
      </c>
      <c r="U30" s="13"/>
      <c r="V30" s="12">
        <v>0</v>
      </c>
      <c r="W30" s="13"/>
      <c r="X30" s="12">
        <v>0</v>
      </c>
      <c r="Y30" s="13"/>
      <c r="Z30" s="12">
        <v>40</v>
      </c>
      <c r="AA30" s="13">
        <v>4.261E-3</v>
      </c>
      <c r="AB30" s="12">
        <v>0</v>
      </c>
      <c r="AC30" s="13"/>
    </row>
    <row r="31" spans="1:29" ht="14.25" customHeight="1">
      <c r="A31" s="11" t="s">
        <v>44</v>
      </c>
      <c r="B31" s="12">
        <v>13</v>
      </c>
      <c r="C31" s="13">
        <v>1.271E-3</v>
      </c>
      <c r="D31" s="12">
        <v>1</v>
      </c>
      <c r="E31" s="13">
        <v>9.7999999999999997E-5</v>
      </c>
      <c r="F31" s="12">
        <v>7</v>
      </c>
      <c r="G31" s="13">
        <v>6.8400000000000004E-4</v>
      </c>
      <c r="H31" s="12">
        <v>2</v>
      </c>
      <c r="I31" s="13">
        <v>1.95E-4</v>
      </c>
      <c r="J31" s="12">
        <v>0</v>
      </c>
      <c r="K31" s="13"/>
      <c r="L31" s="12">
        <v>0</v>
      </c>
      <c r="M31" s="13"/>
      <c r="N31" s="12">
        <v>0</v>
      </c>
      <c r="O31" s="13"/>
      <c r="P31" s="12">
        <v>0</v>
      </c>
      <c r="Q31" s="13"/>
      <c r="R31" s="12">
        <v>0</v>
      </c>
      <c r="S31" s="13"/>
      <c r="T31" s="12">
        <v>0</v>
      </c>
      <c r="U31" s="13"/>
      <c r="V31" s="12">
        <v>0</v>
      </c>
      <c r="W31" s="13"/>
      <c r="X31" s="12">
        <v>0</v>
      </c>
      <c r="Y31" s="13"/>
      <c r="Z31" s="12">
        <v>6</v>
      </c>
      <c r="AA31" s="13">
        <v>5.8600000000000004E-4</v>
      </c>
      <c r="AB31" s="12">
        <v>0</v>
      </c>
      <c r="AC31" s="13"/>
    </row>
    <row r="32" spans="1:29" ht="14.25" customHeight="1">
      <c r="A32" s="11" t="s">
        <v>45</v>
      </c>
      <c r="B32" s="12">
        <v>2</v>
      </c>
      <c r="C32" s="13">
        <v>1.75E-4</v>
      </c>
      <c r="D32" s="12">
        <v>0</v>
      </c>
      <c r="E32" s="13"/>
      <c r="F32" s="12">
        <v>27</v>
      </c>
      <c r="G32" s="13">
        <v>2.356E-3</v>
      </c>
      <c r="H32" s="12">
        <v>2</v>
      </c>
      <c r="I32" s="13">
        <v>1.75E-4</v>
      </c>
      <c r="J32" s="12">
        <v>0</v>
      </c>
      <c r="K32" s="13"/>
      <c r="L32" s="12">
        <v>0</v>
      </c>
      <c r="M32" s="13"/>
      <c r="N32" s="12">
        <v>0</v>
      </c>
      <c r="O32" s="13"/>
      <c r="P32" s="12">
        <v>1</v>
      </c>
      <c r="Q32" s="13">
        <v>8.7000000000000001E-5</v>
      </c>
      <c r="R32" s="12">
        <v>0</v>
      </c>
      <c r="S32" s="13"/>
      <c r="T32" s="12">
        <v>0</v>
      </c>
      <c r="U32" s="13"/>
      <c r="V32" s="12">
        <v>0</v>
      </c>
      <c r="W32" s="13"/>
      <c r="X32" s="12">
        <v>0</v>
      </c>
      <c r="Y32" s="13"/>
      <c r="Z32" s="12">
        <v>4</v>
      </c>
      <c r="AA32" s="13">
        <v>3.4900000000000003E-4</v>
      </c>
      <c r="AB32" s="12">
        <v>0</v>
      </c>
      <c r="AC32" s="13"/>
    </row>
    <row r="33" spans="1:29" ht="14.25" customHeight="1">
      <c r="A33" s="11" t="s">
        <v>46</v>
      </c>
      <c r="B33" s="12">
        <v>12</v>
      </c>
      <c r="C33" s="13">
        <v>1.0859999999999999E-3</v>
      </c>
      <c r="D33" s="12">
        <v>0</v>
      </c>
      <c r="E33" s="13"/>
      <c r="F33" s="12">
        <v>5</v>
      </c>
      <c r="G33" s="13">
        <v>4.5300000000000001E-4</v>
      </c>
      <c r="H33" s="12">
        <v>0</v>
      </c>
      <c r="I33" s="13"/>
      <c r="J33" s="12">
        <v>0</v>
      </c>
      <c r="K33" s="13"/>
      <c r="L33" s="12">
        <v>1</v>
      </c>
      <c r="M33" s="13">
        <v>9.1000000000000003E-5</v>
      </c>
      <c r="N33" s="12">
        <v>0</v>
      </c>
      <c r="O33" s="13"/>
      <c r="P33" s="12">
        <v>0</v>
      </c>
      <c r="Q33" s="13"/>
      <c r="R33" s="12">
        <v>0</v>
      </c>
      <c r="S33" s="13"/>
      <c r="T33" s="12">
        <v>0</v>
      </c>
      <c r="U33" s="13"/>
      <c r="V33" s="12">
        <v>1</v>
      </c>
      <c r="W33" s="13">
        <v>9.1000000000000003E-5</v>
      </c>
      <c r="X33" s="12">
        <v>0</v>
      </c>
      <c r="Y33" s="13"/>
      <c r="Z33" s="12">
        <v>47</v>
      </c>
      <c r="AA33" s="13">
        <v>4.2550000000000001E-3</v>
      </c>
      <c r="AB33" s="12">
        <v>0</v>
      </c>
      <c r="AC33" s="13"/>
    </row>
    <row r="34" spans="1:29" ht="14.25" customHeight="1">
      <c r="A34" s="11" t="s">
        <v>47</v>
      </c>
      <c r="B34" s="12">
        <v>18</v>
      </c>
      <c r="C34" s="13">
        <v>1.5679999999999999E-3</v>
      </c>
      <c r="D34" s="12">
        <v>6</v>
      </c>
      <c r="E34" s="13">
        <v>5.2300000000000003E-4</v>
      </c>
      <c r="F34" s="12">
        <v>17</v>
      </c>
      <c r="G34" s="13">
        <v>1.4809999999999999E-3</v>
      </c>
      <c r="H34" s="12">
        <v>0</v>
      </c>
      <c r="I34" s="13"/>
      <c r="J34" s="12">
        <v>0</v>
      </c>
      <c r="K34" s="13"/>
      <c r="L34" s="12">
        <v>1</v>
      </c>
      <c r="M34" s="13">
        <v>8.7000000000000001E-5</v>
      </c>
      <c r="N34" s="12">
        <v>0</v>
      </c>
      <c r="O34" s="13"/>
      <c r="P34" s="12">
        <v>0</v>
      </c>
      <c r="Q34" s="13"/>
      <c r="R34" s="12">
        <v>0</v>
      </c>
      <c r="S34" s="13"/>
      <c r="T34" s="12">
        <v>0</v>
      </c>
      <c r="U34" s="13"/>
      <c r="V34" s="12">
        <v>0</v>
      </c>
      <c r="W34" s="13"/>
      <c r="X34" s="12">
        <v>0</v>
      </c>
      <c r="Y34" s="13"/>
      <c r="Z34" s="12">
        <v>3</v>
      </c>
      <c r="AA34" s="13">
        <v>2.61E-4</v>
      </c>
      <c r="AB34" s="12">
        <v>0</v>
      </c>
      <c r="AC34" s="13"/>
    </row>
    <row r="35" spans="1:29" ht="14.25" customHeight="1">
      <c r="A35" s="11" t="s">
        <v>48</v>
      </c>
      <c r="B35" s="12">
        <v>0</v>
      </c>
      <c r="C35" s="13"/>
      <c r="D35" s="12">
        <v>0</v>
      </c>
      <c r="E35" s="13"/>
      <c r="F35" s="12">
        <v>7</v>
      </c>
      <c r="G35" s="13">
        <v>6.5700000000000003E-4</v>
      </c>
      <c r="H35" s="12">
        <v>0</v>
      </c>
      <c r="I35" s="13"/>
      <c r="J35" s="12">
        <v>0</v>
      </c>
      <c r="K35" s="13"/>
      <c r="L35" s="12">
        <v>1</v>
      </c>
      <c r="M35" s="13">
        <v>9.3999999999999994E-5</v>
      </c>
      <c r="N35" s="12">
        <v>0</v>
      </c>
      <c r="O35" s="13"/>
      <c r="P35" s="12">
        <v>0</v>
      </c>
      <c r="Q35" s="13"/>
      <c r="R35" s="12">
        <v>0</v>
      </c>
      <c r="S35" s="13"/>
      <c r="T35" s="12">
        <v>0</v>
      </c>
      <c r="U35" s="13"/>
      <c r="V35" s="12">
        <v>0</v>
      </c>
      <c r="W35" s="13"/>
      <c r="X35" s="12">
        <v>0</v>
      </c>
      <c r="Y35" s="13"/>
      <c r="Z35" s="12">
        <v>12</v>
      </c>
      <c r="AA35" s="13">
        <v>1.127E-3</v>
      </c>
      <c r="AB35" s="12">
        <v>0</v>
      </c>
      <c r="AC35" s="13"/>
    </row>
    <row r="36" spans="1:29" ht="14.25" customHeight="1">
      <c r="A36" s="11" t="s">
        <v>49</v>
      </c>
      <c r="B36" s="12">
        <v>3</v>
      </c>
      <c r="C36" s="13">
        <v>2.7999999999999998E-4</v>
      </c>
      <c r="D36" s="12">
        <v>1</v>
      </c>
      <c r="E36" s="13">
        <v>9.2999999999999997E-5</v>
      </c>
      <c r="F36" s="12">
        <v>41</v>
      </c>
      <c r="G36" s="13">
        <v>3.8319999999999999E-3</v>
      </c>
      <c r="H36" s="12">
        <v>2</v>
      </c>
      <c r="I36" s="13">
        <v>1.8699999999999999E-4</v>
      </c>
      <c r="J36" s="12">
        <v>0</v>
      </c>
      <c r="K36" s="13"/>
      <c r="L36" s="12">
        <v>0</v>
      </c>
      <c r="M36" s="13"/>
      <c r="N36" s="12">
        <v>0</v>
      </c>
      <c r="O36" s="13"/>
      <c r="P36" s="12">
        <v>0</v>
      </c>
      <c r="Q36" s="13"/>
      <c r="R36" s="12">
        <v>0</v>
      </c>
      <c r="S36" s="13"/>
      <c r="T36" s="12">
        <v>0</v>
      </c>
      <c r="U36" s="13"/>
      <c r="V36" s="12">
        <v>0</v>
      </c>
      <c r="W36" s="13"/>
      <c r="X36" s="12">
        <v>0</v>
      </c>
      <c r="Y36" s="13"/>
      <c r="Z36" s="12">
        <v>9</v>
      </c>
      <c r="AA36" s="13">
        <v>8.4099999999999995E-4</v>
      </c>
      <c r="AB36" s="12">
        <v>0</v>
      </c>
      <c r="AC36" s="13"/>
    </row>
    <row r="37" spans="1:29" ht="14.25" customHeight="1">
      <c r="A37" s="11" t="s">
        <v>50</v>
      </c>
      <c r="B37" s="12">
        <v>1</v>
      </c>
      <c r="C37" s="13">
        <v>9.7E-5</v>
      </c>
      <c r="D37" s="12">
        <v>7</v>
      </c>
      <c r="E37" s="13">
        <v>6.7900000000000002E-4</v>
      </c>
      <c r="F37" s="12">
        <v>5</v>
      </c>
      <c r="G37" s="13">
        <v>4.8500000000000003E-4</v>
      </c>
      <c r="H37" s="12">
        <v>1</v>
      </c>
      <c r="I37" s="13">
        <v>9.7E-5</v>
      </c>
      <c r="J37" s="12">
        <v>0</v>
      </c>
      <c r="K37" s="13"/>
      <c r="L37" s="12">
        <v>1</v>
      </c>
      <c r="M37" s="13">
        <v>9.7E-5</v>
      </c>
      <c r="N37" s="12">
        <v>0</v>
      </c>
      <c r="O37" s="13"/>
      <c r="P37" s="12">
        <v>0</v>
      </c>
      <c r="Q37" s="13"/>
      <c r="R37" s="12">
        <v>0</v>
      </c>
      <c r="S37" s="13"/>
      <c r="T37" s="12">
        <v>0</v>
      </c>
      <c r="U37" s="13"/>
      <c r="V37" s="12">
        <v>0</v>
      </c>
      <c r="W37" s="13"/>
      <c r="X37" s="12">
        <v>0</v>
      </c>
      <c r="Y37" s="13"/>
      <c r="Z37" s="12">
        <v>10</v>
      </c>
      <c r="AA37" s="13">
        <v>9.6900000000000003E-4</v>
      </c>
      <c r="AB37" s="12">
        <v>0</v>
      </c>
      <c r="AC37" s="13"/>
    </row>
    <row r="38" spans="1:29" ht="14.25" customHeight="1">
      <c r="A38" s="11" t="s">
        <v>51</v>
      </c>
      <c r="B38" s="12">
        <v>5</v>
      </c>
      <c r="C38" s="13">
        <v>4.5100000000000001E-4</v>
      </c>
      <c r="D38" s="12">
        <v>14</v>
      </c>
      <c r="E38" s="13">
        <v>1.2639999999999999E-3</v>
      </c>
      <c r="F38" s="12">
        <v>16</v>
      </c>
      <c r="G38" s="13">
        <v>1.444E-3</v>
      </c>
      <c r="H38" s="12">
        <v>0</v>
      </c>
      <c r="I38" s="13"/>
      <c r="J38" s="12">
        <v>1</v>
      </c>
      <c r="K38" s="13">
        <v>9.0000000000000006E-5</v>
      </c>
      <c r="L38" s="12">
        <v>1</v>
      </c>
      <c r="M38" s="13">
        <v>9.0000000000000006E-5</v>
      </c>
      <c r="N38" s="12">
        <v>0</v>
      </c>
      <c r="O38" s="13"/>
      <c r="P38" s="12">
        <v>0</v>
      </c>
      <c r="Q38" s="13"/>
      <c r="R38" s="12">
        <v>0</v>
      </c>
      <c r="S38" s="13"/>
      <c r="T38" s="12">
        <v>0</v>
      </c>
      <c r="U38" s="13"/>
      <c r="V38" s="12">
        <v>0</v>
      </c>
      <c r="W38" s="13"/>
      <c r="X38" s="12">
        <v>0</v>
      </c>
      <c r="Y38" s="13"/>
      <c r="Z38" s="12">
        <v>5</v>
      </c>
      <c r="AA38" s="13">
        <v>4.5100000000000001E-4</v>
      </c>
      <c r="AB38" s="12">
        <v>0</v>
      </c>
      <c r="AC38" s="13"/>
    </row>
    <row r="39" spans="1:29" ht="14.25" customHeight="1">
      <c r="A39" s="11" t="s">
        <v>52</v>
      </c>
      <c r="B39" s="12">
        <v>7</v>
      </c>
      <c r="C39" s="13">
        <v>6.4000000000000005E-4</v>
      </c>
      <c r="D39" s="12">
        <v>19</v>
      </c>
      <c r="E39" s="13">
        <v>1.7359999999999999E-3</v>
      </c>
      <c r="F39" s="12">
        <v>14</v>
      </c>
      <c r="G39" s="13">
        <v>1.279E-3</v>
      </c>
      <c r="H39" s="12">
        <v>3</v>
      </c>
      <c r="I39" s="13">
        <v>2.7399999999999999E-4</v>
      </c>
      <c r="J39" s="12">
        <v>0</v>
      </c>
      <c r="K39" s="13"/>
      <c r="L39" s="12">
        <v>0</v>
      </c>
      <c r="M39" s="13"/>
      <c r="N39" s="12">
        <v>0</v>
      </c>
      <c r="O39" s="13"/>
      <c r="P39" s="12">
        <v>0</v>
      </c>
      <c r="Q39" s="13"/>
      <c r="R39" s="12">
        <v>0</v>
      </c>
      <c r="S39" s="13"/>
      <c r="T39" s="12">
        <v>0</v>
      </c>
      <c r="U39" s="13"/>
      <c r="V39" s="12">
        <v>0</v>
      </c>
      <c r="W39" s="13"/>
      <c r="X39" s="12">
        <v>0</v>
      </c>
      <c r="Y39" s="13"/>
      <c r="Z39" s="12">
        <v>6</v>
      </c>
      <c r="AA39" s="13">
        <v>5.4799999999999998E-4</v>
      </c>
      <c r="AB39" s="12">
        <v>0</v>
      </c>
      <c r="AC39" s="13"/>
    </row>
    <row r="40" spans="1:29" ht="14.25" customHeight="1">
      <c r="A40" s="11" t="s">
        <v>53</v>
      </c>
      <c r="B40" s="12">
        <v>3</v>
      </c>
      <c r="C40" s="13">
        <v>2.6200000000000003E-4</v>
      </c>
      <c r="D40" s="12">
        <v>27</v>
      </c>
      <c r="E40" s="13">
        <v>2.3579999999999999E-3</v>
      </c>
      <c r="F40" s="12">
        <v>36</v>
      </c>
      <c r="G40" s="13">
        <v>3.1440000000000001E-3</v>
      </c>
      <c r="H40" s="12">
        <v>3</v>
      </c>
      <c r="I40" s="13">
        <v>2.6200000000000003E-4</v>
      </c>
      <c r="J40" s="12">
        <v>0</v>
      </c>
      <c r="K40" s="13"/>
      <c r="L40" s="12">
        <v>1</v>
      </c>
      <c r="M40" s="13">
        <v>8.7000000000000001E-5</v>
      </c>
      <c r="N40" s="12">
        <v>0</v>
      </c>
      <c r="O40" s="13"/>
      <c r="P40" s="12">
        <v>1</v>
      </c>
      <c r="Q40" s="13">
        <v>8.7000000000000001E-5</v>
      </c>
      <c r="R40" s="12">
        <v>0</v>
      </c>
      <c r="S40" s="13"/>
      <c r="T40" s="12">
        <v>0</v>
      </c>
      <c r="U40" s="13"/>
      <c r="V40" s="12">
        <v>0</v>
      </c>
      <c r="W40" s="13"/>
      <c r="X40" s="12">
        <v>0</v>
      </c>
      <c r="Y40" s="13"/>
      <c r="Z40" s="12">
        <v>3</v>
      </c>
      <c r="AA40" s="13">
        <v>2.6200000000000003E-4</v>
      </c>
      <c r="AB40" s="12">
        <v>0</v>
      </c>
      <c r="AC40" s="13"/>
    </row>
    <row r="41" spans="1:29" ht="14.25" customHeight="1">
      <c r="A41" s="11" t="s">
        <v>54</v>
      </c>
      <c r="B41" s="12">
        <v>6</v>
      </c>
      <c r="C41" s="13">
        <v>4.8200000000000001E-4</v>
      </c>
      <c r="D41" s="12">
        <v>41</v>
      </c>
      <c r="E41" s="13">
        <v>3.2959999999999999E-3</v>
      </c>
      <c r="F41" s="12">
        <v>6</v>
      </c>
      <c r="G41" s="13">
        <v>4.8200000000000001E-4</v>
      </c>
      <c r="H41" s="12">
        <v>4</v>
      </c>
      <c r="I41" s="13">
        <v>3.2200000000000002E-4</v>
      </c>
      <c r="J41" s="12">
        <v>5</v>
      </c>
      <c r="K41" s="13">
        <v>4.0200000000000001E-4</v>
      </c>
      <c r="L41" s="12">
        <v>0</v>
      </c>
      <c r="M41" s="13"/>
      <c r="N41" s="12">
        <v>0</v>
      </c>
      <c r="O41" s="13"/>
      <c r="P41" s="12">
        <v>2</v>
      </c>
      <c r="Q41" s="13">
        <v>1.6100000000000001E-4</v>
      </c>
      <c r="R41" s="12">
        <v>0</v>
      </c>
      <c r="S41" s="13"/>
      <c r="T41" s="12">
        <v>0</v>
      </c>
      <c r="U41" s="13"/>
      <c r="V41" s="12">
        <v>0</v>
      </c>
      <c r="W41" s="13"/>
      <c r="X41" s="12">
        <v>1</v>
      </c>
      <c r="Y41" s="13">
        <v>8.0000000000000007E-5</v>
      </c>
      <c r="Z41" s="12">
        <v>3</v>
      </c>
      <c r="AA41" s="13">
        <v>2.41E-4</v>
      </c>
      <c r="AB41" s="12">
        <v>0</v>
      </c>
      <c r="AC41" s="13"/>
    </row>
    <row r="42" spans="1:29" ht="14.25" customHeight="1">
      <c r="A42" s="11" t="s">
        <v>55</v>
      </c>
      <c r="B42" s="12">
        <v>13</v>
      </c>
      <c r="C42" s="13">
        <v>8.83E-4</v>
      </c>
      <c r="D42" s="12">
        <v>30</v>
      </c>
      <c r="E42" s="13">
        <v>2.039E-3</v>
      </c>
      <c r="F42" s="12">
        <v>6</v>
      </c>
      <c r="G42" s="13">
        <v>4.08E-4</v>
      </c>
      <c r="H42" s="12">
        <v>8</v>
      </c>
      <c r="I42" s="13">
        <v>5.44E-4</v>
      </c>
      <c r="J42" s="12">
        <v>0</v>
      </c>
      <c r="K42" s="13"/>
      <c r="L42" s="12">
        <v>1</v>
      </c>
      <c r="M42" s="13">
        <v>6.7999999999999999E-5</v>
      </c>
      <c r="N42" s="12">
        <v>0</v>
      </c>
      <c r="O42" s="13"/>
      <c r="P42" s="12">
        <v>1</v>
      </c>
      <c r="Q42" s="13">
        <v>6.7999999999999999E-5</v>
      </c>
      <c r="R42" s="12">
        <v>0</v>
      </c>
      <c r="S42" s="13"/>
      <c r="T42" s="12">
        <v>0</v>
      </c>
      <c r="U42" s="13"/>
      <c r="V42" s="12">
        <v>0</v>
      </c>
      <c r="W42" s="13"/>
      <c r="X42" s="12">
        <v>0</v>
      </c>
      <c r="Y42" s="13"/>
      <c r="Z42" s="12">
        <v>7</v>
      </c>
      <c r="AA42" s="13">
        <v>4.7600000000000002E-4</v>
      </c>
      <c r="AB42" s="12">
        <v>0</v>
      </c>
      <c r="AC42" s="13"/>
    </row>
    <row r="43" spans="1:29" ht="14.25" customHeight="1">
      <c r="A43" s="11" t="s">
        <v>56</v>
      </c>
      <c r="B43" s="12">
        <v>6</v>
      </c>
      <c r="C43" s="13">
        <v>4.2200000000000001E-4</v>
      </c>
      <c r="D43" s="12">
        <v>42</v>
      </c>
      <c r="E43" s="13">
        <v>2.9550000000000002E-3</v>
      </c>
      <c r="F43" s="12">
        <v>8</v>
      </c>
      <c r="G43" s="13">
        <v>5.6300000000000002E-4</v>
      </c>
      <c r="H43" s="12">
        <v>6</v>
      </c>
      <c r="I43" s="13">
        <v>4.2200000000000001E-4</v>
      </c>
      <c r="J43" s="12">
        <v>0</v>
      </c>
      <c r="K43" s="13"/>
      <c r="L43" s="12">
        <v>1</v>
      </c>
      <c r="M43" s="13">
        <v>6.9999999999999994E-5</v>
      </c>
      <c r="N43" s="12">
        <v>0</v>
      </c>
      <c r="O43" s="13"/>
      <c r="P43" s="12">
        <v>0</v>
      </c>
      <c r="Q43" s="13"/>
      <c r="R43" s="12">
        <v>0</v>
      </c>
      <c r="S43" s="13"/>
      <c r="T43" s="12">
        <v>0</v>
      </c>
      <c r="U43" s="13"/>
      <c r="V43" s="12">
        <v>0</v>
      </c>
      <c r="W43" s="13"/>
      <c r="X43" s="12">
        <v>0</v>
      </c>
      <c r="Y43" s="13"/>
      <c r="Z43" s="12">
        <v>4</v>
      </c>
      <c r="AA43" s="13">
        <v>2.81E-4</v>
      </c>
      <c r="AB43" s="12">
        <v>0</v>
      </c>
      <c r="AC43" s="13"/>
    </row>
    <row r="44" spans="1:29" ht="14.25" customHeight="1">
      <c r="A44" s="11" t="s">
        <v>57</v>
      </c>
      <c r="B44" s="14">
        <v>14</v>
      </c>
      <c r="C44" s="13">
        <v>7.5100000000000004E-4</v>
      </c>
      <c r="D44" s="14">
        <v>45</v>
      </c>
      <c r="E44" s="13">
        <v>2.4130000000000002E-3</v>
      </c>
      <c r="F44" s="14">
        <v>11</v>
      </c>
      <c r="G44" s="13">
        <v>5.9000000000000003E-4</v>
      </c>
      <c r="H44" s="14">
        <v>22</v>
      </c>
      <c r="I44" s="13">
        <v>1.1800000000000001E-3</v>
      </c>
      <c r="J44" s="14">
        <v>0</v>
      </c>
      <c r="K44" s="13"/>
      <c r="L44" s="14">
        <v>0</v>
      </c>
      <c r="M44" s="13"/>
      <c r="N44" s="14">
        <v>0</v>
      </c>
      <c r="O44" s="13"/>
      <c r="P44" s="14">
        <v>0</v>
      </c>
      <c r="Q44" s="13"/>
      <c r="R44" s="14">
        <v>0</v>
      </c>
      <c r="S44" s="13"/>
      <c r="T44" s="14">
        <v>0</v>
      </c>
      <c r="U44" s="13"/>
      <c r="V44" s="14">
        <v>0</v>
      </c>
      <c r="W44" s="13"/>
      <c r="X44" s="14">
        <v>1</v>
      </c>
      <c r="Y44" s="13">
        <v>5.3999999999999998E-5</v>
      </c>
      <c r="Z44" s="14">
        <v>6</v>
      </c>
      <c r="AA44" s="13">
        <v>3.2200000000000002E-4</v>
      </c>
      <c r="AB44" s="12">
        <v>0</v>
      </c>
      <c r="AC44" s="13"/>
    </row>
    <row r="45" spans="1:29" ht="14.25" customHeight="1">
      <c r="A45" s="11" t="s">
        <v>58</v>
      </c>
      <c r="B45" s="14">
        <v>33</v>
      </c>
      <c r="C45" s="13">
        <v>1.6800000000000001E-3</v>
      </c>
      <c r="D45" s="14">
        <v>72</v>
      </c>
      <c r="E45" s="13">
        <v>3.6649999999999999E-3</v>
      </c>
      <c r="F45" s="14">
        <v>54</v>
      </c>
      <c r="G45" s="13">
        <v>2.7490000000000001E-3</v>
      </c>
      <c r="H45" s="14">
        <v>25</v>
      </c>
      <c r="I45" s="13">
        <v>1.273E-3</v>
      </c>
      <c r="J45" s="14">
        <v>0</v>
      </c>
      <c r="K45" s="13"/>
      <c r="L45" s="14">
        <v>1</v>
      </c>
      <c r="M45" s="13">
        <v>5.1E-5</v>
      </c>
      <c r="N45" s="14">
        <v>0</v>
      </c>
      <c r="O45" s="13"/>
      <c r="P45" s="14">
        <v>1</v>
      </c>
      <c r="Q45" s="13">
        <v>5.1E-5</v>
      </c>
      <c r="R45" s="14">
        <v>0</v>
      </c>
      <c r="S45" s="13"/>
      <c r="T45" s="14">
        <v>0</v>
      </c>
      <c r="U45" s="13"/>
      <c r="V45" s="14">
        <v>0</v>
      </c>
      <c r="W45" s="13"/>
      <c r="X45" s="14">
        <v>0</v>
      </c>
      <c r="Y45" s="13"/>
      <c r="Z45" s="14">
        <v>84</v>
      </c>
      <c r="AA45" s="13">
        <v>4.2760000000000003E-3</v>
      </c>
      <c r="AB45" s="12">
        <v>0</v>
      </c>
      <c r="AC45" s="13"/>
    </row>
    <row r="46" spans="1:29" ht="14.25" customHeight="1">
      <c r="A46" s="11" t="s">
        <v>59</v>
      </c>
      <c r="B46" s="14">
        <v>46</v>
      </c>
      <c r="C46" s="13">
        <v>2.0400000000000001E-3</v>
      </c>
      <c r="D46" s="14">
        <v>77</v>
      </c>
      <c r="E46" s="13">
        <v>3.4160000000000002E-3</v>
      </c>
      <c r="F46" s="14">
        <v>11</v>
      </c>
      <c r="G46" s="13">
        <v>4.8799999999999999E-4</v>
      </c>
      <c r="H46" s="14">
        <v>34</v>
      </c>
      <c r="I46" s="13">
        <v>1.508E-3</v>
      </c>
      <c r="J46" s="14">
        <v>0</v>
      </c>
      <c r="K46" s="13"/>
      <c r="L46" s="14">
        <v>3</v>
      </c>
      <c r="M46" s="13">
        <v>1.3300000000000001E-4</v>
      </c>
      <c r="N46" s="14">
        <v>0</v>
      </c>
      <c r="O46" s="13"/>
      <c r="P46" s="14">
        <v>0</v>
      </c>
      <c r="Q46" s="13"/>
      <c r="R46" s="14">
        <v>0</v>
      </c>
      <c r="S46" s="13"/>
      <c r="T46" s="14">
        <v>0</v>
      </c>
      <c r="U46" s="13"/>
      <c r="V46" s="14">
        <v>0</v>
      </c>
      <c r="W46" s="13"/>
      <c r="X46" s="14">
        <v>0</v>
      </c>
      <c r="Y46" s="13"/>
      <c r="Z46" s="14">
        <v>5</v>
      </c>
      <c r="AA46" s="13">
        <v>2.22E-4</v>
      </c>
      <c r="AB46" s="12">
        <v>0</v>
      </c>
      <c r="AC46" s="13"/>
    </row>
    <row r="47" spans="1:29" ht="14.25" customHeight="1">
      <c r="A47" s="11" t="s">
        <v>60</v>
      </c>
      <c r="B47" s="14">
        <v>88</v>
      </c>
      <c r="C47" s="13">
        <v>3.7090000000000001E-3</v>
      </c>
      <c r="D47" s="14">
        <v>114</v>
      </c>
      <c r="E47" s="13">
        <v>4.8050000000000002E-3</v>
      </c>
      <c r="F47" s="14">
        <v>55</v>
      </c>
      <c r="G47" s="13">
        <v>2.3180000000000002E-3</v>
      </c>
      <c r="H47" s="14">
        <v>47</v>
      </c>
      <c r="I47" s="13">
        <v>1.9810000000000001E-3</v>
      </c>
      <c r="J47" s="14">
        <v>0</v>
      </c>
      <c r="K47" s="13"/>
      <c r="L47" s="14">
        <v>4</v>
      </c>
      <c r="M47" s="13">
        <v>1.6899999999999999E-4</v>
      </c>
      <c r="N47" s="14">
        <v>0</v>
      </c>
      <c r="O47" s="13"/>
      <c r="P47" s="14">
        <v>0</v>
      </c>
      <c r="Q47" s="13"/>
      <c r="R47" s="14">
        <v>0</v>
      </c>
      <c r="S47" s="13"/>
      <c r="T47" s="14">
        <v>0</v>
      </c>
      <c r="U47" s="13"/>
      <c r="V47" s="14">
        <v>0</v>
      </c>
      <c r="W47" s="13"/>
      <c r="X47" s="14">
        <v>0</v>
      </c>
      <c r="Y47" s="13"/>
      <c r="Z47" s="14">
        <v>5</v>
      </c>
      <c r="AA47" s="13">
        <v>2.1100000000000001E-4</v>
      </c>
      <c r="AB47" s="12">
        <v>0</v>
      </c>
      <c r="AC47" s="13"/>
    </row>
    <row r="48" spans="1:29" ht="14.25" customHeight="1">
      <c r="A48" s="11" t="s">
        <v>61</v>
      </c>
      <c r="B48" s="14">
        <v>310</v>
      </c>
      <c r="C48" s="13">
        <v>9.9889999999999996E-3</v>
      </c>
      <c r="D48" s="14">
        <v>172</v>
      </c>
      <c r="E48" s="13">
        <v>5.5420000000000001E-3</v>
      </c>
      <c r="F48" s="14">
        <v>33</v>
      </c>
      <c r="G48" s="13">
        <v>1.0629999999999999E-3</v>
      </c>
      <c r="H48" s="14">
        <v>82</v>
      </c>
      <c r="I48" s="13">
        <v>2.6419999999999998E-3</v>
      </c>
      <c r="J48" s="14">
        <v>1</v>
      </c>
      <c r="K48" s="13">
        <v>3.1999999999999999E-5</v>
      </c>
      <c r="L48" s="14">
        <v>1</v>
      </c>
      <c r="M48" s="13">
        <v>3.1999999999999999E-5</v>
      </c>
      <c r="N48" s="14">
        <v>0</v>
      </c>
      <c r="O48" s="13"/>
      <c r="P48" s="14">
        <v>1</v>
      </c>
      <c r="Q48" s="13">
        <v>3.1999999999999999E-5</v>
      </c>
      <c r="R48" s="14">
        <v>0</v>
      </c>
      <c r="S48" s="13"/>
      <c r="T48" s="14">
        <v>0</v>
      </c>
      <c r="U48" s="13"/>
      <c r="V48" s="14">
        <v>1</v>
      </c>
      <c r="W48" s="13">
        <v>3.1999999999999999E-5</v>
      </c>
      <c r="X48" s="14">
        <v>0</v>
      </c>
      <c r="Y48" s="13"/>
      <c r="Z48" s="14">
        <v>4</v>
      </c>
      <c r="AA48" s="13">
        <v>1.2899999999999999E-4</v>
      </c>
      <c r="AB48" s="12">
        <v>0</v>
      </c>
      <c r="AC48" s="13"/>
    </row>
    <row r="49" spans="1:29" ht="14.25" customHeight="1">
      <c r="A49" s="11" t="s">
        <v>62</v>
      </c>
      <c r="B49" s="14">
        <v>705</v>
      </c>
      <c r="C49" s="13">
        <v>2.359E-2</v>
      </c>
      <c r="D49" s="14">
        <v>119</v>
      </c>
      <c r="E49" s="13">
        <v>3.9820000000000003E-3</v>
      </c>
      <c r="F49" s="14">
        <v>29</v>
      </c>
      <c r="G49" s="13">
        <v>9.7000000000000005E-4</v>
      </c>
      <c r="H49" s="14">
        <v>103</v>
      </c>
      <c r="I49" s="13">
        <v>3.4459999999999998E-3</v>
      </c>
      <c r="J49" s="14">
        <v>0</v>
      </c>
      <c r="K49" s="13"/>
      <c r="L49" s="14">
        <v>0</v>
      </c>
      <c r="M49" s="13"/>
      <c r="N49" s="14">
        <v>0</v>
      </c>
      <c r="O49" s="13"/>
      <c r="P49" s="14">
        <v>0</v>
      </c>
      <c r="Q49" s="13"/>
      <c r="R49" s="14">
        <v>0</v>
      </c>
      <c r="S49" s="13"/>
      <c r="T49" s="14">
        <v>0</v>
      </c>
      <c r="U49" s="13"/>
      <c r="V49" s="14">
        <v>0</v>
      </c>
      <c r="W49" s="13"/>
      <c r="X49" s="14">
        <v>0</v>
      </c>
      <c r="Y49" s="13"/>
      <c r="Z49" s="14">
        <v>36</v>
      </c>
      <c r="AA49" s="13">
        <v>1.2049999999999999E-3</v>
      </c>
      <c r="AB49" s="12">
        <v>1</v>
      </c>
      <c r="AC49" s="13">
        <v>3.3000000000000003E-5</v>
      </c>
    </row>
    <row r="50" spans="1:29" ht="14.25" customHeight="1">
      <c r="A50" s="11" t="s">
        <v>63</v>
      </c>
      <c r="B50" s="14">
        <v>755</v>
      </c>
      <c r="C50" s="13">
        <v>3.0665000000000001E-2</v>
      </c>
      <c r="D50" s="14">
        <v>197</v>
      </c>
      <c r="E50" s="13">
        <v>8.0009999999999994E-3</v>
      </c>
      <c r="F50" s="14">
        <v>21</v>
      </c>
      <c r="G50" s="13">
        <v>8.5300000000000003E-4</v>
      </c>
      <c r="H50" s="14">
        <v>109</v>
      </c>
      <c r="I50" s="13">
        <v>4.4270000000000004E-3</v>
      </c>
      <c r="J50" s="14">
        <v>0</v>
      </c>
      <c r="K50" s="13"/>
      <c r="L50" s="14">
        <v>4</v>
      </c>
      <c r="M50" s="13">
        <v>1.6200000000000001E-4</v>
      </c>
      <c r="N50" s="14">
        <v>0</v>
      </c>
      <c r="O50" s="13"/>
      <c r="P50" s="14">
        <v>3</v>
      </c>
      <c r="Q50" s="13">
        <v>1.22E-4</v>
      </c>
      <c r="R50" s="14">
        <v>0</v>
      </c>
      <c r="S50" s="13"/>
      <c r="T50" s="14">
        <v>0</v>
      </c>
      <c r="U50" s="13"/>
      <c r="V50" s="14">
        <v>0</v>
      </c>
      <c r="W50" s="13"/>
      <c r="X50" s="14">
        <v>0</v>
      </c>
      <c r="Y50" s="13"/>
      <c r="Z50" s="14">
        <v>3</v>
      </c>
      <c r="AA50" s="13">
        <v>1.22E-4</v>
      </c>
      <c r="AB50" s="12">
        <v>0</v>
      </c>
      <c r="AC50" s="13"/>
    </row>
    <row r="51" spans="1:29" ht="14.25" customHeight="1">
      <c r="A51" s="11" t="s">
        <v>64</v>
      </c>
      <c r="B51" s="14">
        <v>504</v>
      </c>
      <c r="C51" s="13">
        <v>2.3060000000000001E-2</v>
      </c>
      <c r="D51" s="14">
        <v>217</v>
      </c>
      <c r="E51" s="13">
        <v>9.9290000000000003E-3</v>
      </c>
      <c r="F51" s="14">
        <v>12</v>
      </c>
      <c r="G51" s="13">
        <v>5.4900000000000001E-4</v>
      </c>
      <c r="H51" s="14">
        <v>137</v>
      </c>
      <c r="I51" s="13">
        <v>6.2680000000000001E-3</v>
      </c>
      <c r="J51" s="14">
        <v>0</v>
      </c>
      <c r="K51" s="13"/>
      <c r="L51" s="14">
        <v>0</v>
      </c>
      <c r="M51" s="13"/>
      <c r="N51" s="14">
        <v>0</v>
      </c>
      <c r="O51" s="13"/>
      <c r="P51" s="14">
        <v>3</v>
      </c>
      <c r="Q51" s="13">
        <v>1.37E-4</v>
      </c>
      <c r="R51" s="14">
        <v>0</v>
      </c>
      <c r="S51" s="13"/>
      <c r="T51" s="14">
        <v>1</v>
      </c>
      <c r="U51" s="13">
        <v>4.6E-5</v>
      </c>
      <c r="V51" s="14">
        <v>0</v>
      </c>
      <c r="W51" s="13"/>
      <c r="X51" s="14">
        <v>0</v>
      </c>
      <c r="Y51" s="13"/>
      <c r="Z51" s="14">
        <v>28</v>
      </c>
      <c r="AA51" s="13">
        <v>1.281E-3</v>
      </c>
      <c r="AB51" s="12">
        <v>0</v>
      </c>
      <c r="AC51" s="13"/>
    </row>
    <row r="52" spans="1:29" ht="14.25" customHeight="1">
      <c r="A52" s="11" t="s">
        <v>65</v>
      </c>
      <c r="B52" s="14">
        <v>634</v>
      </c>
      <c r="C52" s="13">
        <v>2.3493E-2</v>
      </c>
      <c r="D52" s="14">
        <v>257</v>
      </c>
      <c r="E52" s="13">
        <v>9.5230000000000002E-3</v>
      </c>
      <c r="F52" s="14">
        <v>27</v>
      </c>
      <c r="G52" s="13">
        <v>1E-3</v>
      </c>
      <c r="H52" s="14">
        <v>506</v>
      </c>
      <c r="I52" s="13">
        <v>1.8749999999999999E-2</v>
      </c>
      <c r="J52" s="14">
        <v>0</v>
      </c>
      <c r="K52" s="13"/>
      <c r="L52" s="14">
        <v>7</v>
      </c>
      <c r="M52" s="13">
        <v>2.5900000000000001E-4</v>
      </c>
      <c r="N52" s="14">
        <v>0</v>
      </c>
      <c r="O52" s="13"/>
      <c r="P52" s="14">
        <v>6</v>
      </c>
      <c r="Q52" s="13">
        <v>2.22E-4</v>
      </c>
      <c r="R52" s="14">
        <v>4</v>
      </c>
      <c r="S52" s="13">
        <v>1.4799999999999999E-4</v>
      </c>
      <c r="T52" s="14">
        <v>0</v>
      </c>
      <c r="U52" s="13"/>
      <c r="V52" s="14">
        <v>0</v>
      </c>
      <c r="W52" s="13"/>
      <c r="X52" s="14">
        <v>0</v>
      </c>
      <c r="Y52" s="13"/>
      <c r="Z52" s="14">
        <v>2</v>
      </c>
      <c r="AA52" s="13">
        <v>7.3999999999999996E-5</v>
      </c>
      <c r="AB52" s="12">
        <v>0</v>
      </c>
      <c r="AC52" s="13"/>
    </row>
    <row r="53" spans="1:29" ht="14.25" customHeight="1">
      <c r="A53" s="11" t="s">
        <v>66</v>
      </c>
      <c r="B53" s="14">
        <v>3253</v>
      </c>
      <c r="C53" s="13">
        <v>8.5693000000000005E-2</v>
      </c>
      <c r="D53" s="14">
        <v>334</v>
      </c>
      <c r="E53" s="13">
        <v>8.7989999999999995E-3</v>
      </c>
      <c r="F53" s="14">
        <v>27</v>
      </c>
      <c r="G53" s="13">
        <v>7.1100000000000004E-4</v>
      </c>
      <c r="H53" s="14">
        <v>1524</v>
      </c>
      <c r="I53" s="13">
        <v>4.0146000000000001E-2</v>
      </c>
      <c r="J53" s="14">
        <v>6</v>
      </c>
      <c r="K53" s="13">
        <v>1.5799999999999999E-4</v>
      </c>
      <c r="L53" s="14">
        <v>3</v>
      </c>
      <c r="M53" s="13">
        <v>7.8999999999999996E-5</v>
      </c>
      <c r="N53" s="14">
        <v>0</v>
      </c>
      <c r="O53" s="13"/>
      <c r="P53" s="14">
        <v>13</v>
      </c>
      <c r="Q53" s="13">
        <v>3.4200000000000002E-4</v>
      </c>
      <c r="R53" s="14">
        <v>2</v>
      </c>
      <c r="S53" s="13">
        <v>5.3000000000000001E-5</v>
      </c>
      <c r="T53" s="14">
        <v>0</v>
      </c>
      <c r="U53" s="13"/>
      <c r="V53" s="14">
        <v>1</v>
      </c>
      <c r="W53" s="13">
        <v>2.5999999999999998E-5</v>
      </c>
      <c r="X53" s="14">
        <v>0</v>
      </c>
      <c r="Y53" s="13"/>
      <c r="Z53" s="14">
        <v>20</v>
      </c>
      <c r="AA53" s="13">
        <v>5.2700000000000002E-4</v>
      </c>
      <c r="AB53" s="12">
        <v>0</v>
      </c>
      <c r="AC53" s="13"/>
    </row>
    <row r="54" spans="1:29" ht="14.25" customHeight="1">
      <c r="A54" s="11" t="s">
        <v>67</v>
      </c>
      <c r="B54" s="14">
        <v>5859</v>
      </c>
      <c r="C54" s="13">
        <v>0.13713</v>
      </c>
      <c r="D54" s="14">
        <v>430</v>
      </c>
      <c r="E54" s="13">
        <v>1.0064E-2</v>
      </c>
      <c r="F54" s="14">
        <v>23</v>
      </c>
      <c r="G54" s="13">
        <v>5.3799999999999996E-4</v>
      </c>
      <c r="H54" s="14">
        <v>1538</v>
      </c>
      <c r="I54" s="13">
        <v>3.5997000000000001E-2</v>
      </c>
      <c r="J54" s="14">
        <v>15</v>
      </c>
      <c r="K54" s="13">
        <v>3.5100000000000002E-4</v>
      </c>
      <c r="L54" s="14">
        <v>31</v>
      </c>
      <c r="M54" s="13">
        <v>7.2599999999999997E-4</v>
      </c>
      <c r="N54" s="14">
        <v>0</v>
      </c>
      <c r="O54" s="13"/>
      <c r="P54" s="14">
        <v>7</v>
      </c>
      <c r="Q54" s="13">
        <v>1.64E-4</v>
      </c>
      <c r="R54" s="14">
        <v>3</v>
      </c>
      <c r="S54" s="13">
        <v>6.9999999999999994E-5</v>
      </c>
      <c r="T54" s="14">
        <v>1</v>
      </c>
      <c r="U54" s="13">
        <v>2.3E-5</v>
      </c>
      <c r="V54" s="14">
        <v>1</v>
      </c>
      <c r="W54" s="13">
        <v>2.3E-5</v>
      </c>
      <c r="X54" s="14">
        <v>1</v>
      </c>
      <c r="Y54" s="13">
        <v>2.3E-5</v>
      </c>
      <c r="Z54" s="14">
        <v>22</v>
      </c>
      <c r="AA54" s="13">
        <v>5.1500000000000005E-4</v>
      </c>
      <c r="AB54" s="12">
        <v>0</v>
      </c>
      <c r="AC54" s="13"/>
    </row>
    <row r="55" spans="1:29" ht="14.25" customHeight="1">
      <c r="A55" s="11" t="s">
        <v>68</v>
      </c>
      <c r="B55" s="14">
        <v>4979</v>
      </c>
      <c r="C55" s="13">
        <v>0.14346999999999999</v>
      </c>
      <c r="D55" s="14">
        <v>576</v>
      </c>
      <c r="E55" s="13">
        <v>1.6598000000000002E-2</v>
      </c>
      <c r="F55" s="14">
        <v>32</v>
      </c>
      <c r="G55" s="13">
        <v>9.2199999999999997E-4</v>
      </c>
      <c r="H55" s="14">
        <v>882</v>
      </c>
      <c r="I55" s="13">
        <v>2.5415E-2</v>
      </c>
      <c r="J55" s="14">
        <v>5</v>
      </c>
      <c r="K55" s="13">
        <v>1.44E-4</v>
      </c>
      <c r="L55" s="14">
        <v>86</v>
      </c>
      <c r="M55" s="13">
        <v>2.4780000000000002E-3</v>
      </c>
      <c r="N55" s="14">
        <v>0</v>
      </c>
      <c r="O55" s="13"/>
      <c r="P55" s="14">
        <v>26</v>
      </c>
      <c r="Q55" s="13">
        <v>7.4899999999999999E-4</v>
      </c>
      <c r="R55" s="14">
        <v>3</v>
      </c>
      <c r="S55" s="13">
        <v>8.6000000000000003E-5</v>
      </c>
      <c r="T55" s="14">
        <v>0</v>
      </c>
      <c r="U55" s="13"/>
      <c r="V55" s="14">
        <v>2</v>
      </c>
      <c r="W55" s="13">
        <v>5.8E-5</v>
      </c>
      <c r="X55" s="14">
        <v>0</v>
      </c>
      <c r="Y55" s="13"/>
      <c r="Z55" s="14">
        <v>14</v>
      </c>
      <c r="AA55" s="13">
        <v>4.0299999999999998E-4</v>
      </c>
      <c r="AB55" s="12">
        <v>0</v>
      </c>
      <c r="AC55" s="13"/>
    </row>
    <row r="56" spans="1:29" ht="14.25" customHeight="1">
      <c r="A56" s="11" t="s">
        <v>69</v>
      </c>
      <c r="B56" s="14">
        <v>9291</v>
      </c>
      <c r="C56" s="13">
        <v>0.213812</v>
      </c>
      <c r="D56" s="14">
        <v>758</v>
      </c>
      <c r="E56" s="13">
        <v>1.7444000000000001E-2</v>
      </c>
      <c r="F56" s="14">
        <v>53</v>
      </c>
      <c r="G56" s="13">
        <v>1.2199999999999999E-3</v>
      </c>
      <c r="H56" s="14">
        <v>1483</v>
      </c>
      <c r="I56" s="13">
        <v>3.4127999999999999E-2</v>
      </c>
      <c r="J56" s="14">
        <v>29</v>
      </c>
      <c r="K56" s="13">
        <v>6.6699999999999995E-4</v>
      </c>
      <c r="L56" s="14">
        <v>78</v>
      </c>
      <c r="M56" s="13">
        <v>1.7949999999999999E-3</v>
      </c>
      <c r="N56" s="14">
        <v>0</v>
      </c>
      <c r="O56" s="13"/>
      <c r="P56" s="14">
        <v>51</v>
      </c>
      <c r="Q56" s="13">
        <v>1.1739999999999999E-3</v>
      </c>
      <c r="R56" s="14">
        <v>10</v>
      </c>
      <c r="S56" s="13">
        <v>2.3000000000000001E-4</v>
      </c>
      <c r="T56" s="14">
        <v>0</v>
      </c>
      <c r="U56" s="13"/>
      <c r="V56" s="14">
        <v>1</v>
      </c>
      <c r="W56" s="13">
        <v>2.3E-5</v>
      </c>
      <c r="X56" s="14">
        <v>0</v>
      </c>
      <c r="Y56" s="13"/>
      <c r="Z56" s="14">
        <v>106</v>
      </c>
      <c r="AA56" s="13">
        <v>2.4390000000000002E-3</v>
      </c>
      <c r="AB56" s="12">
        <v>0</v>
      </c>
      <c r="AC56" s="13"/>
    </row>
    <row r="57" spans="1:29" ht="14.25" customHeight="1">
      <c r="A57" s="11" t="s">
        <v>70</v>
      </c>
      <c r="B57" s="14">
        <v>12299</v>
      </c>
      <c r="C57" s="13">
        <v>0.21140999999999999</v>
      </c>
      <c r="D57" s="14">
        <v>1017</v>
      </c>
      <c r="E57" s="13">
        <v>1.7481E-2</v>
      </c>
      <c r="F57" s="14">
        <v>228</v>
      </c>
      <c r="G57" s="13">
        <v>3.9189999999999997E-3</v>
      </c>
      <c r="H57" s="14">
        <v>3529</v>
      </c>
      <c r="I57" s="13">
        <v>6.0661E-2</v>
      </c>
      <c r="J57" s="14">
        <v>73</v>
      </c>
      <c r="K57" s="13">
        <v>1.255E-3</v>
      </c>
      <c r="L57" s="14">
        <v>142</v>
      </c>
      <c r="M57" s="13">
        <v>2.441E-3</v>
      </c>
      <c r="N57" s="14">
        <v>0</v>
      </c>
      <c r="O57" s="13"/>
      <c r="P57" s="14">
        <v>95</v>
      </c>
      <c r="Q57" s="13">
        <v>1.6329999999999999E-3</v>
      </c>
      <c r="R57" s="14">
        <v>7</v>
      </c>
      <c r="S57" s="13">
        <v>1.2E-4</v>
      </c>
      <c r="T57" s="14">
        <v>3</v>
      </c>
      <c r="U57" s="13">
        <v>5.1999999999999997E-5</v>
      </c>
      <c r="V57" s="14">
        <v>5</v>
      </c>
      <c r="W57" s="13">
        <v>8.6000000000000003E-5</v>
      </c>
      <c r="X57" s="14">
        <v>1</v>
      </c>
      <c r="Y57" s="13">
        <v>1.7E-5</v>
      </c>
      <c r="Z57" s="14">
        <v>85</v>
      </c>
      <c r="AA57" s="13">
        <v>1.4610000000000001E-3</v>
      </c>
      <c r="AB57" s="12">
        <v>0</v>
      </c>
      <c r="AC57" s="13"/>
    </row>
    <row r="58" spans="1:29" ht="14.25" customHeight="1">
      <c r="A58" s="11" t="s">
        <v>71</v>
      </c>
      <c r="B58" s="14">
        <v>16395</v>
      </c>
      <c r="C58" s="13">
        <v>0.25475500000000001</v>
      </c>
      <c r="D58" s="14">
        <v>1015</v>
      </c>
      <c r="E58" s="13">
        <v>1.5772000000000001E-2</v>
      </c>
      <c r="F58" s="14">
        <v>149</v>
      </c>
      <c r="G58" s="13">
        <v>2.3149999999999998E-3</v>
      </c>
      <c r="H58" s="14">
        <v>4487</v>
      </c>
      <c r="I58" s="13">
        <v>6.9722000000000006E-2</v>
      </c>
      <c r="J58" s="14">
        <v>80</v>
      </c>
      <c r="K58" s="13">
        <v>1.243E-3</v>
      </c>
      <c r="L58" s="14">
        <v>155</v>
      </c>
      <c r="M58" s="13">
        <v>2.408E-3</v>
      </c>
      <c r="N58" s="14">
        <v>0</v>
      </c>
      <c r="O58" s="13"/>
      <c r="P58" s="14">
        <v>116</v>
      </c>
      <c r="Q58" s="13">
        <v>1.802E-3</v>
      </c>
      <c r="R58" s="14">
        <v>5</v>
      </c>
      <c r="S58" s="13">
        <v>7.7999999999999999E-5</v>
      </c>
      <c r="T58" s="14">
        <v>0</v>
      </c>
      <c r="U58" s="13"/>
      <c r="V58" s="14">
        <v>28</v>
      </c>
      <c r="W58" s="13">
        <v>4.35E-4</v>
      </c>
      <c r="X58" s="14">
        <v>2</v>
      </c>
      <c r="Y58" s="13">
        <v>3.1000000000000001E-5</v>
      </c>
      <c r="Z58" s="14">
        <v>69</v>
      </c>
      <c r="AA58" s="13">
        <v>1.072E-3</v>
      </c>
      <c r="AB58" s="12">
        <v>0</v>
      </c>
      <c r="AC58" s="13"/>
    </row>
    <row r="59" spans="1:29" ht="14.25" customHeight="1">
      <c r="A59" s="11" t="s">
        <v>72</v>
      </c>
      <c r="B59" s="14">
        <v>17872</v>
      </c>
      <c r="C59" s="13">
        <v>0.289655</v>
      </c>
      <c r="D59" s="14">
        <v>958</v>
      </c>
      <c r="E59" s="13">
        <v>1.5526E-2</v>
      </c>
      <c r="F59" s="14">
        <v>44</v>
      </c>
      <c r="G59" s="13">
        <v>7.1299999999999998E-4</v>
      </c>
      <c r="H59" s="14">
        <v>3541</v>
      </c>
      <c r="I59" s="13">
        <v>5.7389999999999997E-2</v>
      </c>
      <c r="J59" s="14">
        <v>86</v>
      </c>
      <c r="K59" s="13">
        <v>1.3940000000000001E-3</v>
      </c>
      <c r="L59" s="14">
        <v>221</v>
      </c>
      <c r="M59" s="13">
        <v>3.5820000000000001E-3</v>
      </c>
      <c r="N59" s="14">
        <v>0</v>
      </c>
      <c r="O59" s="13"/>
      <c r="P59" s="14">
        <v>160</v>
      </c>
      <c r="Q59" s="13">
        <v>2.5929999999999998E-3</v>
      </c>
      <c r="R59" s="14">
        <v>5</v>
      </c>
      <c r="S59" s="13">
        <v>8.1000000000000004E-5</v>
      </c>
      <c r="T59" s="14">
        <v>1</v>
      </c>
      <c r="U59" s="13">
        <v>1.5999999999999999E-5</v>
      </c>
      <c r="V59" s="14">
        <v>26</v>
      </c>
      <c r="W59" s="13">
        <v>4.2099999999999999E-4</v>
      </c>
      <c r="X59" s="14">
        <v>1</v>
      </c>
      <c r="Y59" s="13">
        <v>1.5999999999999999E-5</v>
      </c>
      <c r="Z59" s="14">
        <v>45</v>
      </c>
      <c r="AA59" s="13">
        <v>7.2900000000000005E-4</v>
      </c>
      <c r="AB59" s="12">
        <v>0</v>
      </c>
      <c r="AC59" s="13"/>
    </row>
    <row r="60" spans="1:29" ht="14.25" customHeight="1">
      <c r="A60" s="11" t="s">
        <v>73</v>
      </c>
      <c r="B60" s="14">
        <v>27413</v>
      </c>
      <c r="C60" s="13">
        <v>0.39207900000000001</v>
      </c>
      <c r="D60" s="14">
        <v>1014</v>
      </c>
      <c r="E60" s="13">
        <v>1.4503E-2</v>
      </c>
      <c r="F60" s="14">
        <v>80</v>
      </c>
      <c r="G60" s="13">
        <v>1.1440000000000001E-3</v>
      </c>
      <c r="H60" s="14">
        <v>4295</v>
      </c>
      <c r="I60" s="13">
        <v>6.1429999999999998E-2</v>
      </c>
      <c r="J60" s="14">
        <v>189</v>
      </c>
      <c r="K60" s="13">
        <v>2.7030000000000001E-3</v>
      </c>
      <c r="L60" s="14">
        <v>249</v>
      </c>
      <c r="M60" s="13">
        <v>3.5609999999999999E-3</v>
      </c>
      <c r="N60" s="14">
        <v>0</v>
      </c>
      <c r="O60" s="13"/>
      <c r="P60" s="14">
        <v>362</v>
      </c>
      <c r="Q60" s="13">
        <v>5.1780000000000003E-3</v>
      </c>
      <c r="R60" s="14">
        <v>12</v>
      </c>
      <c r="S60" s="13">
        <v>1.7200000000000001E-4</v>
      </c>
      <c r="T60" s="14">
        <v>0</v>
      </c>
      <c r="U60" s="13"/>
      <c r="V60" s="14">
        <v>37</v>
      </c>
      <c r="W60" s="13">
        <v>5.2899999999999996E-4</v>
      </c>
      <c r="X60" s="14">
        <v>0</v>
      </c>
      <c r="Y60" s="13"/>
      <c r="Z60" s="14">
        <v>51</v>
      </c>
      <c r="AA60" s="13">
        <v>7.2900000000000005E-4</v>
      </c>
      <c r="AB60" s="12">
        <v>0</v>
      </c>
      <c r="AC60" s="13"/>
    </row>
    <row r="61" spans="1:29" ht="14.25" customHeight="1">
      <c r="A61" s="11" t="s">
        <v>74</v>
      </c>
      <c r="B61" s="14">
        <v>23391</v>
      </c>
      <c r="C61" s="13">
        <v>0.35791200000000001</v>
      </c>
      <c r="D61" s="14">
        <v>1076</v>
      </c>
      <c r="E61" s="13">
        <v>1.6463999999999999E-2</v>
      </c>
      <c r="F61" s="14">
        <v>80</v>
      </c>
      <c r="G61" s="13">
        <v>1.224E-3</v>
      </c>
      <c r="H61" s="14">
        <v>6253</v>
      </c>
      <c r="I61" s="13">
        <v>9.5679E-2</v>
      </c>
      <c r="J61" s="14">
        <v>262</v>
      </c>
      <c r="K61" s="13">
        <v>4.0090000000000004E-3</v>
      </c>
      <c r="L61" s="14">
        <v>397</v>
      </c>
      <c r="M61" s="13">
        <v>6.0749999999999997E-3</v>
      </c>
      <c r="N61" s="14">
        <v>0</v>
      </c>
      <c r="O61" s="13"/>
      <c r="P61" s="14">
        <v>502</v>
      </c>
      <c r="Q61" s="13">
        <v>7.6810000000000003E-3</v>
      </c>
      <c r="R61" s="14">
        <v>39</v>
      </c>
      <c r="S61" s="13">
        <v>5.9699999999999998E-4</v>
      </c>
      <c r="T61" s="14">
        <v>0</v>
      </c>
      <c r="U61" s="13"/>
      <c r="V61" s="14">
        <v>35</v>
      </c>
      <c r="W61" s="13">
        <v>5.3600000000000002E-4</v>
      </c>
      <c r="X61" s="14">
        <v>1</v>
      </c>
      <c r="Y61" s="13">
        <v>1.5E-5</v>
      </c>
      <c r="Z61" s="14">
        <v>62</v>
      </c>
      <c r="AA61" s="13">
        <v>9.4899999999999997E-4</v>
      </c>
      <c r="AB61" s="12">
        <v>4</v>
      </c>
      <c r="AC61" s="13">
        <v>6.0999999999999999E-5</v>
      </c>
    </row>
    <row r="62" spans="1:29" ht="14.25" customHeight="1">
      <c r="A62" s="11" t="s">
        <v>75</v>
      </c>
      <c r="B62" s="14">
        <v>29921</v>
      </c>
      <c r="C62" s="13">
        <v>0.41528700000000002</v>
      </c>
      <c r="D62" s="14">
        <v>1212</v>
      </c>
      <c r="E62" s="13">
        <v>1.6822E-2</v>
      </c>
      <c r="F62" s="14">
        <v>295</v>
      </c>
      <c r="G62" s="13">
        <v>4.0940000000000004E-3</v>
      </c>
      <c r="H62" s="14">
        <v>5743</v>
      </c>
      <c r="I62" s="13">
        <v>7.9710000000000003E-2</v>
      </c>
      <c r="J62" s="14">
        <v>271</v>
      </c>
      <c r="K62" s="13">
        <v>3.761E-3</v>
      </c>
      <c r="L62" s="14">
        <v>663</v>
      </c>
      <c r="M62" s="13">
        <v>9.2020000000000001E-3</v>
      </c>
      <c r="N62" s="14">
        <v>0</v>
      </c>
      <c r="O62" s="13"/>
      <c r="P62" s="14">
        <v>800</v>
      </c>
      <c r="Q62" s="13">
        <v>1.1103999999999999E-2</v>
      </c>
      <c r="R62" s="14">
        <v>42</v>
      </c>
      <c r="S62" s="13">
        <v>5.8299999999999997E-4</v>
      </c>
      <c r="T62" s="14">
        <v>1</v>
      </c>
      <c r="U62" s="13">
        <v>1.4E-5</v>
      </c>
      <c r="V62" s="14">
        <v>41</v>
      </c>
      <c r="W62" s="13">
        <v>5.6899999999999995E-4</v>
      </c>
      <c r="X62" s="14">
        <v>0</v>
      </c>
      <c r="Y62" s="13"/>
      <c r="Z62" s="14">
        <v>32</v>
      </c>
      <c r="AA62" s="13">
        <v>4.44E-4</v>
      </c>
      <c r="AB62" s="12">
        <v>0</v>
      </c>
      <c r="AC62" s="13"/>
    </row>
    <row r="63" spans="1:29" ht="14.25" customHeight="1">
      <c r="A63" s="11" t="s">
        <v>76</v>
      </c>
      <c r="B63" s="14">
        <v>35305</v>
      </c>
      <c r="C63" s="13">
        <v>0.48533900000000002</v>
      </c>
      <c r="D63" s="14">
        <v>1408</v>
      </c>
      <c r="E63" s="13">
        <v>1.9356000000000002E-2</v>
      </c>
      <c r="F63" s="14">
        <v>49</v>
      </c>
      <c r="G63" s="13">
        <v>6.7400000000000001E-4</v>
      </c>
      <c r="H63" s="14">
        <v>4350</v>
      </c>
      <c r="I63" s="13">
        <v>5.9799999999999999E-2</v>
      </c>
      <c r="J63" s="14">
        <v>342</v>
      </c>
      <c r="K63" s="13">
        <v>4.7010000000000003E-3</v>
      </c>
      <c r="L63" s="14">
        <v>788</v>
      </c>
      <c r="M63" s="13">
        <v>1.0833000000000001E-2</v>
      </c>
      <c r="N63" s="14">
        <v>0</v>
      </c>
      <c r="O63" s="13"/>
      <c r="P63" s="14">
        <v>810</v>
      </c>
      <c r="Q63" s="13">
        <v>1.1135000000000001E-2</v>
      </c>
      <c r="R63" s="14">
        <v>159</v>
      </c>
      <c r="S63" s="13">
        <v>2.186E-3</v>
      </c>
      <c r="T63" s="14">
        <v>0</v>
      </c>
      <c r="U63" s="13"/>
      <c r="V63" s="14">
        <v>61</v>
      </c>
      <c r="W63" s="13">
        <v>8.3900000000000001E-4</v>
      </c>
      <c r="X63" s="14">
        <v>4</v>
      </c>
      <c r="Y63" s="13">
        <v>5.5000000000000002E-5</v>
      </c>
      <c r="Z63" s="14">
        <v>64</v>
      </c>
      <c r="AA63" s="13">
        <v>8.8000000000000003E-4</v>
      </c>
      <c r="AB63" s="12">
        <v>0</v>
      </c>
      <c r="AC63" s="13"/>
    </row>
    <row r="64" spans="1:29" ht="14.25" customHeight="1">
      <c r="A64" s="11" t="s">
        <v>77</v>
      </c>
      <c r="B64" s="14">
        <v>41625</v>
      </c>
      <c r="C64" s="13">
        <v>0.53041700000000003</v>
      </c>
      <c r="D64" s="14">
        <v>1475</v>
      </c>
      <c r="E64" s="13">
        <v>1.8796E-2</v>
      </c>
      <c r="F64" s="14">
        <v>49</v>
      </c>
      <c r="G64" s="13">
        <v>6.2399999999999999E-4</v>
      </c>
      <c r="H64" s="14">
        <v>4282</v>
      </c>
      <c r="I64" s="13">
        <v>5.4564000000000001E-2</v>
      </c>
      <c r="J64" s="14">
        <v>436</v>
      </c>
      <c r="K64" s="13">
        <v>5.5560000000000002E-3</v>
      </c>
      <c r="L64" s="14">
        <v>1207</v>
      </c>
      <c r="M64" s="13">
        <v>1.538E-2</v>
      </c>
      <c r="N64" s="14">
        <v>0</v>
      </c>
      <c r="O64" s="13"/>
      <c r="P64" s="14">
        <v>1216</v>
      </c>
      <c r="Q64" s="13">
        <v>1.5495E-2</v>
      </c>
      <c r="R64" s="14">
        <v>252</v>
      </c>
      <c r="S64" s="13">
        <v>3.2109999999999999E-3</v>
      </c>
      <c r="T64" s="14">
        <v>0</v>
      </c>
      <c r="U64" s="13"/>
      <c r="V64" s="14">
        <v>98</v>
      </c>
      <c r="W64" s="13">
        <v>1.2489999999999999E-3</v>
      </c>
      <c r="X64" s="14">
        <v>6</v>
      </c>
      <c r="Y64" s="13">
        <v>7.6000000000000004E-5</v>
      </c>
      <c r="Z64" s="14">
        <v>10</v>
      </c>
      <c r="AA64" s="13">
        <v>1.27E-4</v>
      </c>
      <c r="AB64" s="12">
        <v>0</v>
      </c>
      <c r="AC64" s="13"/>
    </row>
    <row r="65" spans="1:29" ht="14.25" customHeight="1">
      <c r="A65" s="11" t="s">
        <v>78</v>
      </c>
      <c r="B65" s="14">
        <v>47552</v>
      </c>
      <c r="C65" s="13">
        <v>0.56123800000000001</v>
      </c>
      <c r="D65" s="14">
        <v>1969</v>
      </c>
      <c r="E65" s="13">
        <v>2.3238999999999999E-2</v>
      </c>
      <c r="F65" s="14">
        <v>187</v>
      </c>
      <c r="G65" s="13">
        <v>2.2070000000000002E-3</v>
      </c>
      <c r="H65" s="14">
        <v>5186</v>
      </c>
      <c r="I65" s="13">
        <v>6.1207999999999999E-2</v>
      </c>
      <c r="J65" s="14">
        <v>651</v>
      </c>
      <c r="K65" s="13">
        <v>7.6839999999999999E-3</v>
      </c>
      <c r="L65" s="14">
        <v>1422</v>
      </c>
      <c r="M65" s="13">
        <v>1.6782999999999999E-2</v>
      </c>
      <c r="N65" s="14">
        <v>0</v>
      </c>
      <c r="O65" s="13"/>
      <c r="P65" s="14">
        <v>1486</v>
      </c>
      <c r="Q65" s="13">
        <v>1.7538999999999999E-2</v>
      </c>
      <c r="R65" s="14">
        <v>305</v>
      </c>
      <c r="S65" s="13">
        <v>3.5999999999999999E-3</v>
      </c>
      <c r="T65" s="14">
        <v>0</v>
      </c>
      <c r="U65" s="13"/>
      <c r="V65" s="14">
        <v>143</v>
      </c>
      <c r="W65" s="13">
        <v>1.688E-3</v>
      </c>
      <c r="X65" s="14">
        <v>13</v>
      </c>
      <c r="Y65" s="13">
        <v>1.5300000000000001E-4</v>
      </c>
      <c r="Z65" s="14">
        <v>20</v>
      </c>
      <c r="AA65" s="13">
        <v>2.3599999999999999E-4</v>
      </c>
      <c r="AB65" s="12">
        <v>0</v>
      </c>
      <c r="AC65" s="13"/>
    </row>
    <row r="66" spans="1:29" ht="14.25" customHeight="1">
      <c r="A66" s="11" t="s">
        <v>79</v>
      </c>
      <c r="B66" s="14">
        <v>60986</v>
      </c>
      <c r="C66" s="13">
        <v>0.62608799999999998</v>
      </c>
      <c r="D66" s="14">
        <v>2433</v>
      </c>
      <c r="E66" s="13">
        <v>2.4976999999999999E-2</v>
      </c>
      <c r="F66" s="14">
        <v>616</v>
      </c>
      <c r="G66" s="13">
        <v>6.3239999999999998E-3</v>
      </c>
      <c r="H66" s="14">
        <v>4573</v>
      </c>
      <c r="I66" s="13">
        <v>4.6947000000000003E-2</v>
      </c>
      <c r="J66" s="14">
        <v>597</v>
      </c>
      <c r="K66" s="13">
        <v>6.1289999999999999E-3</v>
      </c>
      <c r="L66" s="14">
        <v>1868</v>
      </c>
      <c r="M66" s="13">
        <v>1.9177E-2</v>
      </c>
      <c r="N66" s="14">
        <v>0</v>
      </c>
      <c r="O66" s="13"/>
      <c r="P66" s="14">
        <v>2357</v>
      </c>
      <c r="Q66" s="13">
        <v>2.4197E-2</v>
      </c>
      <c r="R66" s="14">
        <v>533</v>
      </c>
      <c r="S66" s="13">
        <v>5.4720000000000003E-3</v>
      </c>
      <c r="T66" s="14">
        <v>0</v>
      </c>
      <c r="U66" s="13"/>
      <c r="V66" s="14">
        <v>206</v>
      </c>
      <c r="W66" s="13">
        <v>2.1150000000000001E-3</v>
      </c>
      <c r="X66" s="14">
        <v>22</v>
      </c>
      <c r="Y66" s="13">
        <v>2.2599999999999999E-4</v>
      </c>
      <c r="Z66" s="14">
        <v>30</v>
      </c>
      <c r="AA66" s="13">
        <v>3.0800000000000001E-4</v>
      </c>
      <c r="AB66" s="12">
        <v>0</v>
      </c>
      <c r="AC66" s="13"/>
    </row>
    <row r="67" spans="1:29" ht="14.25" customHeight="1">
      <c r="A67" s="11" t="s">
        <v>80</v>
      </c>
      <c r="B67" s="14">
        <v>69186</v>
      </c>
      <c r="C67" s="13">
        <v>0.65863799999999995</v>
      </c>
      <c r="D67" s="14">
        <v>2625</v>
      </c>
      <c r="E67" s="13">
        <v>2.4989999999999998E-2</v>
      </c>
      <c r="F67" s="14">
        <v>553</v>
      </c>
      <c r="G67" s="13">
        <v>5.2639999999999996E-3</v>
      </c>
      <c r="H67" s="14">
        <v>4807</v>
      </c>
      <c r="I67" s="13">
        <v>4.5761999999999997E-2</v>
      </c>
      <c r="J67" s="14">
        <v>687</v>
      </c>
      <c r="K67" s="13">
        <v>6.5399999999999998E-3</v>
      </c>
      <c r="L67" s="14">
        <v>2646</v>
      </c>
      <c r="M67" s="13">
        <v>2.5189E-2</v>
      </c>
      <c r="N67" s="14">
        <v>0</v>
      </c>
      <c r="O67" s="13"/>
      <c r="P67" s="14">
        <v>2952</v>
      </c>
      <c r="Q67" s="13">
        <v>2.8103E-2</v>
      </c>
      <c r="R67" s="14">
        <v>666</v>
      </c>
      <c r="S67" s="13">
        <v>6.3400000000000001E-3</v>
      </c>
      <c r="T67" s="14">
        <v>0</v>
      </c>
      <c r="U67" s="13"/>
      <c r="V67" s="14">
        <v>191</v>
      </c>
      <c r="W67" s="13">
        <v>1.818E-3</v>
      </c>
      <c r="X67" s="14">
        <v>15</v>
      </c>
      <c r="Y67" s="13">
        <v>1.4300000000000001E-4</v>
      </c>
      <c r="Z67" s="14">
        <v>10</v>
      </c>
      <c r="AA67" s="13">
        <v>9.5000000000000005E-5</v>
      </c>
      <c r="AB67" s="12">
        <v>0</v>
      </c>
      <c r="AC67" s="13"/>
    </row>
    <row r="68" spans="1:29" ht="14.25" customHeight="1">
      <c r="A68" s="11" t="s">
        <v>81</v>
      </c>
      <c r="B68" s="14">
        <v>73664</v>
      </c>
      <c r="C68" s="13">
        <v>0.686805</v>
      </c>
      <c r="D68" s="14">
        <v>2345</v>
      </c>
      <c r="E68" s="13">
        <v>2.1864000000000001E-2</v>
      </c>
      <c r="F68" s="14">
        <v>439</v>
      </c>
      <c r="G68" s="13">
        <v>4.0930000000000003E-3</v>
      </c>
      <c r="H68" s="14">
        <v>4188</v>
      </c>
      <c r="I68" s="13">
        <v>3.9046999999999998E-2</v>
      </c>
      <c r="J68" s="14">
        <v>863</v>
      </c>
      <c r="K68" s="13">
        <v>8.0459999999999993E-3</v>
      </c>
      <c r="L68" s="14">
        <v>3909</v>
      </c>
      <c r="M68" s="13">
        <v>3.6445999999999999E-2</v>
      </c>
      <c r="N68" s="14">
        <v>0</v>
      </c>
      <c r="O68" s="13"/>
      <c r="P68" s="14">
        <v>3944</v>
      </c>
      <c r="Q68" s="13">
        <v>3.6771999999999999E-2</v>
      </c>
      <c r="R68" s="14">
        <v>862</v>
      </c>
      <c r="S68" s="13">
        <v>8.0370000000000007E-3</v>
      </c>
      <c r="T68" s="14">
        <v>0</v>
      </c>
      <c r="U68" s="13"/>
      <c r="V68" s="14">
        <v>223</v>
      </c>
      <c r="W68" s="13">
        <v>2.0790000000000001E-3</v>
      </c>
      <c r="X68" s="14">
        <v>38</v>
      </c>
      <c r="Y68" s="13">
        <v>3.5399999999999999E-4</v>
      </c>
      <c r="Z68" s="14">
        <v>8</v>
      </c>
      <c r="AA68" s="13">
        <v>7.4999999999999993E-5</v>
      </c>
      <c r="AB68" s="12">
        <v>0</v>
      </c>
      <c r="AC68" s="13"/>
    </row>
    <row r="69" spans="1:29" ht="14.25" customHeight="1">
      <c r="A69" s="11" t="s">
        <v>82</v>
      </c>
      <c r="B69" s="14">
        <v>72732</v>
      </c>
      <c r="C69" s="13">
        <v>0.67791400000000002</v>
      </c>
      <c r="D69" s="14">
        <v>2609</v>
      </c>
      <c r="E69" s="13">
        <v>2.4317999999999999E-2</v>
      </c>
      <c r="F69" s="14">
        <v>1010</v>
      </c>
      <c r="G69" s="13">
        <v>9.4140000000000005E-3</v>
      </c>
      <c r="H69" s="14">
        <v>3699</v>
      </c>
      <c r="I69" s="13">
        <v>3.4477000000000001E-2</v>
      </c>
      <c r="J69" s="14">
        <v>899</v>
      </c>
      <c r="K69" s="13">
        <v>8.3789999999999993E-3</v>
      </c>
      <c r="L69" s="14">
        <v>4605</v>
      </c>
      <c r="M69" s="13">
        <v>4.2922000000000002E-2</v>
      </c>
      <c r="N69" s="14">
        <v>0</v>
      </c>
      <c r="O69" s="13"/>
      <c r="P69" s="14">
        <v>4382</v>
      </c>
      <c r="Q69" s="13">
        <v>4.0842999999999997E-2</v>
      </c>
      <c r="R69" s="14">
        <v>932</v>
      </c>
      <c r="S69" s="13">
        <v>8.6870000000000003E-3</v>
      </c>
      <c r="T69" s="14">
        <v>0</v>
      </c>
      <c r="U69" s="13"/>
      <c r="V69" s="14">
        <v>291</v>
      </c>
      <c r="W69" s="13">
        <v>2.712E-3</v>
      </c>
      <c r="X69" s="14">
        <v>90</v>
      </c>
      <c r="Y69" s="13">
        <v>8.3900000000000001E-4</v>
      </c>
      <c r="Z69" s="14">
        <v>5</v>
      </c>
      <c r="AA69" s="13">
        <v>4.6999999999999997E-5</v>
      </c>
      <c r="AB69" s="12">
        <v>0</v>
      </c>
      <c r="AC69" s="13"/>
    </row>
    <row r="70" spans="1:29" ht="14.25" customHeight="1">
      <c r="A70" s="11" t="s">
        <v>83</v>
      </c>
      <c r="B70" s="14">
        <v>72839</v>
      </c>
      <c r="C70" s="13">
        <v>0.673207</v>
      </c>
      <c r="D70" s="14">
        <v>2057</v>
      </c>
      <c r="E70" s="13">
        <v>1.9012000000000001E-2</v>
      </c>
      <c r="F70" s="14">
        <v>2321</v>
      </c>
      <c r="G70" s="13">
        <v>2.1451999999999999E-2</v>
      </c>
      <c r="H70" s="14">
        <v>3122</v>
      </c>
      <c r="I70" s="13">
        <v>2.8854999999999999E-2</v>
      </c>
      <c r="J70" s="14">
        <v>769</v>
      </c>
      <c r="K70" s="13">
        <v>7.1069999999999996E-3</v>
      </c>
      <c r="L70" s="14">
        <v>6759</v>
      </c>
      <c r="M70" s="13">
        <v>6.2468999999999997E-2</v>
      </c>
      <c r="N70" s="14">
        <v>0</v>
      </c>
      <c r="O70" s="13"/>
      <c r="P70" s="14">
        <v>4710</v>
      </c>
      <c r="Q70" s="13">
        <v>4.3532000000000001E-2</v>
      </c>
      <c r="R70" s="14">
        <v>1177</v>
      </c>
      <c r="S70" s="13">
        <v>1.0878000000000001E-2</v>
      </c>
      <c r="T70" s="14">
        <v>0</v>
      </c>
      <c r="U70" s="13"/>
      <c r="V70" s="14">
        <v>549</v>
      </c>
      <c r="W70" s="13">
        <v>5.0740000000000004E-3</v>
      </c>
      <c r="X70" s="14">
        <v>250</v>
      </c>
      <c r="Y70" s="13">
        <v>2.3110000000000001E-3</v>
      </c>
      <c r="Z70" s="14">
        <v>11</v>
      </c>
      <c r="AA70" s="13">
        <v>1.02E-4</v>
      </c>
      <c r="AB70" s="12">
        <v>0</v>
      </c>
      <c r="AC70" s="13"/>
    </row>
    <row r="71" spans="1:29" ht="14.25" customHeight="1">
      <c r="A71" s="11" t="s">
        <v>84</v>
      </c>
      <c r="B71" s="14">
        <v>79485</v>
      </c>
      <c r="C71" s="13">
        <v>0.70887100000000003</v>
      </c>
      <c r="D71" s="14">
        <v>2112</v>
      </c>
      <c r="E71" s="13">
        <v>1.8835000000000001E-2</v>
      </c>
      <c r="F71" s="14">
        <v>3218</v>
      </c>
      <c r="G71" s="13">
        <v>2.8698999999999999E-2</v>
      </c>
      <c r="H71" s="14">
        <v>2369</v>
      </c>
      <c r="I71" s="13">
        <v>2.1127E-2</v>
      </c>
      <c r="J71" s="14">
        <v>689</v>
      </c>
      <c r="K71" s="13">
        <v>6.1450000000000003E-3</v>
      </c>
      <c r="L71" s="14">
        <v>6631</v>
      </c>
      <c r="M71" s="13">
        <v>5.9137000000000002E-2</v>
      </c>
      <c r="N71" s="14">
        <v>0</v>
      </c>
      <c r="O71" s="13"/>
      <c r="P71" s="14">
        <v>4794</v>
      </c>
      <c r="Q71" s="13">
        <v>4.2754E-2</v>
      </c>
      <c r="R71" s="14">
        <v>804</v>
      </c>
      <c r="S71" s="13">
        <v>7.1700000000000002E-3</v>
      </c>
      <c r="T71" s="14">
        <v>0</v>
      </c>
      <c r="U71" s="13"/>
      <c r="V71" s="14">
        <v>455</v>
      </c>
      <c r="W71" s="13">
        <v>4.058E-3</v>
      </c>
      <c r="X71" s="14">
        <v>202</v>
      </c>
      <c r="Y71" s="13">
        <v>1.8010000000000001E-3</v>
      </c>
      <c r="Z71" s="14">
        <v>7</v>
      </c>
      <c r="AA71" s="13">
        <v>6.2000000000000003E-5</v>
      </c>
      <c r="AB71" s="12">
        <v>0</v>
      </c>
      <c r="AC71" s="13"/>
    </row>
    <row r="72" spans="1:29" ht="14.25" customHeight="1">
      <c r="A72" s="11" t="s">
        <v>85</v>
      </c>
      <c r="B72" s="14">
        <v>77224</v>
      </c>
      <c r="C72" s="15">
        <v>0.72080999999999995</v>
      </c>
      <c r="D72" s="14">
        <v>1877</v>
      </c>
      <c r="E72" s="13">
        <v>1.7520000000000001E-2</v>
      </c>
      <c r="F72" s="14">
        <v>4159</v>
      </c>
      <c r="G72" s="13">
        <v>3.882E-2</v>
      </c>
      <c r="H72" s="14">
        <v>1720</v>
      </c>
      <c r="I72" s="13">
        <v>1.6055E-2</v>
      </c>
      <c r="J72" s="14">
        <v>558</v>
      </c>
      <c r="K72" s="13">
        <v>5.208E-3</v>
      </c>
      <c r="L72" s="14">
        <v>7166</v>
      </c>
      <c r="M72" s="13">
        <v>6.6888000000000003E-2</v>
      </c>
      <c r="N72" s="14">
        <v>0</v>
      </c>
      <c r="O72" s="13"/>
      <c r="P72" s="14">
        <v>3918</v>
      </c>
      <c r="Q72" s="13">
        <v>3.6570999999999999E-2</v>
      </c>
      <c r="R72" s="14">
        <v>524</v>
      </c>
      <c r="S72" s="13">
        <v>4.8910000000000004E-3</v>
      </c>
      <c r="T72" s="14">
        <v>0</v>
      </c>
      <c r="U72" s="13"/>
      <c r="V72" s="14">
        <v>422</v>
      </c>
      <c r="W72" s="13">
        <v>3.9389999999999998E-3</v>
      </c>
      <c r="X72" s="14">
        <v>252</v>
      </c>
      <c r="Y72" s="13">
        <v>2.3519999999999999E-3</v>
      </c>
      <c r="Z72" s="14">
        <v>6</v>
      </c>
      <c r="AA72" s="13">
        <v>5.5999999999999999E-5</v>
      </c>
      <c r="AB72" s="12">
        <v>0</v>
      </c>
      <c r="AC72" s="13"/>
    </row>
    <row r="73" spans="1:29" ht="14.25" customHeight="1">
      <c r="A73" s="11" t="s">
        <v>86</v>
      </c>
      <c r="B73" s="14">
        <v>76184</v>
      </c>
      <c r="C73" s="13">
        <v>0.70526999999999995</v>
      </c>
      <c r="D73" s="14">
        <v>1787</v>
      </c>
      <c r="E73" s="13">
        <v>1.6542999999999999E-2</v>
      </c>
      <c r="F73" s="14">
        <v>6904</v>
      </c>
      <c r="G73" s="13">
        <v>6.3912999999999998E-2</v>
      </c>
      <c r="H73" s="14">
        <v>1333</v>
      </c>
      <c r="I73" s="13">
        <v>1.234E-2</v>
      </c>
      <c r="J73" s="14">
        <v>572</v>
      </c>
      <c r="K73" s="13">
        <v>5.2950000000000002E-3</v>
      </c>
      <c r="L73" s="14">
        <v>7983</v>
      </c>
      <c r="M73" s="13">
        <v>7.3901999999999995E-2</v>
      </c>
      <c r="N73" s="14">
        <v>0</v>
      </c>
      <c r="O73" s="13"/>
      <c r="P73" s="14">
        <v>3463</v>
      </c>
      <c r="Q73" s="13">
        <v>3.2058999999999997E-2</v>
      </c>
      <c r="R73" s="14">
        <v>554</v>
      </c>
      <c r="S73" s="13">
        <v>5.1289999999999999E-3</v>
      </c>
      <c r="T73" s="14">
        <v>0</v>
      </c>
      <c r="U73" s="13"/>
      <c r="V73" s="14">
        <v>502</v>
      </c>
      <c r="W73" s="13">
        <v>4.6470000000000001E-3</v>
      </c>
      <c r="X73" s="14">
        <v>305</v>
      </c>
      <c r="Y73" s="13">
        <v>2.8240000000000001E-3</v>
      </c>
      <c r="Z73" s="14">
        <v>19</v>
      </c>
      <c r="AA73" s="13">
        <v>1.76E-4</v>
      </c>
      <c r="AB73" s="12">
        <v>0</v>
      </c>
      <c r="AC73" s="13"/>
    </row>
    <row r="74" spans="1:29" ht="14.25" customHeight="1">
      <c r="A74" s="11" t="s">
        <v>87</v>
      </c>
      <c r="B74" s="14">
        <v>69992</v>
      </c>
      <c r="C74" s="13">
        <v>0.70363500000000001</v>
      </c>
      <c r="D74" s="14">
        <v>1648</v>
      </c>
      <c r="E74" s="13">
        <v>1.6566999999999998E-2</v>
      </c>
      <c r="F74" s="14">
        <v>8147</v>
      </c>
      <c r="G74" s="13">
        <v>8.1902000000000003E-2</v>
      </c>
      <c r="H74" s="14">
        <v>941</v>
      </c>
      <c r="I74" s="13">
        <v>9.4599999999999997E-3</v>
      </c>
      <c r="J74" s="14">
        <v>444</v>
      </c>
      <c r="K74" s="13">
        <v>4.4640000000000001E-3</v>
      </c>
      <c r="L74" s="14">
        <v>7299</v>
      </c>
      <c r="M74" s="13">
        <v>7.3376999999999998E-2</v>
      </c>
      <c r="N74" s="14">
        <v>0</v>
      </c>
      <c r="O74" s="13"/>
      <c r="P74" s="14">
        <v>2736</v>
      </c>
      <c r="Q74" s="13">
        <v>2.7505000000000002E-2</v>
      </c>
      <c r="R74" s="14">
        <v>245</v>
      </c>
      <c r="S74" s="13">
        <v>2.4629999999999999E-3</v>
      </c>
      <c r="T74" s="14">
        <v>0</v>
      </c>
      <c r="U74" s="13"/>
      <c r="V74" s="14">
        <v>467</v>
      </c>
      <c r="W74" s="13">
        <v>4.6950000000000004E-3</v>
      </c>
      <c r="X74" s="14">
        <v>376</v>
      </c>
      <c r="Y74" s="13">
        <v>3.7799999999999999E-3</v>
      </c>
      <c r="Z74" s="14">
        <v>40</v>
      </c>
      <c r="AA74" s="13">
        <v>4.0200000000000001E-4</v>
      </c>
      <c r="AB74" s="12">
        <v>0</v>
      </c>
      <c r="AC74" s="13"/>
    </row>
    <row r="75" spans="1:29" ht="14.25" customHeight="1">
      <c r="A75" s="11" t="s">
        <v>88</v>
      </c>
      <c r="B75" s="14">
        <v>59006</v>
      </c>
      <c r="C75" s="13">
        <v>0.69654000000000005</v>
      </c>
      <c r="D75" s="14">
        <v>1251</v>
      </c>
      <c r="E75" s="13">
        <v>1.4768E-2</v>
      </c>
      <c r="F75" s="14">
        <v>8376</v>
      </c>
      <c r="G75" s="13">
        <v>9.8875000000000005E-2</v>
      </c>
      <c r="H75" s="14">
        <v>533</v>
      </c>
      <c r="I75" s="13">
        <v>6.2919999999999998E-3</v>
      </c>
      <c r="J75" s="14">
        <v>323</v>
      </c>
      <c r="K75" s="13">
        <v>3.813E-3</v>
      </c>
      <c r="L75" s="14">
        <v>6868</v>
      </c>
      <c r="M75" s="13">
        <v>8.1073999999999993E-2</v>
      </c>
      <c r="N75" s="14">
        <v>0</v>
      </c>
      <c r="O75" s="13"/>
      <c r="P75" s="14">
        <v>2076</v>
      </c>
      <c r="Q75" s="13">
        <v>2.4506E-2</v>
      </c>
      <c r="R75" s="14">
        <v>122</v>
      </c>
      <c r="S75" s="13">
        <v>1.4400000000000001E-3</v>
      </c>
      <c r="T75" s="14">
        <v>0</v>
      </c>
      <c r="U75" s="13"/>
      <c r="V75" s="14">
        <v>476</v>
      </c>
      <c r="W75" s="13">
        <v>5.6189999999999999E-3</v>
      </c>
      <c r="X75" s="14">
        <v>443</v>
      </c>
      <c r="Y75" s="13">
        <v>5.2290000000000001E-3</v>
      </c>
      <c r="Z75" s="14">
        <v>31</v>
      </c>
      <c r="AA75" s="13">
        <v>3.6600000000000001E-4</v>
      </c>
      <c r="AB75" s="12">
        <v>0</v>
      </c>
      <c r="AC75" s="13"/>
    </row>
    <row r="76" spans="1:29" ht="14.25" customHeight="1">
      <c r="A76" s="11" t="s">
        <v>89</v>
      </c>
      <c r="B76" s="14">
        <v>50030</v>
      </c>
      <c r="C76" s="13">
        <v>0.64206099999999999</v>
      </c>
      <c r="D76" s="14">
        <v>1053</v>
      </c>
      <c r="E76" s="13">
        <v>1.3514E-2</v>
      </c>
      <c r="F76" s="14">
        <v>12142</v>
      </c>
      <c r="G76" s="13">
        <v>0.15582399999999999</v>
      </c>
      <c r="H76" s="14">
        <v>294</v>
      </c>
      <c r="I76" s="13">
        <v>3.7729999999999999E-3</v>
      </c>
      <c r="J76" s="14">
        <v>234</v>
      </c>
      <c r="K76" s="13">
        <v>3.003E-3</v>
      </c>
      <c r="L76" s="14">
        <v>7088</v>
      </c>
      <c r="M76" s="13">
        <v>9.0964000000000003E-2</v>
      </c>
      <c r="N76" s="14">
        <v>0</v>
      </c>
      <c r="O76" s="13"/>
      <c r="P76" s="14">
        <v>1571</v>
      </c>
      <c r="Q76" s="13">
        <v>2.0160999999999998E-2</v>
      </c>
      <c r="R76" s="14">
        <v>134</v>
      </c>
      <c r="S76" s="13">
        <v>1.72E-3</v>
      </c>
      <c r="T76" s="14">
        <v>0</v>
      </c>
      <c r="U76" s="13"/>
      <c r="V76" s="14">
        <v>413</v>
      </c>
      <c r="W76" s="13">
        <v>5.3E-3</v>
      </c>
      <c r="X76" s="14">
        <v>517</v>
      </c>
      <c r="Y76" s="13">
        <v>6.6350000000000003E-3</v>
      </c>
      <c r="Z76" s="14">
        <v>17</v>
      </c>
      <c r="AA76" s="13">
        <v>2.1800000000000001E-4</v>
      </c>
      <c r="AB76" s="12">
        <v>0</v>
      </c>
      <c r="AC76" s="13"/>
    </row>
    <row r="77" spans="1:29" ht="14.25" customHeight="1">
      <c r="A77" s="11" t="s">
        <v>90</v>
      </c>
      <c r="B77" s="14">
        <v>38959</v>
      </c>
      <c r="C77" s="13">
        <v>0.56049700000000002</v>
      </c>
      <c r="D77" s="14">
        <v>1056</v>
      </c>
      <c r="E77" s="13">
        <v>1.5192000000000001E-2</v>
      </c>
      <c r="F77" s="14">
        <v>17512</v>
      </c>
      <c r="G77" s="13">
        <v>0.251942</v>
      </c>
      <c r="H77" s="14">
        <v>179</v>
      </c>
      <c r="I77" s="13">
        <v>2.575E-3</v>
      </c>
      <c r="J77" s="14">
        <v>195</v>
      </c>
      <c r="K77" s="13">
        <v>2.8050000000000002E-3</v>
      </c>
      <c r="L77" s="14">
        <v>6100</v>
      </c>
      <c r="M77" s="13">
        <v>8.7760000000000005E-2</v>
      </c>
      <c r="N77" s="14">
        <v>0</v>
      </c>
      <c r="O77" s="13"/>
      <c r="P77" s="14">
        <v>911</v>
      </c>
      <c r="Q77" s="13">
        <v>1.3106E-2</v>
      </c>
      <c r="R77" s="14">
        <v>133</v>
      </c>
      <c r="S77" s="13">
        <v>1.913E-3</v>
      </c>
      <c r="T77" s="14">
        <v>0</v>
      </c>
      <c r="U77" s="13"/>
      <c r="V77" s="14">
        <v>362</v>
      </c>
      <c r="W77" s="13">
        <v>5.208E-3</v>
      </c>
      <c r="X77" s="14">
        <v>485</v>
      </c>
      <c r="Y77" s="13">
        <v>6.9779999999999998E-3</v>
      </c>
      <c r="Z77" s="14">
        <v>20</v>
      </c>
      <c r="AA77" s="13">
        <v>2.8800000000000001E-4</v>
      </c>
      <c r="AB77" s="12">
        <v>0</v>
      </c>
      <c r="AC77" s="13"/>
    </row>
    <row r="78" spans="1:29" ht="14.25" customHeight="1">
      <c r="A78" s="11" t="s">
        <v>91</v>
      </c>
      <c r="B78" s="14">
        <v>29849</v>
      </c>
      <c r="C78" s="13">
        <v>0.42187000000000002</v>
      </c>
      <c r="D78" s="14">
        <v>1010</v>
      </c>
      <c r="E78" s="13">
        <v>1.4274999999999999E-2</v>
      </c>
      <c r="F78" s="14">
        <v>28063</v>
      </c>
      <c r="G78" s="13">
        <v>0.39662799999999998</v>
      </c>
      <c r="H78" s="14">
        <v>97</v>
      </c>
      <c r="I78" s="13">
        <v>1.371E-3</v>
      </c>
      <c r="J78" s="14">
        <v>159</v>
      </c>
      <c r="K78" s="13">
        <v>2.2469999999999999E-3</v>
      </c>
      <c r="L78" s="14">
        <v>6443</v>
      </c>
      <c r="M78" s="13">
        <v>9.1062000000000004E-2</v>
      </c>
      <c r="N78" s="14">
        <v>0</v>
      </c>
      <c r="O78" s="13"/>
      <c r="P78" s="14">
        <v>679</v>
      </c>
      <c r="Q78" s="13">
        <v>9.5969999999999996E-3</v>
      </c>
      <c r="R78" s="14">
        <v>63</v>
      </c>
      <c r="S78" s="13">
        <v>8.8999999999999995E-4</v>
      </c>
      <c r="T78" s="14">
        <v>0</v>
      </c>
      <c r="U78" s="13"/>
      <c r="V78" s="14">
        <v>625</v>
      </c>
      <c r="W78" s="13">
        <v>8.8330000000000006E-3</v>
      </c>
      <c r="X78" s="14">
        <v>675</v>
      </c>
      <c r="Y78" s="13">
        <v>9.5399999999999999E-3</v>
      </c>
      <c r="Z78" s="14">
        <v>6</v>
      </c>
      <c r="AA78" s="13">
        <v>8.5000000000000006E-5</v>
      </c>
      <c r="AB78" s="12">
        <v>0</v>
      </c>
      <c r="AC78" s="13"/>
    </row>
    <row r="79" spans="1:29" ht="14.25" customHeight="1">
      <c r="A79" s="11" t="s">
        <v>92</v>
      </c>
      <c r="B79" s="14">
        <v>25188</v>
      </c>
      <c r="C79" s="13">
        <v>0.39840599999999998</v>
      </c>
      <c r="D79" s="14">
        <v>819</v>
      </c>
      <c r="E79" s="13">
        <v>1.2954E-2</v>
      </c>
      <c r="F79" s="14">
        <v>25769</v>
      </c>
      <c r="G79" s="13">
        <v>0.40759499999999999</v>
      </c>
      <c r="H79" s="14">
        <v>63</v>
      </c>
      <c r="I79" s="13">
        <v>9.9599999999999992E-4</v>
      </c>
      <c r="J79" s="14">
        <v>176</v>
      </c>
      <c r="K79" s="13">
        <v>2.784E-3</v>
      </c>
      <c r="L79" s="14">
        <v>6560</v>
      </c>
      <c r="M79" s="13">
        <v>0.10376100000000001</v>
      </c>
      <c r="N79" s="14">
        <v>0</v>
      </c>
      <c r="O79" s="13"/>
      <c r="P79" s="14">
        <v>554</v>
      </c>
      <c r="Q79" s="13">
        <v>8.763E-3</v>
      </c>
      <c r="R79" s="14">
        <v>52</v>
      </c>
      <c r="S79" s="13">
        <v>8.2200000000000003E-4</v>
      </c>
      <c r="T79" s="14">
        <v>0</v>
      </c>
      <c r="U79" s="13"/>
      <c r="V79" s="14">
        <v>609</v>
      </c>
      <c r="W79" s="13">
        <v>9.6329999999999992E-3</v>
      </c>
      <c r="X79" s="14">
        <v>744</v>
      </c>
      <c r="Y79" s="13">
        <v>1.1768000000000001E-2</v>
      </c>
      <c r="Z79" s="14">
        <v>8</v>
      </c>
      <c r="AA79" s="13">
        <v>1.27E-4</v>
      </c>
      <c r="AB79" s="12">
        <v>0</v>
      </c>
      <c r="AC79" s="13"/>
    </row>
    <row r="80" spans="1:29" ht="14.25" customHeight="1">
      <c r="A80" s="11" t="s">
        <v>93</v>
      </c>
      <c r="B80" s="14">
        <v>17050</v>
      </c>
      <c r="C80" s="13">
        <v>0.27913300000000002</v>
      </c>
      <c r="D80" s="14">
        <v>671</v>
      </c>
      <c r="E80" s="13">
        <v>1.0985E-2</v>
      </c>
      <c r="F80" s="14">
        <v>33790</v>
      </c>
      <c r="G80" s="13">
        <v>0.55319099999999999</v>
      </c>
      <c r="H80" s="14">
        <v>45</v>
      </c>
      <c r="I80" s="13">
        <v>7.3700000000000002E-4</v>
      </c>
      <c r="J80" s="14">
        <v>139</v>
      </c>
      <c r="K80" s="13">
        <v>2.2759999999999998E-3</v>
      </c>
      <c r="L80" s="14">
        <v>5161</v>
      </c>
      <c r="M80" s="13">
        <v>8.4492999999999999E-2</v>
      </c>
      <c r="N80" s="14">
        <v>0</v>
      </c>
      <c r="O80" s="13"/>
      <c r="P80" s="14">
        <v>372</v>
      </c>
      <c r="Q80" s="13">
        <v>6.0899999999999999E-3</v>
      </c>
      <c r="R80" s="14">
        <v>42</v>
      </c>
      <c r="S80" s="13">
        <v>6.8800000000000003E-4</v>
      </c>
      <c r="T80" s="14">
        <v>0</v>
      </c>
      <c r="U80" s="13"/>
      <c r="V80" s="14">
        <v>475</v>
      </c>
      <c r="W80" s="13">
        <v>7.7759999999999999E-3</v>
      </c>
      <c r="X80" s="14">
        <v>763</v>
      </c>
      <c r="Y80" s="13">
        <v>1.2491E-2</v>
      </c>
      <c r="Z80" s="14">
        <v>13</v>
      </c>
      <c r="AA80" s="13">
        <v>2.13E-4</v>
      </c>
      <c r="AB80" s="12">
        <v>0</v>
      </c>
      <c r="AC80" s="13"/>
    </row>
    <row r="81" spans="1:29" ht="14.25" customHeight="1">
      <c r="A81" s="11" t="s">
        <v>94</v>
      </c>
      <c r="B81" s="14">
        <v>13536</v>
      </c>
      <c r="C81" s="13">
        <v>0.186057</v>
      </c>
      <c r="D81" s="14">
        <v>887</v>
      </c>
      <c r="E81" s="13">
        <v>1.2192E-2</v>
      </c>
      <c r="F81" s="14">
        <v>49122</v>
      </c>
      <c r="G81" s="13">
        <v>0.67519799999999996</v>
      </c>
      <c r="H81" s="14">
        <v>33</v>
      </c>
      <c r="I81" s="13">
        <v>4.5399999999999998E-4</v>
      </c>
      <c r="J81" s="14">
        <v>109</v>
      </c>
      <c r="K81" s="13">
        <v>1.498E-3</v>
      </c>
      <c r="L81" s="14">
        <v>5237</v>
      </c>
      <c r="M81" s="13">
        <v>7.1984000000000006E-2</v>
      </c>
      <c r="N81" s="14">
        <v>0</v>
      </c>
      <c r="O81" s="13"/>
      <c r="P81" s="14">
        <v>258</v>
      </c>
      <c r="Q81" s="13">
        <v>3.5460000000000001E-3</v>
      </c>
      <c r="R81" s="14">
        <v>21</v>
      </c>
      <c r="S81" s="13">
        <v>2.8899999999999998E-4</v>
      </c>
      <c r="T81" s="14">
        <v>0</v>
      </c>
      <c r="U81" s="13"/>
      <c r="V81" s="14">
        <v>455</v>
      </c>
      <c r="W81" s="13">
        <v>6.254E-3</v>
      </c>
      <c r="X81" s="14">
        <v>820</v>
      </c>
      <c r="Y81" s="13">
        <v>1.1271E-2</v>
      </c>
      <c r="Z81" s="14">
        <v>26</v>
      </c>
      <c r="AA81" s="13">
        <v>3.57E-4</v>
      </c>
      <c r="AB81" s="12">
        <v>0</v>
      </c>
      <c r="AC81" s="13"/>
    </row>
    <row r="82" spans="1:29" ht="14.25" customHeight="1">
      <c r="A82" s="11" t="s">
        <v>95</v>
      </c>
      <c r="B82" s="14">
        <v>10150</v>
      </c>
      <c r="C82" s="13">
        <v>0.115749</v>
      </c>
      <c r="D82" s="14">
        <v>1038</v>
      </c>
      <c r="E82" s="13">
        <v>1.1837E-2</v>
      </c>
      <c r="F82" s="14">
        <v>66662</v>
      </c>
      <c r="G82" s="13">
        <v>0.76020100000000002</v>
      </c>
      <c r="H82" s="14">
        <v>14</v>
      </c>
      <c r="I82" s="13">
        <v>1.6000000000000001E-4</v>
      </c>
      <c r="J82" s="14">
        <v>60</v>
      </c>
      <c r="K82" s="13">
        <v>6.8400000000000004E-4</v>
      </c>
      <c r="L82" s="14">
        <v>5959</v>
      </c>
      <c r="M82" s="13">
        <v>6.7955000000000002E-2</v>
      </c>
      <c r="N82" s="14">
        <v>0</v>
      </c>
      <c r="O82" s="13"/>
      <c r="P82" s="14">
        <v>213</v>
      </c>
      <c r="Q82" s="13">
        <v>2.4290000000000002E-3</v>
      </c>
      <c r="R82" s="14">
        <v>21</v>
      </c>
      <c r="S82" s="13">
        <v>2.3900000000000001E-4</v>
      </c>
      <c r="T82" s="14">
        <v>0</v>
      </c>
      <c r="U82" s="13"/>
      <c r="V82" s="14">
        <v>440</v>
      </c>
      <c r="W82" s="13">
        <v>5.0179999999999999E-3</v>
      </c>
      <c r="X82" s="14">
        <v>1010</v>
      </c>
      <c r="Y82" s="13">
        <v>1.1518E-2</v>
      </c>
      <c r="Z82" s="14">
        <v>19</v>
      </c>
      <c r="AA82" s="13">
        <v>2.1699999999999999E-4</v>
      </c>
      <c r="AB82" s="12">
        <v>0</v>
      </c>
      <c r="AC82" s="13"/>
    </row>
    <row r="83" spans="1:29" ht="14.25" customHeight="1">
      <c r="A83" s="11" t="s">
        <v>96</v>
      </c>
      <c r="B83" s="14">
        <v>8891</v>
      </c>
      <c r="C83" s="13">
        <v>8.7373999999999993E-2</v>
      </c>
      <c r="D83" s="14">
        <v>945</v>
      </c>
      <c r="E83" s="13">
        <v>9.2870000000000001E-3</v>
      </c>
      <c r="F83" s="14">
        <v>82835</v>
      </c>
      <c r="G83" s="13">
        <v>0.81403899999999996</v>
      </c>
      <c r="H83" s="14">
        <v>12</v>
      </c>
      <c r="I83" s="13">
        <v>1.18E-4</v>
      </c>
      <c r="J83" s="14">
        <v>37</v>
      </c>
      <c r="K83" s="13">
        <v>3.6400000000000001E-4</v>
      </c>
      <c r="L83" s="14">
        <v>5086</v>
      </c>
      <c r="M83" s="13">
        <v>4.9980999999999998E-2</v>
      </c>
      <c r="N83" s="14">
        <v>0</v>
      </c>
      <c r="O83" s="13"/>
      <c r="P83" s="14">
        <v>176</v>
      </c>
      <c r="Q83" s="13">
        <v>1.73E-3</v>
      </c>
      <c r="R83" s="14">
        <v>5</v>
      </c>
      <c r="S83" s="13">
        <v>4.8999999999999998E-5</v>
      </c>
      <c r="T83" s="14">
        <v>0</v>
      </c>
      <c r="U83" s="13"/>
      <c r="V83" s="14">
        <v>556</v>
      </c>
      <c r="W83" s="13">
        <v>5.4640000000000001E-3</v>
      </c>
      <c r="X83" s="14">
        <v>1208</v>
      </c>
      <c r="Y83" s="13">
        <v>1.1871E-2</v>
      </c>
      <c r="Z83" s="14">
        <v>16</v>
      </c>
      <c r="AA83" s="13">
        <v>1.5699999999999999E-4</v>
      </c>
      <c r="AB83" s="12">
        <v>0</v>
      </c>
      <c r="AC83" s="13"/>
    </row>
    <row r="84" spans="1:29" ht="14.25" customHeight="1">
      <c r="A84" s="11" t="s">
        <v>97</v>
      </c>
      <c r="B84" s="14">
        <v>6615</v>
      </c>
      <c r="C84" s="13">
        <v>5.3641000000000001E-2</v>
      </c>
      <c r="D84" s="14">
        <v>725</v>
      </c>
      <c r="E84" s="13">
        <v>5.8789999999999997E-3</v>
      </c>
      <c r="F84" s="14">
        <v>105484</v>
      </c>
      <c r="G84" s="13">
        <v>0.855375</v>
      </c>
      <c r="H84" s="14">
        <v>3</v>
      </c>
      <c r="I84" s="13">
        <v>2.4000000000000001E-5</v>
      </c>
      <c r="J84" s="14">
        <v>24</v>
      </c>
      <c r="K84" s="13">
        <v>1.95E-4</v>
      </c>
      <c r="L84" s="14">
        <v>5245</v>
      </c>
      <c r="M84" s="13">
        <v>4.2532E-2</v>
      </c>
      <c r="N84" s="14">
        <v>1</v>
      </c>
      <c r="O84" s="13">
        <v>7.9999999999999996E-6</v>
      </c>
      <c r="P84" s="14">
        <v>142</v>
      </c>
      <c r="Q84" s="13">
        <v>1.1509999999999999E-3</v>
      </c>
      <c r="R84" s="14">
        <v>7</v>
      </c>
      <c r="S84" s="13">
        <v>5.7000000000000003E-5</v>
      </c>
      <c r="T84" s="14">
        <v>13</v>
      </c>
      <c r="U84" s="13">
        <v>1.05E-4</v>
      </c>
      <c r="V84" s="14">
        <v>543</v>
      </c>
      <c r="W84" s="13">
        <v>4.4029999999999998E-3</v>
      </c>
      <c r="X84" s="14">
        <v>1499</v>
      </c>
      <c r="Y84" s="13">
        <v>1.2154999999999999E-2</v>
      </c>
      <c r="Z84" s="14">
        <v>438</v>
      </c>
      <c r="AA84" s="13">
        <v>3.552E-3</v>
      </c>
      <c r="AB84" s="12">
        <v>15</v>
      </c>
      <c r="AC84" s="13">
        <v>1.22E-4</v>
      </c>
    </row>
    <row r="85" spans="1:29" ht="14.25" customHeight="1">
      <c r="A85" s="11" t="s">
        <v>98</v>
      </c>
      <c r="B85" s="14">
        <v>5292</v>
      </c>
      <c r="C85" s="13">
        <v>3.2321999999999997E-2</v>
      </c>
      <c r="D85" s="14">
        <v>590</v>
      </c>
      <c r="E85" s="13">
        <v>3.604E-3</v>
      </c>
      <c r="F85" s="14">
        <v>150101</v>
      </c>
      <c r="G85" s="13">
        <v>0.91677600000000004</v>
      </c>
      <c r="H85" s="14">
        <v>25</v>
      </c>
      <c r="I85" s="13">
        <v>1.5300000000000001E-4</v>
      </c>
      <c r="J85" s="14">
        <v>5</v>
      </c>
      <c r="K85" s="13">
        <v>3.1000000000000001E-5</v>
      </c>
      <c r="L85" s="14">
        <v>4433</v>
      </c>
      <c r="M85" s="13">
        <v>2.7075999999999999E-2</v>
      </c>
      <c r="N85" s="14">
        <v>0</v>
      </c>
      <c r="O85" s="13"/>
      <c r="P85" s="14">
        <v>72</v>
      </c>
      <c r="Q85" s="13">
        <v>4.4000000000000002E-4</v>
      </c>
      <c r="R85" s="14">
        <v>3</v>
      </c>
      <c r="S85" s="13">
        <v>1.8E-5</v>
      </c>
      <c r="T85" s="14">
        <v>0</v>
      </c>
      <c r="U85" s="13"/>
      <c r="V85" s="14">
        <v>435</v>
      </c>
      <c r="W85" s="13">
        <v>2.6570000000000001E-3</v>
      </c>
      <c r="X85" s="14">
        <v>1432</v>
      </c>
      <c r="Y85" s="13">
        <v>8.7460000000000003E-3</v>
      </c>
      <c r="Z85" s="14">
        <v>5</v>
      </c>
      <c r="AA85" s="13">
        <v>3.1000000000000001E-5</v>
      </c>
      <c r="AB85" s="12">
        <v>0</v>
      </c>
      <c r="AC85" s="13"/>
    </row>
    <row r="86" spans="1:29" ht="14.25" customHeight="1">
      <c r="A86" s="11" t="s">
        <v>99</v>
      </c>
      <c r="B86" s="14">
        <v>4331</v>
      </c>
      <c r="C86" s="13">
        <v>2.4013E-2</v>
      </c>
      <c r="D86" s="14">
        <v>326</v>
      </c>
      <c r="E86" s="13">
        <v>1.8079999999999999E-3</v>
      </c>
      <c r="F86" s="14">
        <v>168806</v>
      </c>
      <c r="G86" s="13">
        <v>0.93595499999999998</v>
      </c>
      <c r="H86" s="14">
        <v>6</v>
      </c>
      <c r="I86" s="13">
        <v>3.3000000000000003E-5</v>
      </c>
      <c r="J86" s="14">
        <v>30</v>
      </c>
      <c r="K86" s="13">
        <v>1.66E-4</v>
      </c>
      <c r="L86" s="14">
        <v>3630</v>
      </c>
      <c r="M86" s="13">
        <v>2.0126999999999999E-2</v>
      </c>
      <c r="N86" s="14">
        <v>0</v>
      </c>
      <c r="O86" s="13"/>
      <c r="P86" s="14">
        <v>49</v>
      </c>
      <c r="Q86" s="13">
        <v>2.72E-4</v>
      </c>
      <c r="R86" s="14">
        <v>1</v>
      </c>
      <c r="S86" s="13">
        <v>6.0000000000000002E-6</v>
      </c>
      <c r="T86" s="14">
        <v>0</v>
      </c>
      <c r="U86" s="13"/>
      <c r="V86" s="14">
        <v>332</v>
      </c>
      <c r="W86" s="13">
        <v>1.841E-3</v>
      </c>
      <c r="X86" s="14">
        <v>1201</v>
      </c>
      <c r="Y86" s="13">
        <v>6.659E-3</v>
      </c>
      <c r="Z86" s="14">
        <v>7</v>
      </c>
      <c r="AA86" s="13">
        <v>3.8999999999999999E-5</v>
      </c>
      <c r="AB86" s="12">
        <v>0</v>
      </c>
      <c r="AC86" s="13"/>
    </row>
    <row r="87" spans="1:29" ht="14.25" customHeight="1">
      <c r="A87" s="11" t="s">
        <v>100</v>
      </c>
      <c r="B87" s="14">
        <v>3141</v>
      </c>
      <c r="C87" s="13">
        <v>1.5751000000000001E-2</v>
      </c>
      <c r="D87" s="14">
        <v>252</v>
      </c>
      <c r="E87" s="13">
        <v>1.2639999999999999E-3</v>
      </c>
      <c r="F87" s="14">
        <v>183812</v>
      </c>
      <c r="G87" s="13">
        <v>0.92177900000000002</v>
      </c>
      <c r="H87" s="14">
        <v>2</v>
      </c>
      <c r="I87" s="13">
        <v>1.0000000000000001E-5</v>
      </c>
      <c r="J87" s="14">
        <v>16</v>
      </c>
      <c r="K87" s="13">
        <v>8.0000000000000007E-5</v>
      </c>
      <c r="L87" s="14">
        <v>3804</v>
      </c>
      <c r="M87" s="13">
        <v>1.9075999999999999E-2</v>
      </c>
      <c r="N87" s="14">
        <v>0</v>
      </c>
      <c r="O87" s="13"/>
      <c r="P87" s="14">
        <v>46</v>
      </c>
      <c r="Q87" s="13">
        <v>2.31E-4</v>
      </c>
      <c r="R87" s="14">
        <v>3</v>
      </c>
      <c r="S87" s="13">
        <v>1.5E-5</v>
      </c>
      <c r="T87" s="14">
        <v>0</v>
      </c>
      <c r="U87" s="13"/>
      <c r="V87" s="14">
        <v>422</v>
      </c>
      <c r="W87" s="13">
        <v>2.1159999999999998E-3</v>
      </c>
      <c r="X87" s="14">
        <v>1197</v>
      </c>
      <c r="Y87" s="13">
        <v>6.0029999999999997E-3</v>
      </c>
      <c r="Z87" s="14">
        <v>73</v>
      </c>
      <c r="AA87" s="13">
        <v>3.6600000000000001E-4</v>
      </c>
      <c r="AB87" s="12">
        <v>0</v>
      </c>
      <c r="AC87" s="13"/>
    </row>
    <row r="88" spans="1:29" ht="14.25" customHeight="1">
      <c r="A88" s="11" t="s">
        <v>101</v>
      </c>
      <c r="B88" s="14">
        <v>2053</v>
      </c>
      <c r="C88" s="13">
        <v>1.0704E-2</v>
      </c>
      <c r="D88" s="14">
        <v>158</v>
      </c>
      <c r="E88" s="13">
        <v>8.2399999999999997E-4</v>
      </c>
      <c r="F88" s="14">
        <v>185253</v>
      </c>
      <c r="G88" s="13">
        <v>0.96586499999999997</v>
      </c>
      <c r="H88" s="14">
        <v>0</v>
      </c>
      <c r="I88" s="13"/>
      <c r="J88" s="14">
        <v>8</v>
      </c>
      <c r="K88" s="13">
        <v>4.1999999999999998E-5</v>
      </c>
      <c r="L88" s="14">
        <v>2556</v>
      </c>
      <c r="M88" s="13">
        <v>1.3325999999999999E-2</v>
      </c>
      <c r="N88" s="14">
        <v>0</v>
      </c>
      <c r="O88" s="13"/>
      <c r="P88" s="14">
        <v>20</v>
      </c>
      <c r="Q88" s="13">
        <v>1.0399999999999999E-4</v>
      </c>
      <c r="R88" s="14">
        <v>4</v>
      </c>
      <c r="S88" s="13">
        <v>2.0999999999999999E-5</v>
      </c>
      <c r="T88" s="14">
        <v>0</v>
      </c>
      <c r="U88" s="13"/>
      <c r="V88" s="14">
        <v>373</v>
      </c>
      <c r="W88" s="13">
        <v>1.9449999999999999E-3</v>
      </c>
      <c r="X88" s="14">
        <v>684</v>
      </c>
      <c r="Y88" s="13">
        <v>3.5660000000000002E-3</v>
      </c>
      <c r="Z88" s="14">
        <v>24</v>
      </c>
      <c r="AA88" s="13">
        <v>1.25E-4</v>
      </c>
      <c r="AB88" s="12">
        <v>0</v>
      </c>
      <c r="AC88" s="13"/>
    </row>
    <row r="89" spans="1:29" ht="14.25" customHeight="1">
      <c r="A89" s="11" t="s">
        <v>102</v>
      </c>
      <c r="B89" s="14">
        <v>1095</v>
      </c>
      <c r="C89" s="13">
        <v>5.025E-3</v>
      </c>
      <c r="D89" s="14">
        <v>93</v>
      </c>
      <c r="E89" s="13">
        <v>4.2700000000000002E-4</v>
      </c>
      <c r="F89" s="14">
        <v>208134</v>
      </c>
      <c r="G89" s="13">
        <v>0.95507200000000003</v>
      </c>
      <c r="H89" s="14">
        <v>79</v>
      </c>
      <c r="I89" s="13">
        <v>3.6299999999999999E-4</v>
      </c>
      <c r="J89" s="14">
        <v>7</v>
      </c>
      <c r="K89" s="13">
        <v>3.1999999999999999E-5</v>
      </c>
      <c r="L89" s="14">
        <v>1968</v>
      </c>
      <c r="M89" s="13">
        <v>9.0310000000000008E-3</v>
      </c>
      <c r="N89" s="14">
        <v>0</v>
      </c>
      <c r="O89" s="13"/>
      <c r="P89" s="14">
        <v>22</v>
      </c>
      <c r="Q89" s="13">
        <v>1.01E-4</v>
      </c>
      <c r="R89" s="14">
        <v>3</v>
      </c>
      <c r="S89" s="13">
        <v>1.4E-5</v>
      </c>
      <c r="T89" s="14">
        <v>0</v>
      </c>
      <c r="U89" s="13"/>
      <c r="V89" s="14">
        <v>274</v>
      </c>
      <c r="W89" s="13">
        <v>1.2570000000000001E-3</v>
      </c>
      <c r="X89" s="14">
        <v>632</v>
      </c>
      <c r="Y89" s="13">
        <v>2.8999999999999998E-3</v>
      </c>
      <c r="Z89" s="14">
        <v>10</v>
      </c>
      <c r="AA89" s="13">
        <v>4.6E-5</v>
      </c>
      <c r="AB89" s="12">
        <v>0</v>
      </c>
      <c r="AC89" s="13"/>
    </row>
    <row r="90" spans="1:29" ht="14.25" customHeight="1">
      <c r="A90" s="11" t="s">
        <v>103</v>
      </c>
      <c r="B90" s="14">
        <v>650</v>
      </c>
      <c r="C90" s="13">
        <v>3.274E-3</v>
      </c>
      <c r="D90" s="14">
        <v>56</v>
      </c>
      <c r="E90" s="13">
        <v>2.8200000000000002E-4</v>
      </c>
      <c r="F90" s="14">
        <v>194568</v>
      </c>
      <c r="G90" s="13">
        <v>0.98017200000000004</v>
      </c>
      <c r="H90" s="14">
        <v>3</v>
      </c>
      <c r="I90" s="13">
        <v>1.5E-5</v>
      </c>
      <c r="J90" s="14">
        <v>25</v>
      </c>
      <c r="K90" s="13">
        <v>1.26E-4</v>
      </c>
      <c r="L90" s="14">
        <v>1580</v>
      </c>
      <c r="M90" s="13">
        <v>7.9600000000000001E-3</v>
      </c>
      <c r="N90" s="14">
        <v>0</v>
      </c>
      <c r="O90" s="13"/>
      <c r="P90" s="14">
        <v>10</v>
      </c>
      <c r="Q90" s="13">
        <v>5.0000000000000002E-5</v>
      </c>
      <c r="R90" s="14">
        <v>5</v>
      </c>
      <c r="S90" s="13">
        <v>2.5000000000000001E-5</v>
      </c>
      <c r="T90" s="14">
        <v>0</v>
      </c>
      <c r="U90" s="13"/>
      <c r="V90" s="14">
        <v>216</v>
      </c>
      <c r="W90" s="13">
        <v>1.088E-3</v>
      </c>
      <c r="X90" s="14">
        <v>591</v>
      </c>
      <c r="Y90" s="13">
        <v>2.977E-3</v>
      </c>
      <c r="Z90" s="14">
        <v>16</v>
      </c>
      <c r="AA90" s="13">
        <v>8.1000000000000004E-5</v>
      </c>
      <c r="AB90" s="12">
        <v>0</v>
      </c>
      <c r="AC90" s="13"/>
    </row>
    <row r="91" spans="1:29" ht="14.25" customHeight="1">
      <c r="A91" s="11" t="s">
        <v>104</v>
      </c>
      <c r="B91" s="14">
        <v>378</v>
      </c>
      <c r="C91" s="13">
        <v>1.905E-3</v>
      </c>
      <c r="D91" s="14">
        <v>40</v>
      </c>
      <c r="E91" s="13">
        <v>2.02E-4</v>
      </c>
      <c r="F91" s="14">
        <v>195651</v>
      </c>
      <c r="G91" s="13">
        <v>0.98578100000000002</v>
      </c>
      <c r="H91" s="14">
        <v>2</v>
      </c>
      <c r="I91" s="13">
        <v>1.0000000000000001E-5</v>
      </c>
      <c r="J91" s="14">
        <v>3</v>
      </c>
      <c r="K91" s="13">
        <v>1.5E-5</v>
      </c>
      <c r="L91" s="14">
        <v>1251</v>
      </c>
      <c r="M91" s="13">
        <v>6.3029999999999996E-3</v>
      </c>
      <c r="N91" s="14">
        <v>0</v>
      </c>
      <c r="O91" s="13"/>
      <c r="P91" s="14">
        <v>5</v>
      </c>
      <c r="Q91" s="13">
        <v>2.5000000000000001E-5</v>
      </c>
      <c r="R91" s="14">
        <v>1</v>
      </c>
      <c r="S91" s="13">
        <v>5.0000000000000004E-6</v>
      </c>
      <c r="T91" s="14">
        <v>0</v>
      </c>
      <c r="U91" s="13"/>
      <c r="V91" s="14">
        <v>162</v>
      </c>
      <c r="W91" s="13">
        <v>8.1599999999999999E-4</v>
      </c>
      <c r="X91" s="14">
        <v>425</v>
      </c>
      <c r="Y91" s="13">
        <v>2.1410000000000001E-3</v>
      </c>
      <c r="Z91" s="14">
        <v>11</v>
      </c>
      <c r="AA91" s="13">
        <v>5.5000000000000002E-5</v>
      </c>
      <c r="AB91" s="12">
        <v>0</v>
      </c>
      <c r="AC91" s="13"/>
    </row>
    <row r="92" spans="1:29" ht="14.25" customHeight="1">
      <c r="A92" s="11" t="s">
        <v>105</v>
      </c>
      <c r="B92" s="14">
        <v>213</v>
      </c>
      <c r="C92" s="13">
        <v>1.1230000000000001E-3</v>
      </c>
      <c r="D92" s="14">
        <v>24</v>
      </c>
      <c r="E92" s="13">
        <v>1.27E-4</v>
      </c>
      <c r="F92" s="14">
        <v>187366</v>
      </c>
      <c r="G92" s="13">
        <v>0.98827500000000001</v>
      </c>
      <c r="H92" s="14">
        <v>0</v>
      </c>
      <c r="I92" s="13"/>
      <c r="J92" s="14">
        <v>7</v>
      </c>
      <c r="K92" s="13">
        <v>3.6999999999999998E-5</v>
      </c>
      <c r="L92" s="14">
        <v>851</v>
      </c>
      <c r="M92" s="13">
        <v>4.4889999999999999E-3</v>
      </c>
      <c r="N92" s="14">
        <v>0</v>
      </c>
      <c r="O92" s="13"/>
      <c r="P92" s="14">
        <v>5</v>
      </c>
      <c r="Q92" s="13">
        <v>2.5999999999999998E-5</v>
      </c>
      <c r="R92" s="14">
        <v>5</v>
      </c>
      <c r="S92" s="13">
        <v>2.5999999999999998E-5</v>
      </c>
      <c r="T92" s="14">
        <v>1</v>
      </c>
      <c r="U92" s="13">
        <v>5.0000000000000004E-6</v>
      </c>
      <c r="V92" s="14">
        <v>156</v>
      </c>
      <c r="W92" s="13">
        <v>8.2299999999999995E-4</v>
      </c>
      <c r="X92" s="14">
        <v>305</v>
      </c>
      <c r="Y92" s="13">
        <v>1.609E-3</v>
      </c>
      <c r="Z92" s="14">
        <v>10</v>
      </c>
      <c r="AA92" s="13">
        <v>5.3000000000000001E-5</v>
      </c>
      <c r="AB92" s="12">
        <v>0</v>
      </c>
      <c r="AC92" s="13"/>
    </row>
    <row r="93" spans="1:29" ht="14.25" customHeight="1">
      <c r="A93" s="11" t="s">
        <v>106</v>
      </c>
      <c r="B93" s="14">
        <v>138</v>
      </c>
      <c r="C93" s="13">
        <v>8.2399999999999997E-4</v>
      </c>
      <c r="D93" s="14">
        <v>13</v>
      </c>
      <c r="E93" s="13">
        <v>7.7999999999999999E-5</v>
      </c>
      <c r="F93" s="14">
        <v>165719</v>
      </c>
      <c r="G93" s="13">
        <v>0.98967400000000005</v>
      </c>
      <c r="H93" s="14">
        <v>84</v>
      </c>
      <c r="I93" s="13">
        <v>5.0199999999999995E-4</v>
      </c>
      <c r="J93" s="14">
        <v>5</v>
      </c>
      <c r="K93" s="13">
        <v>3.0000000000000001E-5</v>
      </c>
      <c r="L93" s="14">
        <v>640</v>
      </c>
      <c r="M93" s="13">
        <v>3.8219999999999999E-3</v>
      </c>
      <c r="N93" s="14">
        <v>0</v>
      </c>
      <c r="O93" s="13"/>
      <c r="P93" s="14">
        <v>7</v>
      </c>
      <c r="Q93" s="13">
        <v>4.1999999999999998E-5</v>
      </c>
      <c r="R93" s="14">
        <v>3</v>
      </c>
      <c r="S93" s="13">
        <v>1.8E-5</v>
      </c>
      <c r="T93" s="14">
        <v>0</v>
      </c>
      <c r="U93" s="13"/>
      <c r="V93" s="14">
        <v>95</v>
      </c>
      <c r="W93" s="13">
        <v>5.6700000000000001E-4</v>
      </c>
      <c r="X93" s="14">
        <v>332</v>
      </c>
      <c r="Y93" s="13">
        <v>1.983E-3</v>
      </c>
      <c r="Z93" s="14">
        <v>8</v>
      </c>
      <c r="AA93" s="13">
        <v>4.8000000000000001E-5</v>
      </c>
      <c r="AB93" s="12">
        <v>1</v>
      </c>
      <c r="AC93" s="13">
        <v>6.0000000000000002E-6</v>
      </c>
    </row>
    <row r="94" spans="1:29" ht="14.25" customHeight="1">
      <c r="A94" s="11" t="s">
        <v>107</v>
      </c>
      <c r="B94" s="14">
        <v>98</v>
      </c>
      <c r="C94" s="13">
        <v>6.4700000000000001E-4</v>
      </c>
      <c r="D94" s="14">
        <v>17</v>
      </c>
      <c r="E94" s="13">
        <v>1.12E-4</v>
      </c>
      <c r="F94" s="14">
        <v>150181</v>
      </c>
      <c r="G94" s="13">
        <v>0.990842</v>
      </c>
      <c r="H94" s="14">
        <v>5</v>
      </c>
      <c r="I94" s="13">
        <v>3.3000000000000003E-5</v>
      </c>
      <c r="J94" s="14">
        <v>5</v>
      </c>
      <c r="K94" s="13">
        <v>3.3000000000000003E-5</v>
      </c>
      <c r="L94" s="14">
        <v>398</v>
      </c>
      <c r="M94" s="13">
        <v>2.6259999999999999E-3</v>
      </c>
      <c r="N94" s="14">
        <v>0</v>
      </c>
      <c r="O94" s="13"/>
      <c r="P94" s="14">
        <v>1</v>
      </c>
      <c r="Q94" s="13">
        <v>6.9999999999999999E-6</v>
      </c>
      <c r="R94" s="14">
        <v>1</v>
      </c>
      <c r="S94" s="13">
        <v>6.9999999999999999E-6</v>
      </c>
      <c r="T94" s="14">
        <v>1</v>
      </c>
      <c r="U94" s="13">
        <v>6.9999999999999999E-6</v>
      </c>
      <c r="V94" s="14">
        <v>81</v>
      </c>
      <c r="W94" s="13">
        <v>5.3399999999999997E-4</v>
      </c>
      <c r="X94" s="14">
        <v>326</v>
      </c>
      <c r="Y94" s="13">
        <v>2.1510000000000001E-3</v>
      </c>
      <c r="Z94" s="14">
        <v>18</v>
      </c>
      <c r="AA94" s="13">
        <v>1.1900000000000001E-4</v>
      </c>
      <c r="AB94" s="12">
        <v>1</v>
      </c>
      <c r="AC94" s="13">
        <v>6.9999999999999999E-6</v>
      </c>
    </row>
    <row r="95" spans="1:29" ht="14.25" customHeight="1">
      <c r="A95" s="11" t="s">
        <v>108</v>
      </c>
      <c r="B95" s="14">
        <v>53</v>
      </c>
      <c r="C95" s="13">
        <v>3.4299999999999999E-4</v>
      </c>
      <c r="D95" s="14">
        <v>4</v>
      </c>
      <c r="E95" s="13">
        <v>2.5999999999999998E-5</v>
      </c>
      <c r="F95" s="14">
        <v>153450</v>
      </c>
      <c r="G95" s="13">
        <v>0.99306899999999998</v>
      </c>
      <c r="H95" s="14">
        <v>0</v>
      </c>
      <c r="I95" s="13"/>
      <c r="J95" s="14">
        <v>0</v>
      </c>
      <c r="K95" s="13"/>
      <c r="L95" s="14">
        <v>301</v>
      </c>
      <c r="M95" s="13">
        <v>1.9480000000000001E-3</v>
      </c>
      <c r="N95" s="14">
        <v>0</v>
      </c>
      <c r="O95" s="13"/>
      <c r="P95" s="14">
        <v>3</v>
      </c>
      <c r="Q95" s="13">
        <v>1.9000000000000001E-5</v>
      </c>
      <c r="R95" s="14">
        <v>6</v>
      </c>
      <c r="S95" s="13">
        <v>3.8999999999999999E-5</v>
      </c>
      <c r="T95" s="14">
        <v>0</v>
      </c>
      <c r="U95" s="13"/>
      <c r="V95" s="14">
        <v>58</v>
      </c>
      <c r="W95" s="13">
        <v>3.7500000000000001E-4</v>
      </c>
      <c r="X95" s="14">
        <v>237</v>
      </c>
      <c r="Y95" s="13">
        <v>1.534E-3</v>
      </c>
      <c r="Z95" s="14">
        <v>32</v>
      </c>
      <c r="AA95" s="13">
        <v>2.0699999999999999E-4</v>
      </c>
      <c r="AB95" s="12">
        <v>0</v>
      </c>
      <c r="AC95" s="13"/>
    </row>
    <row r="96" spans="1:29" ht="14.25" customHeight="1">
      <c r="A96" s="11" t="s">
        <v>109</v>
      </c>
      <c r="B96" s="14">
        <v>62</v>
      </c>
      <c r="C96" s="13">
        <v>3.9500000000000001E-4</v>
      </c>
      <c r="D96" s="14">
        <v>56</v>
      </c>
      <c r="E96" s="13">
        <v>3.5599999999999998E-4</v>
      </c>
      <c r="F96" s="14">
        <v>156144</v>
      </c>
      <c r="G96" s="13">
        <v>0.99373800000000001</v>
      </c>
      <c r="H96" s="14">
        <v>0</v>
      </c>
      <c r="I96" s="13"/>
      <c r="J96" s="14">
        <v>1</v>
      </c>
      <c r="K96" s="13">
        <v>6.0000000000000002E-6</v>
      </c>
      <c r="L96" s="14">
        <v>239</v>
      </c>
      <c r="M96" s="13">
        <v>1.521E-3</v>
      </c>
      <c r="N96" s="14">
        <v>0</v>
      </c>
      <c r="O96" s="13"/>
      <c r="P96" s="14">
        <v>2</v>
      </c>
      <c r="Q96" s="13">
        <v>1.2999999999999999E-5</v>
      </c>
      <c r="R96" s="14">
        <v>17</v>
      </c>
      <c r="S96" s="13">
        <v>1.08E-4</v>
      </c>
      <c r="T96" s="14">
        <v>2</v>
      </c>
      <c r="U96" s="13">
        <v>1.2999999999999999E-5</v>
      </c>
      <c r="V96" s="14">
        <v>61</v>
      </c>
      <c r="W96" s="13">
        <v>3.88E-4</v>
      </c>
      <c r="X96" s="14">
        <v>130</v>
      </c>
      <c r="Y96" s="13">
        <v>8.2700000000000004E-4</v>
      </c>
      <c r="Z96" s="14">
        <v>16</v>
      </c>
      <c r="AA96" s="13">
        <v>1.02E-4</v>
      </c>
      <c r="AB96" s="12">
        <v>0</v>
      </c>
      <c r="AC96" s="13"/>
    </row>
    <row r="97" spans="1:29" ht="14.25" customHeight="1">
      <c r="A97" s="11" t="s">
        <v>110</v>
      </c>
      <c r="B97" s="14">
        <v>88</v>
      </c>
      <c r="C97" s="13">
        <v>5.9599999999999996E-4</v>
      </c>
      <c r="D97" s="14">
        <v>9</v>
      </c>
      <c r="E97" s="13">
        <v>6.0999999999999999E-5</v>
      </c>
      <c r="F97" s="14">
        <v>146804</v>
      </c>
      <c r="G97" s="13">
        <v>0.994533</v>
      </c>
      <c r="H97" s="14">
        <v>3</v>
      </c>
      <c r="I97" s="13">
        <v>2.0000000000000002E-5</v>
      </c>
      <c r="J97" s="14">
        <v>0</v>
      </c>
      <c r="K97" s="13"/>
      <c r="L97" s="14">
        <v>165</v>
      </c>
      <c r="M97" s="13">
        <v>1.1180000000000001E-3</v>
      </c>
      <c r="N97" s="14">
        <v>0</v>
      </c>
      <c r="O97" s="13"/>
      <c r="P97" s="14">
        <v>1</v>
      </c>
      <c r="Q97" s="13">
        <v>6.9999999999999999E-6</v>
      </c>
      <c r="R97" s="14">
        <v>0</v>
      </c>
      <c r="S97" s="13"/>
      <c r="T97" s="14">
        <v>0</v>
      </c>
      <c r="U97" s="13"/>
      <c r="V97" s="14">
        <v>69</v>
      </c>
      <c r="W97" s="13">
        <v>4.6700000000000002E-4</v>
      </c>
      <c r="X97" s="14">
        <v>87</v>
      </c>
      <c r="Y97" s="13">
        <v>5.8900000000000001E-4</v>
      </c>
      <c r="Z97" s="14">
        <v>22</v>
      </c>
      <c r="AA97" s="13">
        <v>1.4899999999999999E-4</v>
      </c>
      <c r="AB97" s="12">
        <v>0</v>
      </c>
      <c r="AC97" s="13"/>
    </row>
    <row r="98" spans="1:29" ht="14.25" customHeight="1">
      <c r="A98" s="11" t="s">
        <v>111</v>
      </c>
      <c r="B98" s="14">
        <v>30</v>
      </c>
      <c r="C98" s="13">
        <v>1.84E-4</v>
      </c>
      <c r="D98" s="14">
        <v>7</v>
      </c>
      <c r="E98" s="13">
        <v>4.3000000000000002E-5</v>
      </c>
      <c r="F98" s="14">
        <v>162480</v>
      </c>
      <c r="G98" s="13">
        <v>0.99578299999999997</v>
      </c>
      <c r="H98" s="14">
        <v>0</v>
      </c>
      <c r="I98" s="13"/>
      <c r="J98" s="14">
        <v>1</v>
      </c>
      <c r="K98" s="13">
        <v>6.0000000000000002E-6</v>
      </c>
      <c r="L98" s="14">
        <v>135</v>
      </c>
      <c r="M98" s="13">
        <v>8.2700000000000004E-4</v>
      </c>
      <c r="N98" s="14">
        <v>0</v>
      </c>
      <c r="O98" s="13"/>
      <c r="P98" s="14">
        <v>0</v>
      </c>
      <c r="Q98" s="13"/>
      <c r="R98" s="14">
        <v>1</v>
      </c>
      <c r="S98" s="13">
        <v>6.0000000000000002E-6</v>
      </c>
      <c r="T98" s="14">
        <v>0</v>
      </c>
      <c r="U98" s="13"/>
      <c r="V98" s="14">
        <v>52</v>
      </c>
      <c r="W98" s="13">
        <v>3.19E-4</v>
      </c>
      <c r="X98" s="14">
        <v>73</v>
      </c>
      <c r="Y98" s="13">
        <v>4.4700000000000002E-4</v>
      </c>
      <c r="Z98" s="14">
        <v>15</v>
      </c>
      <c r="AA98" s="13">
        <v>9.2E-5</v>
      </c>
      <c r="AB98" s="12">
        <v>1</v>
      </c>
      <c r="AC98" s="13">
        <v>6.0000000000000002E-6</v>
      </c>
    </row>
    <row r="99" spans="1:29" ht="14.25" customHeight="1">
      <c r="A99" s="11" t="s">
        <v>112</v>
      </c>
      <c r="B99" s="14">
        <v>22</v>
      </c>
      <c r="C99" s="13">
        <v>1.2899999999999999E-4</v>
      </c>
      <c r="D99" s="14">
        <v>8</v>
      </c>
      <c r="E99" s="13">
        <v>4.6999999999999997E-5</v>
      </c>
      <c r="F99" s="14">
        <v>169622</v>
      </c>
      <c r="G99" s="13">
        <v>0.99620600000000004</v>
      </c>
      <c r="H99" s="14">
        <v>0</v>
      </c>
      <c r="I99" s="13"/>
      <c r="J99" s="14">
        <v>2</v>
      </c>
      <c r="K99" s="13">
        <v>1.2E-5</v>
      </c>
      <c r="L99" s="14">
        <v>102</v>
      </c>
      <c r="M99" s="13">
        <v>5.9900000000000003E-4</v>
      </c>
      <c r="N99" s="14">
        <v>0</v>
      </c>
      <c r="O99" s="13"/>
      <c r="P99" s="14">
        <v>1</v>
      </c>
      <c r="Q99" s="13">
        <v>6.0000000000000002E-6</v>
      </c>
      <c r="R99" s="14">
        <v>1</v>
      </c>
      <c r="S99" s="13">
        <v>6.0000000000000002E-6</v>
      </c>
      <c r="T99" s="14">
        <v>0</v>
      </c>
      <c r="U99" s="13"/>
      <c r="V99" s="14">
        <v>44</v>
      </c>
      <c r="W99" s="13">
        <v>2.5799999999999998E-4</v>
      </c>
      <c r="X99" s="14">
        <v>61</v>
      </c>
      <c r="Y99" s="13">
        <v>3.5799999999999997E-4</v>
      </c>
      <c r="Z99" s="14">
        <v>36</v>
      </c>
      <c r="AA99" s="13">
        <v>2.1100000000000001E-4</v>
      </c>
      <c r="AB99" s="12">
        <v>0</v>
      </c>
      <c r="AC99" s="13"/>
    </row>
    <row r="100" spans="1:29" ht="14.25" customHeight="1">
      <c r="A100" s="11" t="s">
        <v>113</v>
      </c>
      <c r="B100" s="14">
        <v>28</v>
      </c>
      <c r="C100" s="13">
        <v>1.54E-4</v>
      </c>
      <c r="D100" s="14">
        <v>4</v>
      </c>
      <c r="E100" s="13">
        <v>2.1999999999999999E-5</v>
      </c>
      <c r="F100" s="14">
        <v>181162</v>
      </c>
      <c r="G100" s="13">
        <v>0.99595400000000001</v>
      </c>
      <c r="H100" s="14">
        <v>1</v>
      </c>
      <c r="I100" s="13">
        <v>5.0000000000000004E-6</v>
      </c>
      <c r="J100" s="14">
        <v>1</v>
      </c>
      <c r="K100" s="13">
        <v>5.0000000000000004E-6</v>
      </c>
      <c r="L100" s="14">
        <v>71</v>
      </c>
      <c r="M100" s="13">
        <v>3.8999999999999999E-4</v>
      </c>
      <c r="N100" s="14">
        <v>0</v>
      </c>
      <c r="O100" s="13"/>
      <c r="P100" s="14">
        <v>0</v>
      </c>
      <c r="Q100" s="13"/>
      <c r="R100" s="14">
        <v>0</v>
      </c>
      <c r="S100" s="13"/>
      <c r="T100" s="14">
        <v>0</v>
      </c>
      <c r="U100" s="13"/>
      <c r="V100" s="14">
        <v>45</v>
      </c>
      <c r="W100" s="13">
        <v>2.4699999999999999E-4</v>
      </c>
      <c r="X100" s="14">
        <v>50</v>
      </c>
      <c r="Y100" s="13">
        <v>2.7500000000000002E-4</v>
      </c>
      <c r="Z100" s="14">
        <v>43</v>
      </c>
      <c r="AA100" s="13">
        <v>2.3599999999999999E-4</v>
      </c>
      <c r="AB100" s="12">
        <v>0</v>
      </c>
      <c r="AC100" s="13"/>
    </row>
    <row r="101" spans="1:29" ht="14.25" customHeight="1">
      <c r="A101" s="11" t="s">
        <v>114</v>
      </c>
      <c r="B101" s="14">
        <v>17</v>
      </c>
      <c r="C101" s="13">
        <v>8.8999999999999995E-5</v>
      </c>
      <c r="D101" s="14">
        <v>6</v>
      </c>
      <c r="E101" s="13">
        <v>3.1000000000000001E-5</v>
      </c>
      <c r="F101" s="14">
        <v>191033</v>
      </c>
      <c r="G101" s="13">
        <v>0.99576699999999996</v>
      </c>
      <c r="H101" s="14">
        <v>6</v>
      </c>
      <c r="I101" s="13">
        <v>3.1000000000000001E-5</v>
      </c>
      <c r="J101" s="14">
        <v>1</v>
      </c>
      <c r="K101" s="13">
        <v>5.0000000000000004E-6</v>
      </c>
      <c r="L101" s="14">
        <v>35</v>
      </c>
      <c r="M101" s="13">
        <v>1.8200000000000001E-4</v>
      </c>
      <c r="N101" s="14">
        <v>0</v>
      </c>
      <c r="O101" s="13"/>
      <c r="P101" s="14">
        <v>1</v>
      </c>
      <c r="Q101" s="13">
        <v>5.0000000000000004E-6</v>
      </c>
      <c r="R101" s="14">
        <v>0</v>
      </c>
      <c r="S101" s="13"/>
      <c r="T101" s="14">
        <v>0</v>
      </c>
      <c r="U101" s="13"/>
      <c r="V101" s="14">
        <v>36</v>
      </c>
      <c r="W101" s="13">
        <v>1.8799999999999999E-4</v>
      </c>
      <c r="X101" s="14">
        <v>47</v>
      </c>
      <c r="Y101" s="13">
        <v>2.4499999999999999E-4</v>
      </c>
      <c r="Z101" s="14">
        <v>89</v>
      </c>
      <c r="AA101" s="13">
        <v>4.64E-4</v>
      </c>
      <c r="AB101" s="12">
        <v>0</v>
      </c>
      <c r="AC101" s="13"/>
    </row>
    <row r="102" spans="1:29" ht="14.25" customHeight="1">
      <c r="A102" s="11" t="s">
        <v>115</v>
      </c>
      <c r="B102" s="14">
        <v>8</v>
      </c>
      <c r="C102" s="13">
        <v>4.1E-5</v>
      </c>
      <c r="D102" s="14">
        <v>1</v>
      </c>
      <c r="E102" s="13">
        <v>5.0000000000000004E-6</v>
      </c>
      <c r="F102" s="14">
        <v>194500</v>
      </c>
      <c r="G102" s="13">
        <v>0.99341100000000004</v>
      </c>
      <c r="H102" s="14">
        <v>0</v>
      </c>
      <c r="I102" s="13"/>
      <c r="J102" s="14">
        <v>1</v>
      </c>
      <c r="K102" s="13">
        <v>5.0000000000000004E-6</v>
      </c>
      <c r="L102" s="14">
        <v>32</v>
      </c>
      <c r="M102" s="13">
        <v>1.63E-4</v>
      </c>
      <c r="N102" s="14">
        <v>0</v>
      </c>
      <c r="O102" s="13"/>
      <c r="P102" s="14">
        <v>0</v>
      </c>
      <c r="Q102" s="13"/>
      <c r="R102" s="14">
        <v>5</v>
      </c>
      <c r="S102" s="13">
        <v>2.5999999999999998E-5</v>
      </c>
      <c r="T102" s="14">
        <v>0</v>
      </c>
      <c r="U102" s="13"/>
      <c r="V102" s="14">
        <v>22</v>
      </c>
      <c r="W102" s="13">
        <v>1.12E-4</v>
      </c>
      <c r="X102" s="14">
        <v>31</v>
      </c>
      <c r="Y102" s="13">
        <v>1.5799999999999999E-4</v>
      </c>
      <c r="Z102" s="14">
        <v>481</v>
      </c>
      <c r="AA102" s="13">
        <v>2.457E-3</v>
      </c>
      <c r="AB102" s="12">
        <v>0</v>
      </c>
      <c r="AC102" s="13"/>
    </row>
    <row r="103" spans="1:29" ht="14.25" customHeight="1">
      <c r="A103" s="11" t="s">
        <v>116</v>
      </c>
      <c r="B103" s="14">
        <v>15</v>
      </c>
      <c r="C103" s="13">
        <v>8.0000000000000007E-5</v>
      </c>
      <c r="D103" s="14">
        <v>2</v>
      </c>
      <c r="E103" s="13">
        <v>1.1E-5</v>
      </c>
      <c r="F103" s="14">
        <v>184523</v>
      </c>
      <c r="G103" s="13">
        <v>0.98880000000000001</v>
      </c>
      <c r="H103" s="14">
        <v>0</v>
      </c>
      <c r="I103" s="13"/>
      <c r="J103" s="14">
        <v>0</v>
      </c>
      <c r="K103" s="13"/>
      <c r="L103" s="14">
        <v>23</v>
      </c>
      <c r="M103" s="13">
        <v>1.2300000000000001E-4</v>
      </c>
      <c r="N103" s="14">
        <v>0</v>
      </c>
      <c r="O103" s="13"/>
      <c r="P103" s="14">
        <v>2</v>
      </c>
      <c r="Q103" s="13">
        <v>1.1E-5</v>
      </c>
      <c r="R103" s="14">
        <v>0</v>
      </c>
      <c r="S103" s="13"/>
      <c r="T103" s="14">
        <v>1</v>
      </c>
      <c r="U103" s="13">
        <v>5.0000000000000004E-6</v>
      </c>
      <c r="V103" s="14">
        <v>5</v>
      </c>
      <c r="W103" s="13">
        <v>2.6999999999999999E-5</v>
      </c>
      <c r="X103" s="14">
        <v>17</v>
      </c>
      <c r="Y103" s="13">
        <v>9.1000000000000003E-5</v>
      </c>
      <c r="Z103" s="14">
        <v>1594</v>
      </c>
      <c r="AA103" s="13">
        <v>8.5419999999999992E-3</v>
      </c>
      <c r="AB103" s="12">
        <v>0</v>
      </c>
      <c r="AC103" s="13"/>
    </row>
    <row r="104" spans="1:29" ht="14.25" customHeight="1">
      <c r="A104" s="11" t="s">
        <v>117</v>
      </c>
      <c r="B104" s="14">
        <v>33</v>
      </c>
      <c r="C104" s="13">
        <v>1.3999999999999999E-4</v>
      </c>
      <c r="D104" s="14">
        <v>5</v>
      </c>
      <c r="E104" s="13">
        <v>2.0999999999999999E-5</v>
      </c>
      <c r="F104" s="14">
        <v>229402</v>
      </c>
      <c r="G104" s="13">
        <v>0.97136699999999998</v>
      </c>
      <c r="H104" s="14">
        <v>2</v>
      </c>
      <c r="I104" s="13">
        <v>7.9999999999999996E-6</v>
      </c>
      <c r="J104" s="14">
        <v>1</v>
      </c>
      <c r="K104" s="13">
        <v>3.9999999999999998E-6</v>
      </c>
      <c r="L104" s="14">
        <v>28</v>
      </c>
      <c r="M104" s="13">
        <v>1.1900000000000001E-4</v>
      </c>
      <c r="N104" s="14">
        <v>0</v>
      </c>
      <c r="O104" s="13"/>
      <c r="P104" s="14">
        <v>3</v>
      </c>
      <c r="Q104" s="13">
        <v>1.2999999999999999E-5</v>
      </c>
      <c r="R104" s="14">
        <v>2</v>
      </c>
      <c r="S104" s="13">
        <v>7.9999999999999996E-6</v>
      </c>
      <c r="T104" s="14">
        <v>0</v>
      </c>
      <c r="U104" s="13"/>
      <c r="V104" s="14">
        <v>4</v>
      </c>
      <c r="W104" s="13">
        <v>1.7E-5</v>
      </c>
      <c r="X104" s="14">
        <v>8</v>
      </c>
      <c r="Y104" s="13">
        <v>3.4E-5</v>
      </c>
      <c r="Z104" s="14">
        <v>6053</v>
      </c>
      <c r="AA104" s="13">
        <v>2.563E-2</v>
      </c>
      <c r="AB104" s="12">
        <v>0</v>
      </c>
      <c r="AC104" s="13"/>
    </row>
    <row r="105" spans="1:29" ht="14.25" customHeight="1">
      <c r="A105" s="11" t="s">
        <v>118</v>
      </c>
      <c r="B105" s="14">
        <v>23</v>
      </c>
      <c r="C105" s="13">
        <v>1.01E-4</v>
      </c>
      <c r="D105" s="14">
        <v>1</v>
      </c>
      <c r="E105" s="13">
        <v>3.9999999999999998E-6</v>
      </c>
      <c r="F105" s="14">
        <v>200145</v>
      </c>
      <c r="G105" s="13">
        <v>0.87924000000000002</v>
      </c>
      <c r="H105" s="14">
        <v>2</v>
      </c>
      <c r="I105" s="13">
        <v>9.0000000000000002E-6</v>
      </c>
      <c r="J105" s="14">
        <v>0</v>
      </c>
      <c r="K105" s="13"/>
      <c r="L105" s="14">
        <v>13</v>
      </c>
      <c r="M105" s="13">
        <v>5.7000000000000003E-5</v>
      </c>
      <c r="N105" s="14">
        <v>0</v>
      </c>
      <c r="O105" s="13"/>
      <c r="P105" s="14">
        <v>2</v>
      </c>
      <c r="Q105" s="13">
        <v>9.0000000000000002E-6</v>
      </c>
      <c r="R105" s="14">
        <v>2</v>
      </c>
      <c r="S105" s="13">
        <v>9.0000000000000002E-6</v>
      </c>
      <c r="T105" s="14">
        <v>0</v>
      </c>
      <c r="U105" s="13"/>
      <c r="V105" s="14">
        <v>8</v>
      </c>
      <c r="W105" s="13">
        <v>3.4999999999999997E-5</v>
      </c>
      <c r="X105" s="14">
        <v>14</v>
      </c>
      <c r="Y105" s="13">
        <v>6.2000000000000003E-5</v>
      </c>
      <c r="Z105" s="14">
        <v>26766</v>
      </c>
      <c r="AA105" s="13">
        <v>0.11758299999999999</v>
      </c>
      <c r="AB105" s="12">
        <v>0</v>
      </c>
      <c r="AC105" s="13"/>
    </row>
    <row r="106" spans="1:29" ht="14.25" customHeight="1">
      <c r="A106" s="11" t="s">
        <v>119</v>
      </c>
      <c r="B106" s="14">
        <v>29</v>
      </c>
      <c r="C106" s="13">
        <v>1.18E-4</v>
      </c>
      <c r="D106" s="14">
        <v>1</v>
      </c>
      <c r="E106" s="13">
        <v>3.9999999999999998E-6</v>
      </c>
      <c r="F106" s="14">
        <v>138407</v>
      </c>
      <c r="G106" s="13">
        <v>0.56203800000000004</v>
      </c>
      <c r="H106" s="14">
        <v>2</v>
      </c>
      <c r="I106" s="13">
        <v>7.9999999999999996E-6</v>
      </c>
      <c r="J106" s="14">
        <v>0</v>
      </c>
      <c r="K106" s="13"/>
      <c r="L106" s="14">
        <v>18</v>
      </c>
      <c r="M106" s="13">
        <v>7.2999999999999999E-5</v>
      </c>
      <c r="N106" s="14">
        <v>0</v>
      </c>
      <c r="O106" s="13"/>
      <c r="P106" s="14">
        <v>2</v>
      </c>
      <c r="Q106" s="13">
        <v>7.9999999999999996E-6</v>
      </c>
      <c r="R106" s="14">
        <v>2</v>
      </c>
      <c r="S106" s="13">
        <v>7.9999999999999996E-6</v>
      </c>
      <c r="T106" s="14">
        <v>1</v>
      </c>
      <c r="U106" s="13">
        <v>3.9999999999999998E-6</v>
      </c>
      <c r="V106" s="14">
        <v>5</v>
      </c>
      <c r="W106" s="13">
        <v>2.0000000000000002E-5</v>
      </c>
      <c r="X106" s="14">
        <v>16</v>
      </c>
      <c r="Y106" s="13">
        <v>6.4999999999999994E-5</v>
      </c>
      <c r="Z106" s="14">
        <v>106956</v>
      </c>
      <c r="AA106" s="13">
        <v>0.43432300000000001</v>
      </c>
      <c r="AB106" s="12">
        <v>0</v>
      </c>
      <c r="AC106" s="13"/>
    </row>
    <row r="107" spans="1:29" ht="14.25" customHeight="1">
      <c r="A107" s="11" t="s">
        <v>120</v>
      </c>
      <c r="B107" s="14">
        <v>7</v>
      </c>
      <c r="C107" s="13">
        <v>2.9E-5</v>
      </c>
      <c r="D107" s="14">
        <v>0</v>
      </c>
      <c r="E107" s="13"/>
      <c r="F107" s="14">
        <v>73644</v>
      </c>
      <c r="G107" s="13">
        <v>0.30970599999999998</v>
      </c>
      <c r="H107" s="14">
        <v>0</v>
      </c>
      <c r="I107" s="13"/>
      <c r="J107" s="14">
        <v>0</v>
      </c>
      <c r="K107" s="13"/>
      <c r="L107" s="14">
        <v>12</v>
      </c>
      <c r="M107" s="13">
        <v>5.0000000000000002E-5</v>
      </c>
      <c r="N107" s="14">
        <v>0</v>
      </c>
      <c r="O107" s="13"/>
      <c r="P107" s="14">
        <v>1</v>
      </c>
      <c r="Q107" s="13">
        <v>3.9999999999999998E-6</v>
      </c>
      <c r="R107" s="14">
        <v>0</v>
      </c>
      <c r="S107" s="13"/>
      <c r="T107" s="14">
        <v>0</v>
      </c>
      <c r="U107" s="13"/>
      <c r="V107" s="14">
        <v>1</v>
      </c>
      <c r="W107" s="13">
        <v>3.9999999999999998E-6</v>
      </c>
      <c r="X107" s="14">
        <v>3</v>
      </c>
      <c r="Y107" s="13">
        <v>1.2999999999999999E-5</v>
      </c>
      <c r="Z107" s="14">
        <v>163398</v>
      </c>
      <c r="AA107" s="13">
        <v>0.68716100000000002</v>
      </c>
      <c r="AB107" s="12">
        <v>0</v>
      </c>
      <c r="AC107" s="13"/>
    </row>
    <row r="108" spans="1:29" ht="14.25" customHeight="1">
      <c r="A108" s="11" t="s">
        <v>121</v>
      </c>
      <c r="B108" s="14">
        <v>21</v>
      </c>
      <c r="C108" s="13">
        <v>6.8999999999999997E-5</v>
      </c>
      <c r="D108" s="14">
        <v>4</v>
      </c>
      <c r="E108" s="13">
        <v>1.2999999999999999E-5</v>
      </c>
      <c r="F108" s="14">
        <v>46044</v>
      </c>
      <c r="G108" s="13">
        <v>0.15065000000000001</v>
      </c>
      <c r="H108" s="14">
        <v>0</v>
      </c>
      <c r="I108" s="13"/>
      <c r="J108" s="14">
        <v>0</v>
      </c>
      <c r="K108" s="13"/>
      <c r="L108" s="14">
        <v>30</v>
      </c>
      <c r="M108" s="13">
        <v>9.7999999999999997E-5</v>
      </c>
      <c r="N108" s="14">
        <v>0</v>
      </c>
      <c r="O108" s="13"/>
      <c r="P108" s="14">
        <v>2</v>
      </c>
      <c r="Q108" s="13">
        <v>6.9999999999999999E-6</v>
      </c>
      <c r="R108" s="14">
        <v>0</v>
      </c>
      <c r="S108" s="13"/>
      <c r="T108" s="14">
        <v>0</v>
      </c>
      <c r="U108" s="13"/>
      <c r="V108" s="14">
        <v>1</v>
      </c>
      <c r="W108" s="13">
        <v>3.0000000000000001E-6</v>
      </c>
      <c r="X108" s="14">
        <v>1</v>
      </c>
      <c r="Y108" s="13">
        <v>3.0000000000000001E-6</v>
      </c>
      <c r="Z108" s="14">
        <v>258417</v>
      </c>
      <c r="AA108" s="13">
        <v>0.84550899999999996</v>
      </c>
      <c r="AB108" s="12">
        <v>0</v>
      </c>
      <c r="AC108" s="13"/>
    </row>
    <row r="109" spans="1:29" ht="14.25" customHeight="1">
      <c r="A109" s="11" t="s">
        <v>122</v>
      </c>
      <c r="B109" s="14">
        <v>25</v>
      </c>
      <c r="C109" s="13">
        <v>7.3999999999999996E-5</v>
      </c>
      <c r="D109" s="14">
        <v>1</v>
      </c>
      <c r="E109" s="13">
        <v>3.0000000000000001E-6</v>
      </c>
      <c r="F109" s="14">
        <v>26263</v>
      </c>
      <c r="G109" s="13">
        <v>7.7745999999999996E-2</v>
      </c>
      <c r="H109" s="14">
        <v>1</v>
      </c>
      <c r="I109" s="13">
        <v>3.0000000000000001E-6</v>
      </c>
      <c r="J109" s="14">
        <v>1</v>
      </c>
      <c r="K109" s="13">
        <v>3.0000000000000001E-6</v>
      </c>
      <c r="L109" s="14">
        <v>1</v>
      </c>
      <c r="M109" s="13">
        <v>3.0000000000000001E-6</v>
      </c>
      <c r="N109" s="14">
        <v>0</v>
      </c>
      <c r="O109" s="13"/>
      <c r="P109" s="14">
        <v>2</v>
      </c>
      <c r="Q109" s="13">
        <v>6.0000000000000002E-6</v>
      </c>
      <c r="R109" s="14">
        <v>0</v>
      </c>
      <c r="S109" s="13"/>
      <c r="T109" s="14">
        <v>11</v>
      </c>
      <c r="U109" s="13">
        <v>3.3000000000000003E-5</v>
      </c>
      <c r="V109" s="14">
        <v>0</v>
      </c>
      <c r="W109" s="13"/>
      <c r="X109" s="14">
        <v>0</v>
      </c>
      <c r="Y109" s="13"/>
      <c r="Z109" s="14">
        <v>310556</v>
      </c>
      <c r="AA109" s="13">
        <v>0.91934099999999996</v>
      </c>
      <c r="AB109" s="12">
        <v>0</v>
      </c>
      <c r="AC109" s="13"/>
    </row>
    <row r="110" spans="1:29" ht="14.25" customHeight="1">
      <c r="A110" s="11" t="s">
        <v>123</v>
      </c>
      <c r="B110" s="12">
        <v>4</v>
      </c>
      <c r="C110" s="13">
        <v>1.2999999999999999E-5</v>
      </c>
      <c r="D110" s="12">
        <v>2</v>
      </c>
      <c r="E110" s="13">
        <v>6.0000000000000002E-6</v>
      </c>
      <c r="F110" s="12">
        <v>12432</v>
      </c>
      <c r="G110" s="13">
        <v>3.9718999999999997E-2</v>
      </c>
      <c r="H110" s="12">
        <v>0</v>
      </c>
      <c r="I110" s="13"/>
      <c r="J110" s="12">
        <v>0</v>
      </c>
      <c r="K110" s="13"/>
      <c r="L110" s="12">
        <v>1</v>
      </c>
      <c r="M110" s="13">
        <v>3.0000000000000001E-6</v>
      </c>
      <c r="N110" s="12">
        <v>0</v>
      </c>
      <c r="O110" s="13"/>
      <c r="P110" s="12">
        <v>0</v>
      </c>
      <c r="Q110" s="13"/>
      <c r="R110" s="12">
        <v>0</v>
      </c>
      <c r="S110" s="13"/>
      <c r="T110" s="12">
        <v>0</v>
      </c>
      <c r="U110" s="13"/>
      <c r="V110" s="12">
        <v>1</v>
      </c>
      <c r="W110" s="13">
        <v>3.0000000000000001E-6</v>
      </c>
      <c r="X110" s="12">
        <v>1</v>
      </c>
      <c r="Y110" s="13">
        <v>3.0000000000000001E-6</v>
      </c>
      <c r="Z110" s="12">
        <v>299982</v>
      </c>
      <c r="AA110" s="13">
        <v>0.95841500000000002</v>
      </c>
      <c r="AB110" s="12">
        <v>1</v>
      </c>
      <c r="AC110" s="13">
        <v>3.0000000000000001E-6</v>
      </c>
    </row>
    <row r="111" spans="1:29" ht="14.25" customHeight="1">
      <c r="A111" s="11" t="s">
        <v>124</v>
      </c>
      <c r="B111" s="12">
        <v>6</v>
      </c>
      <c r="C111" s="13">
        <v>1.9000000000000001E-5</v>
      </c>
      <c r="D111" s="12">
        <v>0</v>
      </c>
      <c r="E111" s="13"/>
      <c r="F111" s="12">
        <v>5490</v>
      </c>
      <c r="G111" s="13">
        <v>1.7358999999999999E-2</v>
      </c>
      <c r="H111" s="12">
        <v>0</v>
      </c>
      <c r="I111" s="13"/>
      <c r="J111" s="12">
        <v>0</v>
      </c>
      <c r="K111" s="13"/>
      <c r="L111" s="12">
        <v>0</v>
      </c>
      <c r="M111" s="13"/>
      <c r="N111" s="12">
        <v>0</v>
      </c>
      <c r="O111" s="13"/>
      <c r="P111" s="12">
        <v>2</v>
      </c>
      <c r="Q111" s="13">
        <v>6.0000000000000002E-6</v>
      </c>
      <c r="R111" s="12">
        <v>1</v>
      </c>
      <c r="S111" s="13">
        <v>3.0000000000000001E-6</v>
      </c>
      <c r="T111" s="12">
        <v>2</v>
      </c>
      <c r="U111" s="13">
        <v>6.0000000000000002E-6</v>
      </c>
      <c r="V111" s="12">
        <v>0</v>
      </c>
      <c r="W111" s="13"/>
      <c r="X111" s="12">
        <v>0</v>
      </c>
      <c r="Y111" s="13"/>
      <c r="Z111" s="12">
        <v>310230</v>
      </c>
      <c r="AA111" s="13">
        <v>0.98093300000000005</v>
      </c>
      <c r="AB111" s="12">
        <v>0</v>
      </c>
      <c r="AC111" s="13"/>
    </row>
    <row r="112" spans="1:29" ht="14.25" customHeight="1">
      <c r="A112" s="11" t="s">
        <v>125</v>
      </c>
      <c r="B112" s="12">
        <v>8</v>
      </c>
      <c r="C112" s="13">
        <v>2.9E-5</v>
      </c>
      <c r="D112" s="12">
        <v>1</v>
      </c>
      <c r="E112" s="13">
        <v>3.9999999999999998E-6</v>
      </c>
      <c r="F112" s="12">
        <v>2468</v>
      </c>
      <c r="G112" s="13">
        <v>8.9200000000000008E-3</v>
      </c>
      <c r="H112" s="12">
        <v>0</v>
      </c>
      <c r="I112" s="13"/>
      <c r="J112" s="12">
        <v>0</v>
      </c>
      <c r="K112" s="13"/>
      <c r="L112" s="12">
        <v>0</v>
      </c>
      <c r="M112" s="13"/>
      <c r="N112" s="12">
        <v>0</v>
      </c>
      <c r="O112" s="13"/>
      <c r="P112" s="12">
        <v>1</v>
      </c>
      <c r="Q112" s="13">
        <v>3.9999999999999998E-6</v>
      </c>
      <c r="R112" s="12">
        <v>0</v>
      </c>
      <c r="S112" s="13"/>
      <c r="T112" s="12">
        <v>3</v>
      </c>
      <c r="U112" s="13">
        <v>1.1E-5</v>
      </c>
      <c r="V112" s="12">
        <v>1</v>
      </c>
      <c r="W112" s="13">
        <v>3.9999999999999998E-6</v>
      </c>
      <c r="X112" s="12">
        <v>1</v>
      </c>
      <c r="Y112" s="13">
        <v>3.9999999999999998E-6</v>
      </c>
      <c r="Z112" s="12">
        <v>273906</v>
      </c>
      <c r="AA112" s="13">
        <v>0.98991700000000005</v>
      </c>
      <c r="AB112" s="12">
        <v>2</v>
      </c>
      <c r="AC112" s="13">
        <v>6.9999999999999999E-6</v>
      </c>
    </row>
    <row r="113" spans="1:29" ht="14.25" customHeight="1">
      <c r="A113" s="11" t="s">
        <v>126</v>
      </c>
      <c r="B113" s="12">
        <v>16</v>
      </c>
      <c r="C113" s="13">
        <v>5.7000000000000003E-5</v>
      </c>
      <c r="D113" s="12">
        <v>1</v>
      </c>
      <c r="E113" s="13">
        <v>3.9999999999999998E-6</v>
      </c>
      <c r="F113" s="12">
        <v>1284</v>
      </c>
      <c r="G113" s="13">
        <v>4.5539999999999999E-3</v>
      </c>
      <c r="H113" s="12">
        <v>0</v>
      </c>
      <c r="I113" s="13"/>
      <c r="J113" s="12">
        <v>0</v>
      </c>
      <c r="K113" s="13"/>
      <c r="L113" s="12">
        <v>2</v>
      </c>
      <c r="M113" s="13">
        <v>6.9999999999999999E-6</v>
      </c>
      <c r="N113" s="12">
        <v>0</v>
      </c>
      <c r="O113" s="13"/>
      <c r="P113" s="12">
        <v>0</v>
      </c>
      <c r="Q113" s="13"/>
      <c r="R113" s="12">
        <v>2</v>
      </c>
      <c r="S113" s="13">
        <v>6.9999999999999999E-6</v>
      </c>
      <c r="T113" s="12">
        <v>1</v>
      </c>
      <c r="U113" s="13">
        <v>3.9999999999999998E-6</v>
      </c>
      <c r="V113" s="12">
        <v>0</v>
      </c>
      <c r="W113" s="13"/>
      <c r="X113" s="12">
        <v>0</v>
      </c>
      <c r="Y113" s="13"/>
      <c r="Z113" s="12">
        <v>280144</v>
      </c>
      <c r="AA113" s="13">
        <v>0.99365499999999995</v>
      </c>
      <c r="AB113" s="12">
        <v>0</v>
      </c>
      <c r="AC113" s="13"/>
    </row>
    <row r="114" spans="1:29" ht="14.25" customHeight="1">
      <c r="A114" s="11" t="s">
        <v>127</v>
      </c>
      <c r="B114" s="12">
        <v>9</v>
      </c>
      <c r="C114" s="13">
        <v>3.4999999999999997E-5</v>
      </c>
      <c r="D114" s="12">
        <v>0</v>
      </c>
      <c r="E114" s="13"/>
      <c r="F114" s="12">
        <v>751</v>
      </c>
      <c r="G114" s="13">
        <v>2.8839999999999998E-3</v>
      </c>
      <c r="H114" s="12">
        <v>2</v>
      </c>
      <c r="I114" s="13">
        <v>7.9999999999999996E-6</v>
      </c>
      <c r="J114" s="12">
        <v>0</v>
      </c>
      <c r="K114" s="13"/>
      <c r="L114" s="12">
        <v>0</v>
      </c>
      <c r="M114" s="13"/>
      <c r="N114" s="12">
        <v>0</v>
      </c>
      <c r="O114" s="13"/>
      <c r="P114" s="12">
        <v>0</v>
      </c>
      <c r="Q114" s="13"/>
      <c r="R114" s="12">
        <v>1</v>
      </c>
      <c r="S114" s="13">
        <v>3.9999999999999998E-6</v>
      </c>
      <c r="T114" s="12">
        <v>3</v>
      </c>
      <c r="U114" s="13">
        <v>1.2E-5</v>
      </c>
      <c r="V114" s="12">
        <v>0</v>
      </c>
      <c r="W114" s="13"/>
      <c r="X114" s="12">
        <v>1</v>
      </c>
      <c r="Y114" s="13">
        <v>3.9999999999999998E-6</v>
      </c>
      <c r="Z114" s="12">
        <v>259117</v>
      </c>
      <c r="AA114" s="13">
        <v>0.99519500000000005</v>
      </c>
      <c r="AB114" s="12">
        <v>0</v>
      </c>
      <c r="AC114" s="13"/>
    </row>
    <row r="115" spans="1:29" ht="14.25" customHeight="1">
      <c r="A115" s="11" t="s">
        <v>128</v>
      </c>
      <c r="B115" s="12">
        <v>5</v>
      </c>
      <c r="C115" s="13">
        <v>2.0999999999999999E-5</v>
      </c>
      <c r="D115" s="12">
        <v>0</v>
      </c>
      <c r="E115" s="13"/>
      <c r="F115" s="12">
        <v>429</v>
      </c>
      <c r="G115" s="13">
        <v>1.833E-3</v>
      </c>
      <c r="H115" s="12">
        <v>0</v>
      </c>
      <c r="I115" s="13"/>
      <c r="J115" s="12">
        <v>0</v>
      </c>
      <c r="K115" s="13"/>
      <c r="L115" s="12">
        <v>3</v>
      </c>
      <c r="M115" s="13">
        <v>1.2999999999999999E-5</v>
      </c>
      <c r="N115" s="12">
        <v>0</v>
      </c>
      <c r="O115" s="13"/>
      <c r="P115" s="12">
        <v>0</v>
      </c>
      <c r="Q115" s="13"/>
      <c r="R115" s="12">
        <v>1</v>
      </c>
      <c r="S115" s="13">
        <v>3.9999999999999998E-6</v>
      </c>
      <c r="T115" s="12">
        <v>2</v>
      </c>
      <c r="U115" s="13">
        <v>9.0000000000000002E-6</v>
      </c>
      <c r="V115" s="12">
        <v>0</v>
      </c>
      <c r="W115" s="13"/>
      <c r="X115" s="12">
        <v>0</v>
      </c>
      <c r="Y115" s="13"/>
      <c r="Z115" s="12">
        <v>232981</v>
      </c>
      <c r="AA115" s="13">
        <v>0.995479</v>
      </c>
      <c r="AB115" s="12">
        <v>0</v>
      </c>
      <c r="AC115" s="13"/>
    </row>
    <row r="116" spans="1:29" ht="14.25" customHeight="1">
      <c r="A116" s="11" t="s">
        <v>129</v>
      </c>
      <c r="B116" s="12">
        <v>2</v>
      </c>
      <c r="C116" s="13">
        <v>1.0000000000000001E-5</v>
      </c>
      <c r="D116" s="12">
        <v>0</v>
      </c>
      <c r="E116" s="13"/>
      <c r="F116" s="12">
        <v>252</v>
      </c>
      <c r="G116" s="13">
        <v>1.2979999999999999E-3</v>
      </c>
      <c r="H116" s="12">
        <v>0</v>
      </c>
      <c r="I116" s="13"/>
      <c r="J116" s="12">
        <v>0</v>
      </c>
      <c r="K116" s="13"/>
      <c r="L116" s="12">
        <v>0</v>
      </c>
      <c r="M116" s="13"/>
      <c r="N116" s="12">
        <v>0</v>
      </c>
      <c r="O116" s="13"/>
      <c r="P116" s="12">
        <v>0</v>
      </c>
      <c r="Q116" s="13"/>
      <c r="R116" s="12">
        <v>0</v>
      </c>
      <c r="S116" s="13"/>
      <c r="T116" s="12">
        <v>5</v>
      </c>
      <c r="U116" s="13">
        <v>2.5999999999999998E-5</v>
      </c>
      <c r="V116" s="12">
        <v>0</v>
      </c>
      <c r="W116" s="13"/>
      <c r="X116" s="12">
        <v>0</v>
      </c>
      <c r="Y116" s="13"/>
      <c r="Z116" s="12">
        <v>193277</v>
      </c>
      <c r="AA116" s="13">
        <v>0.99541100000000005</v>
      </c>
      <c r="AB116" s="12">
        <v>0</v>
      </c>
      <c r="AC116" s="13"/>
    </row>
    <row r="117" spans="1:29" ht="14.25" customHeight="1">
      <c r="A117" s="11" t="s">
        <v>130</v>
      </c>
      <c r="B117" s="12">
        <v>2</v>
      </c>
      <c r="C117" s="13">
        <v>1.1E-5</v>
      </c>
      <c r="D117" s="12">
        <v>2</v>
      </c>
      <c r="E117" s="13">
        <v>1.1E-5</v>
      </c>
      <c r="F117" s="12">
        <v>160</v>
      </c>
      <c r="G117" s="13">
        <v>8.8699999999999998E-4</v>
      </c>
      <c r="H117" s="12">
        <v>0</v>
      </c>
      <c r="I117" s="13"/>
      <c r="J117" s="12">
        <v>1</v>
      </c>
      <c r="K117" s="13">
        <v>6.0000000000000002E-6</v>
      </c>
      <c r="L117" s="12">
        <v>0</v>
      </c>
      <c r="M117" s="13"/>
      <c r="N117" s="12">
        <v>0</v>
      </c>
      <c r="O117" s="13"/>
      <c r="P117" s="12">
        <v>0</v>
      </c>
      <c r="Q117" s="13"/>
      <c r="R117" s="12">
        <v>0</v>
      </c>
      <c r="S117" s="13"/>
      <c r="T117" s="12">
        <v>2</v>
      </c>
      <c r="U117" s="13">
        <v>1.1E-5</v>
      </c>
      <c r="V117" s="12">
        <v>0</v>
      </c>
      <c r="W117" s="13"/>
      <c r="X117" s="12">
        <v>0</v>
      </c>
      <c r="Y117" s="13"/>
      <c r="Z117" s="12">
        <v>179363</v>
      </c>
      <c r="AA117" s="13">
        <v>0.99444999999999995</v>
      </c>
      <c r="AB117" s="12">
        <v>1</v>
      </c>
      <c r="AC117" s="13">
        <v>6.0000000000000002E-6</v>
      </c>
    </row>
    <row r="118" spans="1:29" ht="14.25" customHeight="1">
      <c r="A118" s="11" t="s">
        <v>131</v>
      </c>
      <c r="B118" s="12">
        <v>5</v>
      </c>
      <c r="C118" s="13">
        <v>2.5999999999999998E-5</v>
      </c>
      <c r="D118" s="12">
        <v>0</v>
      </c>
      <c r="E118" s="13"/>
      <c r="F118" s="12">
        <v>138</v>
      </c>
      <c r="G118" s="13">
        <v>7.2400000000000003E-4</v>
      </c>
      <c r="H118" s="12">
        <v>0</v>
      </c>
      <c r="I118" s="13"/>
      <c r="J118" s="12">
        <v>0</v>
      </c>
      <c r="K118" s="13"/>
      <c r="L118" s="12">
        <v>0</v>
      </c>
      <c r="M118" s="13"/>
      <c r="N118" s="12">
        <v>0</v>
      </c>
      <c r="O118" s="13"/>
      <c r="P118" s="12">
        <v>0</v>
      </c>
      <c r="Q118" s="13"/>
      <c r="R118" s="12">
        <v>0</v>
      </c>
      <c r="S118" s="13"/>
      <c r="T118" s="12">
        <v>1</v>
      </c>
      <c r="U118" s="13">
        <v>5.0000000000000004E-6</v>
      </c>
      <c r="V118" s="12">
        <v>0</v>
      </c>
      <c r="W118" s="13"/>
      <c r="X118" s="12">
        <v>0</v>
      </c>
      <c r="Y118" s="13"/>
      <c r="Z118" s="12">
        <v>189330</v>
      </c>
      <c r="AA118" s="13">
        <v>0.99372300000000002</v>
      </c>
      <c r="AB118" s="12">
        <v>2</v>
      </c>
      <c r="AC118" s="13">
        <v>1.0000000000000001E-5</v>
      </c>
    </row>
    <row r="119" spans="1:29" ht="14.25" customHeight="1">
      <c r="A119" s="11" t="s">
        <v>132</v>
      </c>
      <c r="B119" s="12">
        <v>4</v>
      </c>
      <c r="C119" s="13">
        <v>2.0999999999999999E-5</v>
      </c>
      <c r="D119" s="12">
        <v>3</v>
      </c>
      <c r="E119" s="13">
        <v>1.5999999999999999E-5</v>
      </c>
      <c r="F119" s="12">
        <v>141</v>
      </c>
      <c r="G119" s="13">
        <v>7.2900000000000005E-4</v>
      </c>
      <c r="H119" s="12">
        <v>4</v>
      </c>
      <c r="I119" s="13">
        <v>2.0999999999999999E-5</v>
      </c>
      <c r="J119" s="12">
        <v>0</v>
      </c>
      <c r="K119" s="13"/>
      <c r="L119" s="12">
        <v>0</v>
      </c>
      <c r="M119" s="13"/>
      <c r="N119" s="12">
        <v>0</v>
      </c>
      <c r="O119" s="13"/>
      <c r="P119" s="12">
        <v>0</v>
      </c>
      <c r="Q119" s="13"/>
      <c r="R119" s="12">
        <v>4</v>
      </c>
      <c r="S119" s="13">
        <v>2.0999999999999999E-5</v>
      </c>
      <c r="T119" s="12">
        <v>2</v>
      </c>
      <c r="U119" s="13">
        <v>1.0000000000000001E-5</v>
      </c>
      <c r="V119" s="12">
        <v>0</v>
      </c>
      <c r="W119" s="13"/>
      <c r="X119" s="12">
        <v>0</v>
      </c>
      <c r="Y119" s="13"/>
      <c r="Z119" s="12">
        <v>192121</v>
      </c>
      <c r="AA119" s="13">
        <v>0.99385999999999997</v>
      </c>
      <c r="AB119" s="12">
        <v>0</v>
      </c>
      <c r="AC119" s="13"/>
    </row>
    <row r="120" spans="1:29" ht="14.25" customHeight="1">
      <c r="A120" s="11" t="s">
        <v>133</v>
      </c>
      <c r="B120" s="12">
        <v>3</v>
      </c>
      <c r="C120" s="13">
        <v>1.5999999999999999E-5</v>
      </c>
      <c r="D120" s="12">
        <v>1</v>
      </c>
      <c r="E120" s="13">
        <v>5.0000000000000004E-6</v>
      </c>
      <c r="F120" s="12">
        <v>88</v>
      </c>
      <c r="G120" s="13">
        <v>4.75E-4</v>
      </c>
      <c r="H120" s="12">
        <v>4</v>
      </c>
      <c r="I120" s="13">
        <v>2.1999999999999999E-5</v>
      </c>
      <c r="J120" s="12">
        <v>0</v>
      </c>
      <c r="K120" s="13"/>
      <c r="L120" s="12">
        <v>0</v>
      </c>
      <c r="M120" s="13"/>
      <c r="N120" s="12">
        <v>0</v>
      </c>
      <c r="O120" s="13"/>
      <c r="P120" s="12">
        <v>0</v>
      </c>
      <c r="Q120" s="13"/>
      <c r="R120" s="12">
        <v>0</v>
      </c>
      <c r="S120" s="13"/>
      <c r="T120" s="12">
        <v>15</v>
      </c>
      <c r="U120" s="13">
        <v>8.1000000000000004E-5</v>
      </c>
      <c r="V120" s="12">
        <v>0</v>
      </c>
      <c r="W120" s="13"/>
      <c r="X120" s="12">
        <v>0</v>
      </c>
      <c r="Y120" s="13"/>
      <c r="Z120" s="12">
        <v>183985</v>
      </c>
      <c r="AA120" s="13">
        <v>0.99380400000000002</v>
      </c>
      <c r="AB120" s="12">
        <v>0</v>
      </c>
      <c r="AC120" s="13"/>
    </row>
    <row r="121" spans="1:29" ht="14.25" customHeight="1">
      <c r="A121" s="11" t="s">
        <v>134</v>
      </c>
      <c r="B121" s="12">
        <v>1</v>
      </c>
      <c r="C121" s="13">
        <v>6.9999999999999999E-6</v>
      </c>
      <c r="D121" s="12">
        <v>0</v>
      </c>
      <c r="E121" s="13"/>
      <c r="F121" s="12">
        <v>71</v>
      </c>
      <c r="G121" s="13">
        <v>4.7199999999999998E-4</v>
      </c>
      <c r="H121" s="12">
        <v>4</v>
      </c>
      <c r="I121" s="13">
        <v>2.6999999999999999E-5</v>
      </c>
      <c r="J121" s="12">
        <v>0</v>
      </c>
      <c r="K121" s="13"/>
      <c r="L121" s="12">
        <v>0</v>
      </c>
      <c r="M121" s="13"/>
      <c r="N121" s="12">
        <v>0</v>
      </c>
      <c r="O121" s="13"/>
      <c r="P121" s="12">
        <v>0</v>
      </c>
      <c r="Q121" s="13"/>
      <c r="R121" s="12">
        <v>3</v>
      </c>
      <c r="S121" s="13">
        <v>2.0000000000000002E-5</v>
      </c>
      <c r="T121" s="12">
        <v>2</v>
      </c>
      <c r="U121" s="13">
        <v>1.2999999999999999E-5</v>
      </c>
      <c r="V121" s="12">
        <v>0</v>
      </c>
      <c r="W121" s="13"/>
      <c r="X121" s="12">
        <v>0</v>
      </c>
      <c r="Y121" s="13"/>
      <c r="Z121" s="12">
        <v>149588</v>
      </c>
      <c r="AA121" s="13">
        <v>0.99368900000000004</v>
      </c>
      <c r="AB121" s="12">
        <v>0</v>
      </c>
      <c r="AC121" s="13"/>
    </row>
    <row r="122" spans="1:29" ht="14.25" customHeight="1">
      <c r="A122" s="11" t="s">
        <v>135</v>
      </c>
      <c r="B122" s="12">
        <v>0</v>
      </c>
      <c r="C122" s="13"/>
      <c r="D122" s="12">
        <v>0</v>
      </c>
      <c r="E122" s="13"/>
      <c r="F122" s="12">
        <v>38</v>
      </c>
      <c r="G122" s="13">
        <v>2.7399999999999999E-4</v>
      </c>
      <c r="H122" s="12">
        <v>2</v>
      </c>
      <c r="I122" s="13">
        <v>1.4E-5</v>
      </c>
      <c r="J122" s="12">
        <v>0</v>
      </c>
      <c r="K122" s="13"/>
      <c r="L122" s="12">
        <v>0</v>
      </c>
      <c r="M122" s="13"/>
      <c r="N122" s="12">
        <v>0</v>
      </c>
      <c r="O122" s="13"/>
      <c r="P122" s="12">
        <v>0</v>
      </c>
      <c r="Q122" s="13"/>
      <c r="R122" s="12">
        <v>2</v>
      </c>
      <c r="S122" s="13">
        <v>1.4E-5</v>
      </c>
      <c r="T122" s="12">
        <v>1</v>
      </c>
      <c r="U122" s="13">
        <v>6.9999999999999999E-6</v>
      </c>
      <c r="V122" s="12">
        <v>0</v>
      </c>
      <c r="W122" s="13"/>
      <c r="X122" s="12">
        <v>0</v>
      </c>
      <c r="Y122" s="13"/>
      <c r="Z122" s="12">
        <v>137634</v>
      </c>
      <c r="AA122" s="13">
        <v>0.994085</v>
      </c>
      <c r="AB122" s="12">
        <v>0</v>
      </c>
      <c r="AC122" s="13"/>
    </row>
    <row r="123" spans="1:29" ht="14.25" customHeight="1">
      <c r="A123" s="11" t="s">
        <v>136</v>
      </c>
      <c r="B123" s="12">
        <v>0</v>
      </c>
      <c r="C123" s="13"/>
      <c r="D123" s="12">
        <v>0</v>
      </c>
      <c r="E123" s="13"/>
      <c r="F123" s="12">
        <v>40</v>
      </c>
      <c r="G123" s="13">
        <v>3.1399999999999999E-4</v>
      </c>
      <c r="H123" s="12">
        <v>4</v>
      </c>
      <c r="I123" s="13">
        <v>3.1000000000000001E-5</v>
      </c>
      <c r="J123" s="12">
        <v>0</v>
      </c>
      <c r="K123" s="13"/>
      <c r="L123" s="12">
        <v>1</v>
      </c>
      <c r="M123" s="13">
        <v>7.9999999999999996E-6</v>
      </c>
      <c r="N123" s="12">
        <v>0</v>
      </c>
      <c r="O123" s="13"/>
      <c r="P123" s="12">
        <v>0</v>
      </c>
      <c r="Q123" s="13"/>
      <c r="R123" s="12">
        <v>1</v>
      </c>
      <c r="S123" s="13">
        <v>7.9999999999999996E-6</v>
      </c>
      <c r="T123" s="12">
        <v>3</v>
      </c>
      <c r="U123" s="13">
        <v>2.4000000000000001E-5</v>
      </c>
      <c r="V123" s="12">
        <v>2</v>
      </c>
      <c r="W123" s="13">
        <v>1.5999999999999999E-5</v>
      </c>
      <c r="X123" s="12">
        <v>0</v>
      </c>
      <c r="Y123" s="13"/>
      <c r="Z123" s="12">
        <v>126657</v>
      </c>
      <c r="AA123" s="13">
        <v>0.99359900000000001</v>
      </c>
      <c r="AB123" s="12">
        <v>0</v>
      </c>
      <c r="AC123" s="13"/>
    </row>
    <row r="124" spans="1:29" ht="14.25" customHeight="1">
      <c r="A124" s="11" t="s">
        <v>137</v>
      </c>
      <c r="B124" s="12">
        <v>4</v>
      </c>
      <c r="C124" s="13">
        <v>3.1000000000000001E-5</v>
      </c>
      <c r="D124" s="12">
        <v>0</v>
      </c>
      <c r="E124" s="13"/>
      <c r="F124" s="12">
        <v>28</v>
      </c>
      <c r="G124" s="13">
        <v>2.14E-4</v>
      </c>
      <c r="H124" s="12">
        <v>1</v>
      </c>
      <c r="I124" s="13">
        <v>7.9999999999999996E-6</v>
      </c>
      <c r="J124" s="12">
        <v>0</v>
      </c>
      <c r="K124" s="13"/>
      <c r="L124" s="12">
        <v>0</v>
      </c>
      <c r="M124" s="13"/>
      <c r="N124" s="12">
        <v>0</v>
      </c>
      <c r="O124" s="13"/>
      <c r="P124" s="12">
        <v>0</v>
      </c>
      <c r="Q124" s="13"/>
      <c r="R124" s="12">
        <v>0</v>
      </c>
      <c r="S124" s="13"/>
      <c r="T124" s="12">
        <v>2</v>
      </c>
      <c r="U124" s="13">
        <v>1.5E-5</v>
      </c>
      <c r="V124" s="12">
        <v>0</v>
      </c>
      <c r="W124" s="13"/>
      <c r="X124" s="12">
        <v>0</v>
      </c>
      <c r="Y124" s="13"/>
      <c r="Z124" s="12">
        <v>129930</v>
      </c>
      <c r="AA124" s="13">
        <v>0.99245300000000003</v>
      </c>
      <c r="AB124" s="12">
        <v>0</v>
      </c>
      <c r="AC124" s="13"/>
    </row>
    <row r="125" spans="1:29" ht="14.25" customHeight="1">
      <c r="A125" s="11" t="s">
        <v>138</v>
      </c>
      <c r="B125" s="12">
        <v>1</v>
      </c>
      <c r="C125" s="13">
        <v>9.0000000000000002E-6</v>
      </c>
      <c r="D125" s="12">
        <v>0</v>
      </c>
      <c r="E125" s="13"/>
      <c r="F125" s="12">
        <v>36</v>
      </c>
      <c r="G125" s="13">
        <v>3.1399999999999999E-4</v>
      </c>
      <c r="H125" s="12">
        <v>3</v>
      </c>
      <c r="I125" s="13">
        <v>2.5999999999999998E-5</v>
      </c>
      <c r="J125" s="12">
        <v>0</v>
      </c>
      <c r="K125" s="13"/>
      <c r="L125" s="12">
        <v>0</v>
      </c>
      <c r="M125" s="13"/>
      <c r="N125" s="12">
        <v>0</v>
      </c>
      <c r="O125" s="13"/>
      <c r="P125" s="12">
        <v>0</v>
      </c>
      <c r="Q125" s="13"/>
      <c r="R125" s="12">
        <v>0</v>
      </c>
      <c r="S125" s="13"/>
      <c r="T125" s="12">
        <v>0</v>
      </c>
      <c r="U125" s="13"/>
      <c r="V125" s="12">
        <v>0</v>
      </c>
      <c r="W125" s="13"/>
      <c r="X125" s="12">
        <v>0</v>
      </c>
      <c r="Y125" s="13"/>
      <c r="Z125" s="12">
        <v>113706</v>
      </c>
      <c r="AA125" s="13">
        <v>0.99245000000000005</v>
      </c>
      <c r="AB125" s="12">
        <v>0</v>
      </c>
      <c r="AC125" s="13"/>
    </row>
    <row r="126" spans="1:29" ht="14.25" customHeight="1">
      <c r="A126" s="11" t="s">
        <v>139</v>
      </c>
      <c r="B126" s="12">
        <v>13</v>
      </c>
      <c r="C126" s="13">
        <v>1.17E-4</v>
      </c>
      <c r="D126" s="12">
        <v>0</v>
      </c>
      <c r="E126" s="13"/>
      <c r="F126" s="12">
        <v>18</v>
      </c>
      <c r="G126" s="13">
        <v>1.6100000000000001E-4</v>
      </c>
      <c r="H126" s="12">
        <v>0</v>
      </c>
      <c r="I126" s="13"/>
      <c r="J126" s="12">
        <v>0</v>
      </c>
      <c r="K126" s="13"/>
      <c r="L126" s="12">
        <v>1</v>
      </c>
      <c r="M126" s="13">
        <v>9.0000000000000002E-6</v>
      </c>
      <c r="N126" s="12">
        <v>0</v>
      </c>
      <c r="O126" s="13"/>
      <c r="P126" s="12">
        <v>0</v>
      </c>
      <c r="Q126" s="13"/>
      <c r="R126" s="12">
        <v>2</v>
      </c>
      <c r="S126" s="13">
        <v>1.8E-5</v>
      </c>
      <c r="T126" s="12">
        <v>0</v>
      </c>
      <c r="U126" s="13"/>
      <c r="V126" s="12">
        <v>0</v>
      </c>
      <c r="W126" s="13"/>
      <c r="X126" s="12">
        <v>0</v>
      </c>
      <c r="Y126" s="13"/>
      <c r="Z126" s="12">
        <v>110679</v>
      </c>
      <c r="AA126" s="13">
        <v>0.99253000000000002</v>
      </c>
      <c r="AB126" s="12">
        <v>0</v>
      </c>
      <c r="AC126" s="13"/>
    </row>
    <row r="127" spans="1:29" ht="14.25" customHeight="1">
      <c r="A127" s="11" t="s">
        <v>140</v>
      </c>
      <c r="B127" s="12">
        <v>2</v>
      </c>
      <c r="C127" s="13">
        <v>1.7E-5</v>
      </c>
      <c r="D127" s="12">
        <v>0</v>
      </c>
      <c r="E127" s="13"/>
      <c r="F127" s="12">
        <v>40</v>
      </c>
      <c r="G127" s="13">
        <v>3.48E-4</v>
      </c>
      <c r="H127" s="12">
        <v>2</v>
      </c>
      <c r="I127" s="13">
        <v>1.7E-5</v>
      </c>
      <c r="J127" s="12">
        <v>0</v>
      </c>
      <c r="K127" s="13"/>
      <c r="L127" s="12">
        <v>0</v>
      </c>
      <c r="M127" s="13"/>
      <c r="N127" s="12">
        <v>0</v>
      </c>
      <c r="O127" s="13"/>
      <c r="P127" s="12">
        <v>0</v>
      </c>
      <c r="Q127" s="13"/>
      <c r="R127" s="12">
        <v>0</v>
      </c>
      <c r="S127" s="13"/>
      <c r="T127" s="12">
        <v>2</v>
      </c>
      <c r="U127" s="13">
        <v>1.7E-5</v>
      </c>
      <c r="V127" s="12">
        <v>0</v>
      </c>
      <c r="W127" s="13"/>
      <c r="X127" s="12">
        <v>0</v>
      </c>
      <c r="Y127" s="13"/>
      <c r="Z127" s="12">
        <v>114091</v>
      </c>
      <c r="AA127" s="13">
        <v>0.99161299999999997</v>
      </c>
      <c r="AB127" s="12">
        <v>0</v>
      </c>
      <c r="AC127" s="13"/>
    </row>
    <row r="128" spans="1:29" ht="14.25" customHeight="1">
      <c r="A128" s="11" t="s">
        <v>141</v>
      </c>
      <c r="B128" s="12">
        <v>10</v>
      </c>
      <c r="C128" s="13">
        <v>9.3999999999999994E-5</v>
      </c>
      <c r="D128" s="12">
        <v>0</v>
      </c>
      <c r="E128" s="13"/>
      <c r="F128" s="12">
        <v>65</v>
      </c>
      <c r="G128" s="13">
        <v>6.1399999999999996E-4</v>
      </c>
      <c r="H128" s="12">
        <v>0</v>
      </c>
      <c r="I128" s="13"/>
      <c r="J128" s="12">
        <v>0</v>
      </c>
      <c r="K128" s="13"/>
      <c r="L128" s="12">
        <v>5</v>
      </c>
      <c r="M128" s="13">
        <v>4.6999999999999997E-5</v>
      </c>
      <c r="N128" s="12">
        <v>0</v>
      </c>
      <c r="O128" s="13"/>
      <c r="P128" s="12">
        <v>3</v>
      </c>
      <c r="Q128" s="13">
        <v>2.8E-5</v>
      </c>
      <c r="R128" s="12">
        <v>0</v>
      </c>
      <c r="S128" s="13"/>
      <c r="T128" s="12">
        <v>1</v>
      </c>
      <c r="U128" s="13">
        <v>9.0000000000000002E-6</v>
      </c>
      <c r="V128" s="12">
        <v>5</v>
      </c>
      <c r="W128" s="13">
        <v>4.6999999999999997E-5</v>
      </c>
      <c r="X128" s="12">
        <v>32</v>
      </c>
      <c r="Y128" s="13">
        <v>3.0200000000000002E-4</v>
      </c>
      <c r="Z128" s="12">
        <v>104828</v>
      </c>
      <c r="AA128" s="13">
        <v>0.98988699999999996</v>
      </c>
      <c r="AB128" s="12">
        <v>0</v>
      </c>
      <c r="AC128" s="13"/>
    </row>
    <row r="129" spans="1:29" ht="14.25" customHeight="1">
      <c r="A129" s="11" t="s">
        <v>142</v>
      </c>
      <c r="B129" s="12">
        <v>16</v>
      </c>
      <c r="C129" s="13">
        <v>1.6100000000000001E-4</v>
      </c>
      <c r="D129" s="12">
        <v>0</v>
      </c>
      <c r="E129" s="13"/>
      <c r="F129" s="12">
        <v>78</v>
      </c>
      <c r="G129" s="13">
        <v>7.8399999999999997E-4</v>
      </c>
      <c r="H129" s="12">
        <v>2</v>
      </c>
      <c r="I129" s="13">
        <v>2.0000000000000002E-5</v>
      </c>
      <c r="J129" s="12">
        <v>0</v>
      </c>
      <c r="K129" s="13"/>
      <c r="L129" s="12">
        <v>5</v>
      </c>
      <c r="M129" s="13">
        <v>5.0000000000000002E-5</v>
      </c>
      <c r="N129" s="12">
        <v>0</v>
      </c>
      <c r="O129" s="13"/>
      <c r="P129" s="12">
        <v>0</v>
      </c>
      <c r="Q129" s="13"/>
      <c r="R129" s="12">
        <v>0</v>
      </c>
      <c r="S129" s="13"/>
      <c r="T129" s="12">
        <v>0</v>
      </c>
      <c r="U129" s="13"/>
      <c r="V129" s="12">
        <v>4</v>
      </c>
      <c r="W129" s="13">
        <v>4.0000000000000003E-5</v>
      </c>
      <c r="X129" s="12">
        <v>8</v>
      </c>
      <c r="Y129" s="13">
        <v>8.0000000000000007E-5</v>
      </c>
      <c r="Z129" s="12">
        <v>98620</v>
      </c>
      <c r="AA129" s="13">
        <v>0.990977</v>
      </c>
      <c r="AB129" s="12">
        <v>0</v>
      </c>
      <c r="AC129" s="13"/>
    </row>
    <row r="130" spans="1:29" ht="14.25" customHeight="1">
      <c r="A130" s="11" t="s">
        <v>143</v>
      </c>
      <c r="B130" s="12">
        <v>2</v>
      </c>
      <c r="C130" s="13">
        <v>1.9000000000000001E-5</v>
      </c>
      <c r="D130" s="12">
        <v>0</v>
      </c>
      <c r="E130" s="13"/>
      <c r="F130" s="12">
        <v>18</v>
      </c>
      <c r="G130" s="13">
        <v>1.75E-4</v>
      </c>
      <c r="H130" s="12">
        <v>1</v>
      </c>
      <c r="I130" s="13">
        <v>1.0000000000000001E-5</v>
      </c>
      <c r="J130" s="12">
        <v>0</v>
      </c>
      <c r="K130" s="13"/>
      <c r="L130" s="12">
        <v>9</v>
      </c>
      <c r="M130" s="13">
        <v>8.7000000000000001E-5</v>
      </c>
      <c r="N130" s="12">
        <v>0</v>
      </c>
      <c r="O130" s="13"/>
      <c r="P130" s="12">
        <v>0</v>
      </c>
      <c r="Q130" s="13"/>
      <c r="R130" s="12">
        <v>0</v>
      </c>
      <c r="S130" s="13"/>
      <c r="T130" s="12">
        <v>1</v>
      </c>
      <c r="U130" s="13">
        <v>1.0000000000000001E-5</v>
      </c>
      <c r="V130" s="12">
        <v>1</v>
      </c>
      <c r="W130" s="13">
        <v>1.0000000000000001E-5</v>
      </c>
      <c r="X130" s="12">
        <v>0</v>
      </c>
      <c r="Y130" s="13"/>
      <c r="Z130" s="12">
        <v>102221</v>
      </c>
      <c r="AA130" s="13">
        <v>0.992842</v>
      </c>
      <c r="AB130" s="12">
        <v>0</v>
      </c>
      <c r="AC130" s="13"/>
    </row>
    <row r="131" spans="1:29" ht="14.25" customHeight="1">
      <c r="A131" s="11" t="s">
        <v>144</v>
      </c>
      <c r="B131" s="12">
        <v>1</v>
      </c>
      <c r="C131" s="13">
        <v>9.0000000000000002E-6</v>
      </c>
      <c r="D131" s="12">
        <v>0</v>
      </c>
      <c r="E131" s="13"/>
      <c r="F131" s="12">
        <v>13</v>
      </c>
      <c r="G131" s="13">
        <v>1.13E-4</v>
      </c>
      <c r="H131" s="12">
        <v>3</v>
      </c>
      <c r="I131" s="13">
        <v>2.5999999999999998E-5</v>
      </c>
      <c r="J131" s="12">
        <v>0</v>
      </c>
      <c r="K131" s="13"/>
      <c r="L131" s="12">
        <v>4</v>
      </c>
      <c r="M131" s="13">
        <v>3.4999999999999997E-5</v>
      </c>
      <c r="N131" s="12">
        <v>0</v>
      </c>
      <c r="O131" s="13"/>
      <c r="P131" s="12">
        <v>0</v>
      </c>
      <c r="Q131" s="13"/>
      <c r="R131" s="12">
        <v>0</v>
      </c>
      <c r="S131" s="13"/>
      <c r="T131" s="12">
        <v>0</v>
      </c>
      <c r="U131" s="13"/>
      <c r="V131" s="12">
        <v>0</v>
      </c>
      <c r="W131" s="13"/>
      <c r="X131" s="12">
        <v>0</v>
      </c>
      <c r="Y131" s="13"/>
      <c r="Z131" s="12">
        <v>113854</v>
      </c>
      <c r="AA131" s="13">
        <v>0.99361200000000005</v>
      </c>
      <c r="AB131" s="12">
        <v>0</v>
      </c>
      <c r="AC131" s="13"/>
    </row>
    <row r="132" spans="1:29" ht="14.25" customHeight="1">
      <c r="A132" s="11" t="s">
        <v>145</v>
      </c>
      <c r="B132" s="12">
        <v>2</v>
      </c>
      <c r="C132" s="13">
        <v>1.7E-5</v>
      </c>
      <c r="D132" s="12">
        <v>0</v>
      </c>
      <c r="E132" s="13"/>
      <c r="F132" s="12">
        <v>22</v>
      </c>
      <c r="G132" s="13">
        <v>1.8900000000000001E-4</v>
      </c>
      <c r="H132" s="12">
        <v>0</v>
      </c>
      <c r="I132" s="13"/>
      <c r="J132" s="12">
        <v>0</v>
      </c>
      <c r="K132" s="13"/>
      <c r="L132" s="12">
        <v>0</v>
      </c>
      <c r="M132" s="13"/>
      <c r="N132" s="12">
        <v>0</v>
      </c>
      <c r="O132" s="13"/>
      <c r="P132" s="12">
        <v>0</v>
      </c>
      <c r="Q132" s="13"/>
      <c r="R132" s="12">
        <v>0</v>
      </c>
      <c r="S132" s="13"/>
      <c r="T132" s="12">
        <v>0</v>
      </c>
      <c r="U132" s="13"/>
      <c r="V132" s="12">
        <v>0</v>
      </c>
      <c r="W132" s="13"/>
      <c r="X132" s="12">
        <v>0</v>
      </c>
      <c r="Y132" s="13"/>
      <c r="Z132" s="12">
        <v>115676</v>
      </c>
      <c r="AA132" s="13">
        <v>0.99449799999999999</v>
      </c>
      <c r="AB132" s="12">
        <v>0</v>
      </c>
      <c r="AC132" s="13"/>
    </row>
    <row r="133" spans="1:29" ht="14.25" customHeight="1">
      <c r="A133" s="11" t="s">
        <v>146</v>
      </c>
      <c r="B133" s="12">
        <v>2</v>
      </c>
      <c r="C133" s="13">
        <v>1.5999999999999999E-5</v>
      </c>
      <c r="D133" s="12">
        <v>0</v>
      </c>
      <c r="E133" s="13"/>
      <c r="F133" s="12">
        <v>46</v>
      </c>
      <c r="G133" s="13">
        <v>3.5799999999999997E-4</v>
      </c>
      <c r="H133" s="12">
        <v>0</v>
      </c>
      <c r="I133" s="13"/>
      <c r="J133" s="12">
        <v>0</v>
      </c>
      <c r="K133" s="13"/>
      <c r="L133" s="12">
        <v>4</v>
      </c>
      <c r="M133" s="13">
        <v>3.1000000000000001E-5</v>
      </c>
      <c r="N133" s="12">
        <v>0</v>
      </c>
      <c r="O133" s="13"/>
      <c r="P133" s="12">
        <v>0</v>
      </c>
      <c r="Q133" s="13"/>
      <c r="R133" s="12">
        <v>0</v>
      </c>
      <c r="S133" s="13"/>
      <c r="T133" s="12">
        <v>0</v>
      </c>
      <c r="U133" s="13"/>
      <c r="V133" s="12">
        <v>0</v>
      </c>
      <c r="W133" s="13"/>
      <c r="X133" s="12">
        <v>0</v>
      </c>
      <c r="Y133" s="13"/>
      <c r="Z133" s="12">
        <v>127820</v>
      </c>
      <c r="AA133" s="13">
        <v>0.99521199999999999</v>
      </c>
      <c r="AB133" s="12">
        <v>0</v>
      </c>
      <c r="AC133" s="13"/>
    </row>
    <row r="134" spans="1:29" ht="14.25" customHeight="1">
      <c r="A134" s="11" t="s">
        <v>147</v>
      </c>
      <c r="B134" s="12">
        <v>4</v>
      </c>
      <c r="C134" s="13">
        <v>2.9E-5</v>
      </c>
      <c r="D134" s="12">
        <v>0</v>
      </c>
      <c r="E134" s="13"/>
      <c r="F134" s="12">
        <v>28</v>
      </c>
      <c r="G134" s="13">
        <v>2.0000000000000001E-4</v>
      </c>
      <c r="H134" s="12">
        <v>0</v>
      </c>
      <c r="I134" s="13"/>
      <c r="J134" s="12">
        <v>0</v>
      </c>
      <c r="K134" s="13"/>
      <c r="L134" s="12">
        <v>2</v>
      </c>
      <c r="M134" s="13">
        <v>1.4E-5</v>
      </c>
      <c r="N134" s="12">
        <v>0</v>
      </c>
      <c r="O134" s="13"/>
      <c r="P134" s="12">
        <v>0</v>
      </c>
      <c r="Q134" s="13"/>
      <c r="R134" s="12">
        <v>0</v>
      </c>
      <c r="S134" s="13"/>
      <c r="T134" s="12">
        <v>1</v>
      </c>
      <c r="U134" s="13">
        <v>6.9999999999999999E-6</v>
      </c>
      <c r="V134" s="12">
        <v>0</v>
      </c>
      <c r="W134" s="13"/>
      <c r="X134" s="12">
        <v>0</v>
      </c>
      <c r="Y134" s="13"/>
      <c r="Z134" s="12">
        <v>139379</v>
      </c>
      <c r="AA134" s="13">
        <v>0.99549299999999996</v>
      </c>
      <c r="AB134" s="12">
        <v>0</v>
      </c>
      <c r="AC134" s="13"/>
    </row>
    <row r="135" spans="1:29" ht="14.25" customHeight="1">
      <c r="A135" s="11" t="s">
        <v>148</v>
      </c>
      <c r="B135" s="12">
        <v>7</v>
      </c>
      <c r="C135" s="13">
        <v>4.8999999999999998E-5</v>
      </c>
      <c r="D135" s="12">
        <v>0</v>
      </c>
      <c r="E135" s="13"/>
      <c r="F135" s="12">
        <v>11</v>
      </c>
      <c r="G135" s="13">
        <v>7.6000000000000004E-5</v>
      </c>
      <c r="H135" s="12">
        <v>0</v>
      </c>
      <c r="I135" s="13"/>
      <c r="J135" s="12">
        <v>0</v>
      </c>
      <c r="K135" s="13"/>
      <c r="L135" s="12">
        <v>0</v>
      </c>
      <c r="M135" s="13"/>
      <c r="N135" s="12">
        <v>0</v>
      </c>
      <c r="O135" s="13"/>
      <c r="P135" s="12">
        <v>0</v>
      </c>
      <c r="Q135" s="13"/>
      <c r="R135" s="12">
        <v>0</v>
      </c>
      <c r="S135" s="13"/>
      <c r="T135" s="12">
        <v>1</v>
      </c>
      <c r="U135" s="13">
        <v>6.9999999999999999E-6</v>
      </c>
      <c r="V135" s="12">
        <v>0</v>
      </c>
      <c r="W135" s="13"/>
      <c r="X135" s="12">
        <v>0</v>
      </c>
      <c r="Y135" s="13"/>
      <c r="Z135" s="12">
        <v>143453</v>
      </c>
      <c r="AA135" s="13">
        <v>0.99665099999999995</v>
      </c>
      <c r="AB135" s="12">
        <v>0</v>
      </c>
      <c r="AC135" s="13"/>
    </row>
    <row r="136" spans="1:29" ht="14.25" customHeight="1">
      <c r="A136" s="11" t="s">
        <v>149</v>
      </c>
      <c r="B136" s="12">
        <v>4</v>
      </c>
      <c r="C136" s="13">
        <v>2.6999999999999999E-5</v>
      </c>
      <c r="D136" s="12">
        <v>0</v>
      </c>
      <c r="E136" s="13"/>
      <c r="F136" s="12">
        <v>11</v>
      </c>
      <c r="G136" s="13">
        <v>7.4999999999999993E-5</v>
      </c>
      <c r="H136" s="12">
        <v>0</v>
      </c>
      <c r="I136" s="13"/>
      <c r="J136" s="12">
        <v>0</v>
      </c>
      <c r="K136" s="13"/>
      <c r="L136" s="12">
        <v>0</v>
      </c>
      <c r="M136" s="13"/>
      <c r="N136" s="12">
        <v>0</v>
      </c>
      <c r="O136" s="13"/>
      <c r="P136" s="12">
        <v>0</v>
      </c>
      <c r="Q136" s="13"/>
      <c r="R136" s="12">
        <v>0</v>
      </c>
      <c r="S136" s="13"/>
      <c r="T136" s="12">
        <v>8</v>
      </c>
      <c r="U136" s="13">
        <v>5.5000000000000002E-5</v>
      </c>
      <c r="V136" s="12">
        <v>0</v>
      </c>
      <c r="W136" s="13"/>
      <c r="X136" s="12">
        <v>0</v>
      </c>
      <c r="Y136" s="13"/>
      <c r="Z136" s="12">
        <v>145515</v>
      </c>
      <c r="AA136" s="13">
        <v>0.99662300000000004</v>
      </c>
      <c r="AB136" s="12">
        <v>0</v>
      </c>
      <c r="AC136" s="13"/>
    </row>
    <row r="137" spans="1:29" ht="14.25" customHeight="1">
      <c r="A137" s="11" t="s">
        <v>150</v>
      </c>
      <c r="B137" s="12">
        <v>2</v>
      </c>
      <c r="C137" s="13">
        <v>1.5E-5</v>
      </c>
      <c r="D137" s="12">
        <v>0</v>
      </c>
      <c r="E137" s="13"/>
      <c r="F137" s="12">
        <v>18</v>
      </c>
      <c r="G137" s="13">
        <v>1.3300000000000001E-4</v>
      </c>
      <c r="H137" s="12">
        <v>0</v>
      </c>
      <c r="I137" s="13"/>
      <c r="J137" s="12">
        <v>0</v>
      </c>
      <c r="K137" s="13"/>
      <c r="L137" s="12">
        <v>2</v>
      </c>
      <c r="M137" s="13">
        <v>1.5E-5</v>
      </c>
      <c r="N137" s="12">
        <v>0</v>
      </c>
      <c r="O137" s="13"/>
      <c r="P137" s="12">
        <v>0</v>
      </c>
      <c r="Q137" s="13"/>
      <c r="R137" s="12">
        <v>0</v>
      </c>
      <c r="S137" s="13"/>
      <c r="T137" s="12">
        <v>4</v>
      </c>
      <c r="U137" s="13">
        <v>3.0000000000000001E-5</v>
      </c>
      <c r="V137" s="12">
        <v>0</v>
      </c>
      <c r="W137" s="13"/>
      <c r="X137" s="12">
        <v>0</v>
      </c>
      <c r="Y137" s="13"/>
      <c r="Z137" s="12">
        <v>135058</v>
      </c>
      <c r="AA137" s="13">
        <v>0.99677499999999997</v>
      </c>
      <c r="AB137" s="12">
        <v>0</v>
      </c>
      <c r="AC137" s="13"/>
    </row>
    <row r="138" spans="1:29" ht="14.25" customHeight="1">
      <c r="A138" s="11" t="s">
        <v>151</v>
      </c>
      <c r="B138" s="12">
        <v>5</v>
      </c>
      <c r="C138" s="13">
        <v>4.1999999999999998E-5</v>
      </c>
      <c r="D138" s="12">
        <v>0</v>
      </c>
      <c r="E138" s="13"/>
      <c r="F138" s="12">
        <v>12</v>
      </c>
      <c r="G138" s="13">
        <v>1.02E-4</v>
      </c>
      <c r="H138" s="12">
        <v>0</v>
      </c>
      <c r="I138" s="13"/>
      <c r="J138" s="12">
        <v>0</v>
      </c>
      <c r="K138" s="13"/>
      <c r="L138" s="12">
        <v>0</v>
      </c>
      <c r="M138" s="13"/>
      <c r="N138" s="12">
        <v>0</v>
      </c>
      <c r="O138" s="13"/>
      <c r="P138" s="12">
        <v>0</v>
      </c>
      <c r="Q138" s="13"/>
      <c r="R138" s="12">
        <v>0</v>
      </c>
      <c r="S138" s="13"/>
      <c r="T138" s="12">
        <v>1</v>
      </c>
      <c r="U138" s="13">
        <v>7.9999999999999996E-6</v>
      </c>
      <c r="V138" s="12">
        <v>0</v>
      </c>
      <c r="W138" s="13"/>
      <c r="X138" s="12">
        <v>0</v>
      </c>
      <c r="Y138" s="13"/>
      <c r="Z138" s="12">
        <v>117358</v>
      </c>
      <c r="AA138" s="13">
        <v>0.99645099999999998</v>
      </c>
      <c r="AB138" s="12">
        <v>0</v>
      </c>
      <c r="AC138" s="13"/>
    </row>
    <row r="139" spans="1:29" ht="14.25" customHeight="1">
      <c r="A139" s="11" t="s">
        <v>152</v>
      </c>
      <c r="B139" s="12">
        <v>1</v>
      </c>
      <c r="C139" s="13">
        <v>9.0000000000000002E-6</v>
      </c>
      <c r="D139" s="12">
        <v>0</v>
      </c>
      <c r="E139" s="13"/>
      <c r="F139" s="12">
        <v>11</v>
      </c>
      <c r="G139" s="13">
        <v>1.02E-4</v>
      </c>
      <c r="H139" s="12">
        <v>0</v>
      </c>
      <c r="I139" s="13"/>
      <c r="J139" s="12">
        <v>0</v>
      </c>
      <c r="K139" s="13"/>
      <c r="L139" s="12">
        <v>0</v>
      </c>
      <c r="M139" s="13"/>
      <c r="N139" s="12">
        <v>0</v>
      </c>
      <c r="O139" s="13"/>
      <c r="P139" s="12">
        <v>0</v>
      </c>
      <c r="Q139" s="13"/>
      <c r="R139" s="12">
        <v>0</v>
      </c>
      <c r="S139" s="13"/>
      <c r="T139" s="12">
        <v>6</v>
      </c>
      <c r="U139" s="13">
        <v>5.5999999999999999E-5</v>
      </c>
      <c r="V139" s="12">
        <v>0</v>
      </c>
      <c r="W139" s="13"/>
      <c r="X139" s="12">
        <v>0</v>
      </c>
      <c r="Y139" s="13"/>
      <c r="Z139" s="12">
        <v>107591</v>
      </c>
      <c r="AA139" s="13">
        <v>0.99674799999999997</v>
      </c>
      <c r="AB139" s="12">
        <v>0</v>
      </c>
      <c r="AC139" s="13"/>
    </row>
    <row r="140" spans="1:29" ht="14.25" customHeight="1">
      <c r="A140" s="11" t="s">
        <v>153</v>
      </c>
      <c r="B140" s="12">
        <v>4</v>
      </c>
      <c r="C140" s="13">
        <v>4.1999999999999998E-5</v>
      </c>
      <c r="D140" s="12">
        <v>1</v>
      </c>
      <c r="E140" s="13">
        <v>1.0000000000000001E-5</v>
      </c>
      <c r="F140" s="12">
        <v>5</v>
      </c>
      <c r="G140" s="13">
        <v>5.1999999999999997E-5</v>
      </c>
      <c r="H140" s="12">
        <v>0</v>
      </c>
      <c r="I140" s="13"/>
      <c r="J140" s="12">
        <v>0</v>
      </c>
      <c r="K140" s="13"/>
      <c r="L140" s="12">
        <v>0</v>
      </c>
      <c r="M140" s="13"/>
      <c r="N140" s="12">
        <v>0</v>
      </c>
      <c r="O140" s="13"/>
      <c r="P140" s="12">
        <v>0</v>
      </c>
      <c r="Q140" s="13"/>
      <c r="R140" s="12">
        <v>0</v>
      </c>
      <c r="S140" s="13"/>
      <c r="T140" s="12">
        <v>0</v>
      </c>
      <c r="U140" s="13"/>
      <c r="V140" s="12">
        <v>0</v>
      </c>
      <c r="W140" s="13"/>
      <c r="X140" s="12">
        <v>0</v>
      </c>
      <c r="Y140" s="13"/>
      <c r="Z140" s="12">
        <v>96090</v>
      </c>
      <c r="AA140" s="13">
        <v>0.99693900000000002</v>
      </c>
      <c r="AB140" s="12">
        <v>0</v>
      </c>
      <c r="AC140" s="13"/>
    </row>
    <row r="141" spans="1:29" ht="14.25" customHeight="1">
      <c r="A141" s="11" t="s">
        <v>154</v>
      </c>
      <c r="B141" s="12">
        <v>4</v>
      </c>
      <c r="C141" s="13">
        <v>4.3000000000000002E-5</v>
      </c>
      <c r="D141" s="12">
        <v>0</v>
      </c>
      <c r="E141" s="13"/>
      <c r="F141" s="12">
        <v>6</v>
      </c>
      <c r="G141" s="13">
        <v>6.3999999999999997E-5</v>
      </c>
      <c r="H141" s="12">
        <v>0</v>
      </c>
      <c r="I141" s="13"/>
      <c r="J141" s="12">
        <v>0</v>
      </c>
      <c r="K141" s="13"/>
      <c r="L141" s="12">
        <v>1</v>
      </c>
      <c r="M141" s="13">
        <v>1.1E-5</v>
      </c>
      <c r="N141" s="12">
        <v>0</v>
      </c>
      <c r="O141" s="13"/>
      <c r="P141" s="12">
        <v>0</v>
      </c>
      <c r="Q141" s="13"/>
      <c r="R141" s="12">
        <v>0</v>
      </c>
      <c r="S141" s="13"/>
      <c r="T141" s="12">
        <v>0</v>
      </c>
      <c r="U141" s="13"/>
      <c r="V141" s="12">
        <v>0</v>
      </c>
      <c r="W141" s="13"/>
      <c r="X141" s="12">
        <v>0</v>
      </c>
      <c r="Y141" s="13"/>
      <c r="Z141" s="12">
        <v>92957</v>
      </c>
      <c r="AA141" s="13">
        <v>0.99673999999999996</v>
      </c>
      <c r="AB141" s="12">
        <v>0</v>
      </c>
      <c r="AC141" s="13"/>
    </row>
    <row r="142" spans="1:29" ht="14.25" customHeight="1">
      <c r="A142" s="11" t="s">
        <v>155</v>
      </c>
      <c r="B142" s="12">
        <v>0</v>
      </c>
      <c r="C142" s="13"/>
      <c r="D142" s="12">
        <v>0</v>
      </c>
      <c r="E142" s="13"/>
      <c r="F142" s="12">
        <v>4</v>
      </c>
      <c r="G142" s="13">
        <v>4.6E-5</v>
      </c>
      <c r="H142" s="12">
        <v>1</v>
      </c>
      <c r="I142" s="13">
        <v>1.2E-5</v>
      </c>
      <c r="J142" s="12">
        <v>0</v>
      </c>
      <c r="K142" s="13"/>
      <c r="L142" s="12">
        <v>0</v>
      </c>
      <c r="M142" s="13"/>
      <c r="N142" s="12">
        <v>0</v>
      </c>
      <c r="O142" s="13"/>
      <c r="P142" s="12">
        <v>0</v>
      </c>
      <c r="Q142" s="13"/>
      <c r="R142" s="12">
        <v>0</v>
      </c>
      <c r="S142" s="13"/>
      <c r="T142" s="12">
        <v>1</v>
      </c>
      <c r="U142" s="13">
        <v>1.2E-5</v>
      </c>
      <c r="V142" s="12">
        <v>0</v>
      </c>
      <c r="W142" s="13"/>
      <c r="X142" s="12">
        <v>0</v>
      </c>
      <c r="Y142" s="13"/>
      <c r="Z142" s="12">
        <v>86625</v>
      </c>
      <c r="AA142" s="13">
        <v>0.99683500000000003</v>
      </c>
      <c r="AB142" s="12">
        <v>1</v>
      </c>
      <c r="AC142" s="13">
        <v>1.2E-5</v>
      </c>
    </row>
    <row r="143" spans="1:29" ht="14.25" customHeight="1">
      <c r="A143" s="11" t="s">
        <v>156</v>
      </c>
      <c r="B143" s="12">
        <v>0</v>
      </c>
      <c r="C143" s="13"/>
      <c r="D143" s="12">
        <v>0</v>
      </c>
      <c r="E143" s="13"/>
      <c r="F143" s="12">
        <v>7</v>
      </c>
      <c r="G143" s="13">
        <v>8.7000000000000001E-5</v>
      </c>
      <c r="H143" s="12">
        <v>1</v>
      </c>
      <c r="I143" s="13">
        <v>1.2E-5</v>
      </c>
      <c r="J143" s="12">
        <v>0</v>
      </c>
      <c r="K143" s="13"/>
      <c r="L143" s="12">
        <v>0</v>
      </c>
      <c r="M143" s="13"/>
      <c r="N143" s="12">
        <v>0</v>
      </c>
      <c r="O143" s="13"/>
      <c r="P143" s="12">
        <v>0</v>
      </c>
      <c r="Q143" s="13"/>
      <c r="R143" s="12">
        <v>0</v>
      </c>
      <c r="S143" s="13"/>
      <c r="T143" s="12">
        <v>0</v>
      </c>
      <c r="U143" s="13"/>
      <c r="V143" s="12">
        <v>0</v>
      </c>
      <c r="W143" s="13"/>
      <c r="X143" s="12">
        <v>0</v>
      </c>
      <c r="Y143" s="13"/>
      <c r="Z143" s="12">
        <v>80570</v>
      </c>
      <c r="AA143" s="13">
        <v>0.99636400000000003</v>
      </c>
      <c r="AB143" s="12">
        <v>1</v>
      </c>
      <c r="AC143" s="13">
        <v>1.2E-5</v>
      </c>
    </row>
    <row r="144" spans="1:29" ht="14.25" customHeight="1">
      <c r="A144" s="11" t="s">
        <v>157</v>
      </c>
      <c r="B144" s="12">
        <v>1</v>
      </c>
      <c r="C144" s="13">
        <v>1.2999999999999999E-5</v>
      </c>
      <c r="D144" s="12">
        <v>1</v>
      </c>
      <c r="E144" s="13">
        <v>1.2999999999999999E-5</v>
      </c>
      <c r="F144" s="12">
        <v>7</v>
      </c>
      <c r="G144" s="13">
        <v>9.2E-5</v>
      </c>
      <c r="H144" s="12">
        <v>2</v>
      </c>
      <c r="I144" s="13">
        <v>2.5999999999999998E-5</v>
      </c>
      <c r="J144" s="12">
        <v>0</v>
      </c>
      <c r="K144" s="13"/>
      <c r="L144" s="12">
        <v>0</v>
      </c>
      <c r="M144" s="13"/>
      <c r="N144" s="12">
        <v>0</v>
      </c>
      <c r="O144" s="13"/>
      <c r="P144" s="12">
        <v>0</v>
      </c>
      <c r="Q144" s="13"/>
      <c r="R144" s="12">
        <v>0</v>
      </c>
      <c r="S144" s="13"/>
      <c r="T144" s="12">
        <v>0</v>
      </c>
      <c r="U144" s="13"/>
      <c r="V144" s="12">
        <v>0</v>
      </c>
      <c r="W144" s="13"/>
      <c r="X144" s="12">
        <v>0</v>
      </c>
      <c r="Y144" s="13"/>
      <c r="Z144" s="12">
        <v>75874</v>
      </c>
      <c r="AA144" s="13">
        <v>0.99512100000000003</v>
      </c>
      <c r="AB144" s="12">
        <v>0</v>
      </c>
      <c r="AC144" s="13"/>
    </row>
    <row r="145" spans="1:29" ht="14.25" customHeight="1">
      <c r="A145" s="11" t="s">
        <v>158</v>
      </c>
      <c r="B145" s="12">
        <v>0</v>
      </c>
      <c r="C145" s="13"/>
      <c r="D145" s="12">
        <v>0</v>
      </c>
      <c r="E145" s="13"/>
      <c r="F145" s="12">
        <v>9</v>
      </c>
      <c r="G145" s="13">
        <v>1.12E-4</v>
      </c>
      <c r="H145" s="12">
        <v>4</v>
      </c>
      <c r="I145" s="13">
        <v>5.0000000000000002E-5</v>
      </c>
      <c r="J145" s="12">
        <v>0</v>
      </c>
      <c r="K145" s="13"/>
      <c r="L145" s="12">
        <v>0</v>
      </c>
      <c r="M145" s="13"/>
      <c r="N145" s="12">
        <v>0</v>
      </c>
      <c r="O145" s="13"/>
      <c r="P145" s="12">
        <v>0</v>
      </c>
      <c r="Q145" s="13"/>
      <c r="R145" s="12">
        <v>0</v>
      </c>
      <c r="S145" s="13"/>
      <c r="T145" s="12">
        <v>0</v>
      </c>
      <c r="U145" s="13"/>
      <c r="V145" s="12">
        <v>0</v>
      </c>
      <c r="W145" s="13"/>
      <c r="X145" s="12">
        <v>0</v>
      </c>
      <c r="Y145" s="13"/>
      <c r="Z145" s="12">
        <v>79587</v>
      </c>
      <c r="AA145" s="13">
        <v>0.99394300000000002</v>
      </c>
      <c r="AB145" s="12">
        <v>0</v>
      </c>
      <c r="AC145" s="13"/>
    </row>
    <row r="146" spans="1:29" ht="14.25" customHeight="1">
      <c r="A146" s="11" t="s">
        <v>159</v>
      </c>
      <c r="B146" s="12">
        <v>2</v>
      </c>
      <c r="C146" s="13">
        <v>2.5999999999999998E-5</v>
      </c>
      <c r="D146" s="12">
        <v>0</v>
      </c>
      <c r="E146" s="13"/>
      <c r="F146" s="12">
        <v>8</v>
      </c>
      <c r="G146" s="13">
        <v>1.05E-4</v>
      </c>
      <c r="H146" s="12">
        <v>0</v>
      </c>
      <c r="I146" s="13"/>
      <c r="J146" s="12">
        <v>0</v>
      </c>
      <c r="K146" s="13"/>
      <c r="L146" s="12">
        <v>0</v>
      </c>
      <c r="M146" s="13"/>
      <c r="N146" s="12">
        <v>0</v>
      </c>
      <c r="O146" s="13"/>
      <c r="P146" s="12">
        <v>0</v>
      </c>
      <c r="Q146" s="13"/>
      <c r="R146" s="12">
        <v>0</v>
      </c>
      <c r="S146" s="13"/>
      <c r="T146" s="12">
        <v>0</v>
      </c>
      <c r="U146" s="13"/>
      <c r="V146" s="12">
        <v>0</v>
      </c>
      <c r="W146" s="13"/>
      <c r="X146" s="12">
        <v>0</v>
      </c>
      <c r="Y146" s="13"/>
      <c r="Z146" s="12">
        <v>75851</v>
      </c>
      <c r="AA146" s="13">
        <v>0.99146400000000001</v>
      </c>
      <c r="AB146" s="12">
        <v>0</v>
      </c>
      <c r="AC146" s="13"/>
    </row>
    <row r="147" spans="1:29" ht="14.25" customHeight="1">
      <c r="A147" s="11" t="s">
        <v>160</v>
      </c>
      <c r="B147" s="12">
        <v>2</v>
      </c>
      <c r="C147" s="13">
        <v>2.8E-5</v>
      </c>
      <c r="D147" s="12">
        <v>1</v>
      </c>
      <c r="E147" s="13">
        <v>1.4E-5</v>
      </c>
      <c r="F147" s="12">
        <v>18</v>
      </c>
      <c r="G147" s="13">
        <v>2.5099999999999998E-4</v>
      </c>
      <c r="H147" s="12">
        <v>2</v>
      </c>
      <c r="I147" s="13">
        <v>2.8E-5</v>
      </c>
      <c r="J147" s="12">
        <v>0</v>
      </c>
      <c r="K147" s="13"/>
      <c r="L147" s="12">
        <v>0</v>
      </c>
      <c r="M147" s="13"/>
      <c r="N147" s="12">
        <v>0</v>
      </c>
      <c r="O147" s="13"/>
      <c r="P147" s="12">
        <v>0</v>
      </c>
      <c r="Q147" s="13"/>
      <c r="R147" s="12">
        <v>0</v>
      </c>
      <c r="S147" s="13"/>
      <c r="T147" s="12">
        <v>1</v>
      </c>
      <c r="U147" s="13">
        <v>1.4E-5</v>
      </c>
      <c r="V147" s="12">
        <v>0</v>
      </c>
      <c r="W147" s="13"/>
      <c r="X147" s="12">
        <v>0</v>
      </c>
      <c r="Y147" s="13"/>
      <c r="Z147" s="12">
        <v>40612</v>
      </c>
      <c r="AA147" s="13">
        <v>0.98947499999999999</v>
      </c>
      <c r="AB147" s="12">
        <v>0</v>
      </c>
      <c r="AC147" s="13"/>
    </row>
    <row r="148" spans="1:29" ht="14.25" customHeight="1">
      <c r="A148" s="11" t="s">
        <v>161</v>
      </c>
      <c r="B148" s="12">
        <v>13</v>
      </c>
      <c r="C148" s="13">
        <v>1.7899999999999999E-4</v>
      </c>
      <c r="D148" s="12">
        <v>0</v>
      </c>
      <c r="E148" s="13"/>
      <c r="F148" s="12">
        <v>3</v>
      </c>
      <c r="G148" s="13">
        <v>4.1E-5</v>
      </c>
      <c r="H148" s="12">
        <v>1</v>
      </c>
      <c r="I148" s="13">
        <v>1.4E-5</v>
      </c>
      <c r="J148" s="12">
        <v>0</v>
      </c>
      <c r="K148" s="13"/>
      <c r="L148" s="12">
        <v>0</v>
      </c>
      <c r="M148" s="13"/>
      <c r="N148" s="12">
        <v>0</v>
      </c>
      <c r="O148" s="13"/>
      <c r="P148" s="12">
        <v>0</v>
      </c>
      <c r="Q148" s="13"/>
      <c r="R148" s="12">
        <v>0</v>
      </c>
      <c r="S148" s="13"/>
      <c r="T148" s="12">
        <v>0</v>
      </c>
      <c r="U148" s="13"/>
      <c r="V148" s="12">
        <v>0</v>
      </c>
      <c r="W148" s="13"/>
      <c r="X148" s="12">
        <v>0</v>
      </c>
      <c r="Y148" s="13"/>
      <c r="AA148" s="13"/>
      <c r="AB148" s="12">
        <v>0</v>
      </c>
      <c r="AC148" s="13"/>
    </row>
    <row r="149" spans="1:29" ht="14.25" customHeight="1">
      <c r="A149" s="11" t="s">
        <v>162</v>
      </c>
      <c r="B149" s="12">
        <v>1</v>
      </c>
      <c r="C149" s="13">
        <v>1.2999999999999999E-5</v>
      </c>
      <c r="D149" s="12">
        <v>0</v>
      </c>
      <c r="E149" s="13"/>
      <c r="F149" s="12">
        <v>5</v>
      </c>
      <c r="G149" s="13">
        <v>6.7000000000000002E-5</v>
      </c>
      <c r="H149" s="12">
        <v>0</v>
      </c>
      <c r="I149" s="13"/>
      <c r="J149" s="12">
        <v>0</v>
      </c>
      <c r="K149" s="13"/>
      <c r="L149" s="12">
        <v>0</v>
      </c>
      <c r="M149" s="13"/>
      <c r="N149" s="12">
        <v>1</v>
      </c>
      <c r="O149" s="13">
        <v>1.2999999999999999E-5</v>
      </c>
      <c r="P149" s="12">
        <v>1</v>
      </c>
      <c r="Q149" s="13">
        <v>1.2999999999999999E-5</v>
      </c>
      <c r="R149" s="12">
        <v>0</v>
      </c>
      <c r="S149" s="13"/>
      <c r="T149" s="12">
        <v>1</v>
      </c>
      <c r="U149" s="13">
        <v>1.2999999999999999E-5</v>
      </c>
      <c r="V149" s="12">
        <v>0</v>
      </c>
      <c r="W149" s="13"/>
      <c r="X149" s="12">
        <v>0</v>
      </c>
      <c r="Y149" s="13"/>
      <c r="AA149" s="13"/>
      <c r="AB149" s="12">
        <v>0</v>
      </c>
      <c r="AC149" s="13"/>
    </row>
    <row r="150" spans="1:29" ht="14.25" customHeight="1">
      <c r="A150" s="11" t="s">
        <v>163</v>
      </c>
      <c r="B150" s="12">
        <v>0</v>
      </c>
      <c r="C150" s="13"/>
      <c r="D150" s="12">
        <v>0</v>
      </c>
      <c r="E150" s="13"/>
      <c r="F150" s="12">
        <v>6</v>
      </c>
      <c r="G150" s="13">
        <v>8.7000000000000001E-5</v>
      </c>
      <c r="H150" s="12">
        <v>0</v>
      </c>
      <c r="I150" s="13"/>
      <c r="J150" s="12">
        <v>0</v>
      </c>
      <c r="K150" s="13"/>
      <c r="L150" s="12">
        <v>0</v>
      </c>
      <c r="M150" s="13"/>
      <c r="N150" s="12">
        <v>2</v>
      </c>
      <c r="O150" s="13">
        <v>2.9E-5</v>
      </c>
      <c r="P150" s="12">
        <v>0</v>
      </c>
      <c r="Q150" s="13"/>
      <c r="R150" s="12">
        <v>0</v>
      </c>
      <c r="S150" s="13"/>
      <c r="T150" s="12">
        <v>46</v>
      </c>
      <c r="U150" s="13">
        <v>6.6799999999999997E-4</v>
      </c>
      <c r="V150" s="12">
        <v>0</v>
      </c>
      <c r="W150" s="13"/>
      <c r="X150" s="12">
        <v>0</v>
      </c>
      <c r="Y150" s="13"/>
      <c r="AA150" s="13"/>
      <c r="AB150" s="12">
        <v>23</v>
      </c>
      <c r="AC150" s="13">
        <v>3.3399999999999999E-4</v>
      </c>
    </row>
    <row r="151" spans="1:29" ht="14.25" customHeight="1">
      <c r="A151" s="11" t="s">
        <v>164</v>
      </c>
      <c r="B151" s="12">
        <v>0</v>
      </c>
      <c r="C151" s="13"/>
      <c r="D151" s="12">
        <v>0</v>
      </c>
      <c r="E151" s="13"/>
      <c r="F151" s="12">
        <v>2</v>
      </c>
      <c r="G151" s="13">
        <v>2.9E-5</v>
      </c>
      <c r="H151" s="12">
        <v>0</v>
      </c>
      <c r="I151" s="13"/>
      <c r="J151" s="12">
        <v>0</v>
      </c>
      <c r="K151" s="13"/>
      <c r="L151" s="12">
        <v>0</v>
      </c>
      <c r="M151" s="13"/>
      <c r="N151" s="12">
        <v>0</v>
      </c>
      <c r="O151" s="13"/>
      <c r="P151" s="12">
        <v>0</v>
      </c>
      <c r="Q151" s="13"/>
      <c r="R151" s="12">
        <v>0</v>
      </c>
      <c r="S151" s="13"/>
      <c r="T151" s="12">
        <v>7</v>
      </c>
      <c r="U151" s="13">
        <v>1.01E-4</v>
      </c>
      <c r="V151" s="12">
        <v>0</v>
      </c>
      <c r="W151" s="13"/>
      <c r="X151" s="12">
        <v>0</v>
      </c>
      <c r="Y151" s="13"/>
      <c r="AA151" s="13"/>
      <c r="AB151" s="12">
        <v>0</v>
      </c>
      <c r="AC151" s="13"/>
    </row>
    <row r="152" spans="1:29" ht="14.25" customHeight="1">
      <c r="A152" s="11" t="s">
        <v>165</v>
      </c>
      <c r="B152" s="12">
        <v>0</v>
      </c>
      <c r="C152" s="13"/>
      <c r="D152" s="12">
        <v>0</v>
      </c>
      <c r="E152" s="13"/>
      <c r="F152" s="12">
        <v>3</v>
      </c>
      <c r="G152" s="13">
        <v>4.6E-5</v>
      </c>
      <c r="H152" s="12">
        <v>0</v>
      </c>
      <c r="I152" s="13"/>
      <c r="J152" s="12">
        <v>0</v>
      </c>
      <c r="K152" s="13"/>
      <c r="L152" s="12">
        <v>0</v>
      </c>
      <c r="M152" s="13"/>
      <c r="N152" s="12">
        <v>0</v>
      </c>
      <c r="O152" s="13"/>
      <c r="P152" s="12">
        <v>0</v>
      </c>
      <c r="Q152" s="13"/>
      <c r="R152" s="12">
        <v>0</v>
      </c>
      <c r="S152" s="13"/>
      <c r="T152" s="12">
        <v>16</v>
      </c>
      <c r="U152" s="13">
        <v>2.4499999999999999E-4</v>
      </c>
      <c r="V152" s="12">
        <v>0</v>
      </c>
      <c r="W152" s="13"/>
      <c r="X152" s="12">
        <v>0</v>
      </c>
      <c r="Y152" s="13"/>
      <c r="AA152" s="13"/>
      <c r="AB152" s="12">
        <v>0</v>
      </c>
      <c r="AC152" s="13"/>
    </row>
    <row r="153" spans="1:29" ht="14.25" customHeight="1">
      <c r="A153" s="11" t="s">
        <v>166</v>
      </c>
      <c r="B153" s="12">
        <v>0</v>
      </c>
      <c r="C153" s="13"/>
      <c r="D153" s="12">
        <v>0</v>
      </c>
      <c r="E153" s="13"/>
      <c r="F153" s="12">
        <v>8</v>
      </c>
      <c r="G153" s="13">
        <v>1.11E-4</v>
      </c>
      <c r="H153" s="12">
        <v>0</v>
      </c>
      <c r="I153" s="13"/>
      <c r="J153" s="12">
        <v>0</v>
      </c>
      <c r="K153" s="13"/>
      <c r="L153" s="12">
        <v>0</v>
      </c>
      <c r="M153" s="13"/>
      <c r="N153" s="12">
        <v>0</v>
      </c>
      <c r="O153" s="13"/>
      <c r="P153" s="12">
        <v>0</v>
      </c>
      <c r="Q153" s="13"/>
      <c r="R153" s="12">
        <v>0</v>
      </c>
      <c r="S153" s="13"/>
      <c r="T153" s="12">
        <v>35</v>
      </c>
      <c r="U153" s="13">
        <v>4.84E-4</v>
      </c>
      <c r="V153" s="12">
        <v>0</v>
      </c>
      <c r="W153" s="13"/>
      <c r="X153" s="12">
        <v>0</v>
      </c>
      <c r="Y153" s="13"/>
      <c r="AA153" s="13"/>
      <c r="AB153" s="12">
        <v>0</v>
      </c>
      <c r="AC153" s="13"/>
    </row>
    <row r="154" spans="1:29" ht="14.25" customHeight="1">
      <c r="A154" s="11" t="s">
        <v>167</v>
      </c>
      <c r="B154" s="12">
        <v>0</v>
      </c>
      <c r="C154" s="13"/>
      <c r="D154" s="12">
        <v>0</v>
      </c>
      <c r="E154" s="13"/>
      <c r="F154" s="12">
        <v>3</v>
      </c>
      <c r="G154" s="13">
        <v>4.1999999999999998E-5</v>
      </c>
      <c r="H154" s="12">
        <v>0</v>
      </c>
      <c r="I154" s="13"/>
      <c r="J154" s="12">
        <v>0</v>
      </c>
      <c r="K154" s="13"/>
      <c r="L154" s="12">
        <v>0</v>
      </c>
      <c r="M154" s="13"/>
      <c r="N154" s="12">
        <v>0</v>
      </c>
      <c r="O154" s="13"/>
      <c r="P154" s="12">
        <v>0</v>
      </c>
      <c r="Q154" s="13"/>
      <c r="R154" s="12">
        <v>0</v>
      </c>
      <c r="S154" s="13"/>
      <c r="T154" s="12">
        <v>103</v>
      </c>
      <c r="U154" s="13">
        <v>1.4350000000000001E-3</v>
      </c>
      <c r="V154" s="12">
        <v>2</v>
      </c>
      <c r="W154" s="13">
        <v>2.8E-5</v>
      </c>
      <c r="X154" s="12">
        <v>0</v>
      </c>
      <c r="Y154" s="13"/>
      <c r="AA154" s="13"/>
      <c r="AB154" s="12">
        <v>0</v>
      </c>
      <c r="AC154" s="13"/>
    </row>
    <row r="155" spans="1:29" ht="14.25" customHeight="1">
      <c r="A155" s="11" t="s">
        <v>168</v>
      </c>
      <c r="B155" s="12">
        <v>1</v>
      </c>
      <c r="C155" s="13">
        <v>1.2999999999999999E-5</v>
      </c>
      <c r="D155" s="12">
        <v>0</v>
      </c>
      <c r="E155" s="13"/>
      <c r="F155" s="12">
        <v>3</v>
      </c>
      <c r="G155" s="13">
        <v>3.8999999999999999E-5</v>
      </c>
      <c r="H155" s="12">
        <v>0</v>
      </c>
      <c r="I155" s="13"/>
      <c r="J155" s="12">
        <v>0</v>
      </c>
      <c r="K155" s="13"/>
      <c r="L155" s="12">
        <v>0</v>
      </c>
      <c r="M155" s="13"/>
      <c r="N155" s="12">
        <v>1</v>
      </c>
      <c r="O155" s="13">
        <v>1.2999999999999999E-5</v>
      </c>
      <c r="P155" s="12">
        <v>0</v>
      </c>
      <c r="Q155" s="13"/>
      <c r="R155" s="12">
        <v>0</v>
      </c>
      <c r="S155" s="13"/>
      <c r="T155" s="12">
        <v>232</v>
      </c>
      <c r="U155" s="13">
        <v>3.0349999999999999E-3</v>
      </c>
      <c r="V155" s="12">
        <v>0</v>
      </c>
      <c r="W155" s="13"/>
      <c r="X155" s="12">
        <v>0</v>
      </c>
      <c r="Y155" s="13"/>
      <c r="AA155" s="13"/>
      <c r="AB155" s="12">
        <v>0</v>
      </c>
      <c r="AC155" s="13"/>
    </row>
    <row r="156" spans="1:29" ht="14.25" customHeight="1">
      <c r="A156" s="11" t="s">
        <v>169</v>
      </c>
      <c r="B156" s="12">
        <v>0</v>
      </c>
      <c r="C156" s="13"/>
      <c r="D156" s="12">
        <v>0</v>
      </c>
      <c r="E156" s="13"/>
      <c r="F156" s="12">
        <v>4</v>
      </c>
      <c r="G156" s="13">
        <v>4.6E-5</v>
      </c>
      <c r="H156" s="12">
        <v>0</v>
      </c>
      <c r="I156" s="13"/>
      <c r="J156" s="12">
        <v>0</v>
      </c>
      <c r="K156" s="13"/>
      <c r="L156" s="12">
        <v>0</v>
      </c>
      <c r="M156" s="13"/>
      <c r="N156" s="12">
        <v>0</v>
      </c>
      <c r="O156" s="13"/>
      <c r="P156" s="12">
        <v>0</v>
      </c>
      <c r="Q156" s="13"/>
      <c r="R156" s="12">
        <v>0</v>
      </c>
      <c r="S156" s="13"/>
      <c r="T156" s="12">
        <v>681</v>
      </c>
      <c r="U156" s="13">
        <v>7.7790000000000003E-3</v>
      </c>
      <c r="V156" s="12">
        <v>0</v>
      </c>
      <c r="W156" s="13"/>
      <c r="X156" s="12">
        <v>0</v>
      </c>
      <c r="Y156" s="13"/>
      <c r="AA156" s="13"/>
      <c r="AB156" s="12">
        <v>0</v>
      </c>
      <c r="AC156" s="13"/>
    </row>
    <row r="157" spans="1:29" ht="14.25" customHeight="1">
      <c r="A157" s="11" t="s">
        <v>170</v>
      </c>
      <c r="B157" s="12">
        <v>0</v>
      </c>
      <c r="C157" s="13"/>
      <c r="D157" s="12">
        <v>0</v>
      </c>
      <c r="E157" s="13"/>
      <c r="F157" s="12">
        <v>7</v>
      </c>
      <c r="G157" s="13">
        <v>7.8999999999999996E-5</v>
      </c>
      <c r="H157" s="12">
        <v>0</v>
      </c>
      <c r="I157" s="13"/>
      <c r="J157" s="12">
        <v>0</v>
      </c>
      <c r="K157" s="13"/>
      <c r="L157" s="12">
        <v>0</v>
      </c>
      <c r="M157" s="13"/>
      <c r="N157" s="12">
        <v>0</v>
      </c>
      <c r="O157" s="13"/>
      <c r="P157" s="12">
        <v>0</v>
      </c>
      <c r="Q157" s="13"/>
      <c r="R157" s="12">
        <v>0</v>
      </c>
      <c r="S157" s="13"/>
      <c r="T157" s="12">
        <v>1216</v>
      </c>
      <c r="U157" s="13">
        <v>1.3795E-2</v>
      </c>
      <c r="V157" s="12">
        <v>0</v>
      </c>
      <c r="W157" s="13"/>
      <c r="X157" s="12">
        <v>0</v>
      </c>
      <c r="Y157" s="13"/>
      <c r="AA157" s="13"/>
      <c r="AB157" s="12">
        <v>1</v>
      </c>
      <c r="AC157" s="13">
        <v>1.1E-5</v>
      </c>
    </row>
    <row r="158" spans="1:29" ht="14.25" customHeight="1">
      <c r="A158" s="11" t="s">
        <v>171</v>
      </c>
      <c r="B158" s="12">
        <v>37</v>
      </c>
      <c r="C158" s="13">
        <v>4.17E-4</v>
      </c>
      <c r="D158" s="12">
        <v>0</v>
      </c>
      <c r="E158" s="13"/>
      <c r="F158" s="12">
        <v>336</v>
      </c>
      <c r="G158" s="13">
        <v>3.787E-3</v>
      </c>
      <c r="H158" s="12">
        <v>0</v>
      </c>
      <c r="I158" s="13"/>
      <c r="J158" s="12">
        <v>1</v>
      </c>
      <c r="K158" s="13">
        <v>1.1E-5</v>
      </c>
      <c r="L158" s="12">
        <v>0</v>
      </c>
      <c r="M158" s="13"/>
      <c r="N158" s="12">
        <v>1</v>
      </c>
      <c r="O158" s="13">
        <v>1.1E-5</v>
      </c>
      <c r="P158" s="12">
        <v>0</v>
      </c>
      <c r="Q158" s="13"/>
      <c r="R158" s="12">
        <v>0</v>
      </c>
      <c r="S158" s="13"/>
      <c r="T158" s="12">
        <v>1945</v>
      </c>
      <c r="U158" s="13">
        <v>2.1919999999999999E-2</v>
      </c>
      <c r="V158" s="12">
        <v>0</v>
      </c>
      <c r="W158" s="13"/>
      <c r="X158" s="12">
        <v>0</v>
      </c>
      <c r="Y158" s="13"/>
      <c r="AA158" s="13"/>
      <c r="AB158" s="12">
        <v>0</v>
      </c>
      <c r="AC158" s="13"/>
    </row>
    <row r="159" spans="1:29" ht="14.25" customHeight="1">
      <c r="A159" s="11" t="s">
        <v>172</v>
      </c>
      <c r="B159" s="12">
        <v>0</v>
      </c>
      <c r="C159" s="13"/>
      <c r="D159" s="12">
        <v>0</v>
      </c>
      <c r="E159" s="13"/>
      <c r="F159" s="12">
        <v>4</v>
      </c>
      <c r="G159" s="13">
        <v>5.1999999999999997E-5</v>
      </c>
      <c r="H159" s="12">
        <v>0</v>
      </c>
      <c r="I159" s="13"/>
      <c r="J159" s="12">
        <v>0</v>
      </c>
      <c r="K159" s="13"/>
      <c r="L159" s="12">
        <v>0</v>
      </c>
      <c r="M159" s="13"/>
      <c r="N159" s="12">
        <v>0</v>
      </c>
      <c r="O159" s="13"/>
      <c r="P159" s="12">
        <v>0</v>
      </c>
      <c r="Q159" s="13"/>
      <c r="R159" s="12">
        <v>0</v>
      </c>
      <c r="S159" s="13"/>
      <c r="T159" s="12">
        <v>2390</v>
      </c>
      <c r="U159" s="13">
        <v>3.0915999999999999E-2</v>
      </c>
      <c r="V159" s="12">
        <v>0</v>
      </c>
      <c r="W159" s="13"/>
      <c r="X159" s="12">
        <v>0</v>
      </c>
      <c r="Y159" s="13"/>
      <c r="AA159" s="13"/>
      <c r="AB159" s="12">
        <v>0</v>
      </c>
      <c r="AC159" s="13"/>
    </row>
    <row r="160" spans="1:29" ht="14.25" customHeight="1">
      <c r="A160" s="11" t="s">
        <v>173</v>
      </c>
      <c r="B160" s="12">
        <v>0</v>
      </c>
      <c r="C160" s="13"/>
      <c r="D160" s="12">
        <v>0</v>
      </c>
      <c r="E160" s="13"/>
      <c r="F160" s="12">
        <v>7</v>
      </c>
      <c r="G160" s="13">
        <v>9.7E-5</v>
      </c>
      <c r="H160" s="12">
        <v>0</v>
      </c>
      <c r="I160" s="13"/>
      <c r="J160" s="12">
        <v>0</v>
      </c>
      <c r="K160" s="13"/>
      <c r="L160" s="12">
        <v>0</v>
      </c>
      <c r="M160" s="13"/>
      <c r="N160" s="12">
        <v>2</v>
      </c>
      <c r="O160" s="13">
        <v>2.8E-5</v>
      </c>
      <c r="P160" s="12">
        <v>0</v>
      </c>
      <c r="Q160" s="13"/>
      <c r="R160" s="12">
        <v>0</v>
      </c>
      <c r="S160" s="13"/>
      <c r="T160" s="12">
        <v>3643</v>
      </c>
      <c r="U160" s="13">
        <v>5.0715999999999997E-2</v>
      </c>
      <c r="V160" s="12">
        <v>0</v>
      </c>
      <c r="W160" s="13"/>
      <c r="X160" s="12">
        <v>0</v>
      </c>
      <c r="Y160" s="13"/>
      <c r="AA160" s="13"/>
      <c r="AB160" s="12">
        <v>1</v>
      </c>
      <c r="AC160" s="13">
        <v>1.4E-5</v>
      </c>
    </row>
    <row r="161" spans="1:29" ht="14.25" customHeight="1">
      <c r="A161" s="11" t="s">
        <v>174</v>
      </c>
      <c r="B161" s="12">
        <v>0</v>
      </c>
      <c r="C161" s="13"/>
      <c r="D161" s="12">
        <v>0</v>
      </c>
      <c r="E161" s="13"/>
      <c r="F161" s="12">
        <v>17</v>
      </c>
      <c r="G161" s="13">
        <v>2.4399999999999999E-4</v>
      </c>
      <c r="H161" s="12">
        <v>0</v>
      </c>
      <c r="I161" s="13"/>
      <c r="J161" s="12">
        <v>0</v>
      </c>
      <c r="K161" s="13"/>
      <c r="L161" s="12">
        <v>0</v>
      </c>
      <c r="M161" s="13"/>
      <c r="N161" s="12">
        <v>2</v>
      </c>
      <c r="O161" s="13">
        <v>2.9E-5</v>
      </c>
      <c r="P161" s="12">
        <v>0</v>
      </c>
      <c r="Q161" s="13"/>
      <c r="R161" s="12">
        <v>0</v>
      </c>
      <c r="S161" s="13"/>
      <c r="T161" s="12">
        <v>5797</v>
      </c>
      <c r="U161" s="13">
        <v>8.3197999999999994E-2</v>
      </c>
      <c r="V161" s="12">
        <v>0</v>
      </c>
      <c r="W161" s="13"/>
      <c r="X161" s="12">
        <v>0</v>
      </c>
      <c r="Y161" s="13"/>
      <c r="AA161" s="13"/>
      <c r="AB161" s="12">
        <v>15</v>
      </c>
      <c r="AC161" s="13">
        <v>2.1499999999999999E-4</v>
      </c>
    </row>
    <row r="162" spans="1:29" ht="14.25" customHeight="1">
      <c r="A162" s="11" t="s">
        <v>175</v>
      </c>
      <c r="B162" s="12">
        <v>0</v>
      </c>
      <c r="C162" s="13"/>
      <c r="D162" s="12">
        <v>0</v>
      </c>
      <c r="E162" s="13"/>
      <c r="F162" s="12">
        <v>5</v>
      </c>
      <c r="G162" s="13">
        <v>8.7000000000000001E-5</v>
      </c>
      <c r="H162" s="12">
        <v>0</v>
      </c>
      <c r="I162" s="13"/>
      <c r="J162" s="12">
        <v>0</v>
      </c>
      <c r="K162" s="13"/>
      <c r="L162" s="12">
        <v>0</v>
      </c>
      <c r="M162" s="13"/>
      <c r="N162" s="12">
        <v>1</v>
      </c>
      <c r="O162" s="13">
        <v>1.7E-5</v>
      </c>
      <c r="P162" s="12">
        <v>0</v>
      </c>
      <c r="Q162" s="13"/>
      <c r="R162" s="12">
        <v>0</v>
      </c>
      <c r="S162" s="13"/>
      <c r="T162" s="12">
        <v>7413</v>
      </c>
      <c r="U162" s="13">
        <v>0.12856400000000001</v>
      </c>
      <c r="V162" s="12">
        <v>0</v>
      </c>
      <c r="W162" s="13"/>
      <c r="X162" s="12">
        <v>0</v>
      </c>
      <c r="Y162" s="13"/>
      <c r="AA162" s="13"/>
      <c r="AB162" s="12">
        <v>5</v>
      </c>
      <c r="AC162" s="13">
        <v>8.7000000000000001E-5</v>
      </c>
    </row>
    <row r="163" spans="1:29" ht="14.25" customHeight="1">
      <c r="A163" s="11" t="s">
        <v>176</v>
      </c>
      <c r="B163" s="12">
        <v>0</v>
      </c>
      <c r="C163" s="13"/>
      <c r="D163" s="12">
        <v>0</v>
      </c>
      <c r="E163" s="13"/>
      <c r="F163" s="12">
        <v>2</v>
      </c>
      <c r="G163" s="13">
        <v>4.1E-5</v>
      </c>
      <c r="H163" s="12">
        <v>0</v>
      </c>
      <c r="I163" s="13"/>
      <c r="J163" s="12">
        <v>0</v>
      </c>
      <c r="K163" s="13"/>
      <c r="L163" s="12">
        <v>0</v>
      </c>
      <c r="M163" s="13"/>
      <c r="N163" s="12">
        <v>0</v>
      </c>
      <c r="O163" s="13"/>
      <c r="P163" s="12">
        <v>0</v>
      </c>
      <c r="Q163" s="13"/>
      <c r="R163" s="12">
        <v>0</v>
      </c>
      <c r="S163" s="13"/>
      <c r="T163" s="12">
        <v>9451</v>
      </c>
      <c r="U163" s="13">
        <v>0.19303500000000001</v>
      </c>
      <c r="V163" s="12">
        <v>0</v>
      </c>
      <c r="W163" s="13"/>
      <c r="X163" s="12">
        <v>0</v>
      </c>
      <c r="Y163" s="13"/>
      <c r="AA163" s="13"/>
      <c r="AB163" s="12">
        <v>2</v>
      </c>
      <c r="AC163" s="13">
        <v>4.1E-5</v>
      </c>
    </row>
    <row r="164" spans="1:29" ht="14.25" customHeight="1">
      <c r="A164" s="11" t="s">
        <v>177</v>
      </c>
      <c r="B164" s="12">
        <v>0</v>
      </c>
      <c r="C164" s="13"/>
      <c r="D164" s="12">
        <v>0</v>
      </c>
      <c r="E164" s="13"/>
      <c r="F164" s="12">
        <v>0</v>
      </c>
      <c r="G164" s="13"/>
      <c r="H164" s="12">
        <v>0</v>
      </c>
      <c r="I164" s="13"/>
      <c r="J164" s="12">
        <v>0</v>
      </c>
      <c r="K164" s="13"/>
      <c r="L164" s="12">
        <v>0</v>
      </c>
      <c r="M164" s="13"/>
      <c r="N164" s="12">
        <v>2</v>
      </c>
      <c r="O164" s="13">
        <v>4.3000000000000002E-5</v>
      </c>
      <c r="P164" s="12">
        <v>0</v>
      </c>
      <c r="Q164" s="13"/>
      <c r="R164" s="12">
        <v>0</v>
      </c>
      <c r="S164" s="13"/>
      <c r="T164" s="12">
        <v>12451</v>
      </c>
      <c r="U164" s="13">
        <v>0.26778099999999999</v>
      </c>
      <c r="V164" s="12">
        <v>0</v>
      </c>
      <c r="W164" s="13"/>
      <c r="X164" s="12">
        <v>0</v>
      </c>
      <c r="Y164" s="13"/>
      <c r="AA164" s="13"/>
      <c r="AB164" s="12">
        <v>1</v>
      </c>
      <c r="AC164" s="13">
        <v>2.1999999999999999E-5</v>
      </c>
    </row>
    <row r="165" spans="1:29" ht="14.25" customHeight="1">
      <c r="A165" s="11" t="s">
        <v>178</v>
      </c>
      <c r="B165" s="12">
        <v>0</v>
      </c>
      <c r="C165" s="13"/>
      <c r="D165" s="12">
        <v>0</v>
      </c>
      <c r="E165" s="13"/>
      <c r="F165" s="12">
        <v>2</v>
      </c>
      <c r="G165" s="13">
        <v>4.1999999999999998E-5</v>
      </c>
      <c r="H165" s="12">
        <v>0</v>
      </c>
      <c r="I165" s="13"/>
      <c r="J165" s="12">
        <v>0</v>
      </c>
      <c r="K165" s="13"/>
      <c r="L165" s="12">
        <v>0</v>
      </c>
      <c r="M165" s="13"/>
      <c r="N165" s="12">
        <v>1</v>
      </c>
      <c r="O165" s="13">
        <v>2.0999999999999999E-5</v>
      </c>
      <c r="P165" s="12">
        <v>0</v>
      </c>
      <c r="Q165" s="13"/>
      <c r="R165" s="12">
        <v>0</v>
      </c>
      <c r="S165" s="13"/>
      <c r="T165" s="12">
        <v>15601</v>
      </c>
      <c r="U165" s="13">
        <v>0.33103500000000002</v>
      </c>
      <c r="V165" s="12">
        <v>0</v>
      </c>
      <c r="W165" s="13"/>
      <c r="X165" s="12">
        <v>0</v>
      </c>
      <c r="Y165" s="13"/>
      <c r="AA165" s="13"/>
      <c r="AB165" s="12">
        <v>2</v>
      </c>
      <c r="AC165" s="13">
        <v>4.1999999999999998E-5</v>
      </c>
    </row>
    <row r="166" spans="1:29" ht="14.25" customHeight="1">
      <c r="A166" s="11" t="s">
        <v>179</v>
      </c>
      <c r="B166" s="12">
        <v>0</v>
      </c>
      <c r="C166" s="13"/>
      <c r="D166" s="12">
        <v>0</v>
      </c>
      <c r="E166" s="13"/>
      <c r="F166" s="12">
        <v>1</v>
      </c>
      <c r="G166" s="13">
        <v>2.0999999999999999E-5</v>
      </c>
      <c r="H166" s="12">
        <v>0</v>
      </c>
      <c r="I166" s="13"/>
      <c r="J166" s="12">
        <v>0</v>
      </c>
      <c r="K166" s="13"/>
      <c r="L166" s="12">
        <v>0</v>
      </c>
      <c r="M166" s="13"/>
      <c r="N166" s="12">
        <v>0</v>
      </c>
      <c r="O166" s="13"/>
      <c r="P166" s="12">
        <v>0</v>
      </c>
      <c r="Q166" s="13"/>
      <c r="R166" s="12">
        <v>0</v>
      </c>
      <c r="S166" s="13"/>
      <c r="T166" s="12">
        <v>19601</v>
      </c>
      <c r="U166" s="13">
        <v>0.41167300000000001</v>
      </c>
      <c r="V166" s="12">
        <v>0</v>
      </c>
      <c r="W166" s="13"/>
      <c r="X166" s="12">
        <v>0</v>
      </c>
      <c r="Y166" s="13"/>
      <c r="AA166" s="13"/>
      <c r="AB166" s="12">
        <v>3</v>
      </c>
      <c r="AC166" s="13">
        <v>6.3E-5</v>
      </c>
    </row>
    <row r="167" spans="1:29" ht="14.25" customHeight="1">
      <c r="A167" s="11" t="s">
        <v>180</v>
      </c>
      <c r="B167" s="12">
        <v>0</v>
      </c>
      <c r="C167" s="13"/>
      <c r="D167" s="12">
        <v>1</v>
      </c>
      <c r="E167" s="13">
        <v>2.0999999999999999E-5</v>
      </c>
      <c r="F167" s="12">
        <v>0</v>
      </c>
      <c r="G167" s="13"/>
      <c r="H167" s="12">
        <v>0</v>
      </c>
      <c r="I167" s="13"/>
      <c r="J167" s="12">
        <v>0</v>
      </c>
      <c r="K167" s="13"/>
      <c r="L167" s="12">
        <v>0</v>
      </c>
      <c r="M167" s="13"/>
      <c r="N167" s="12">
        <v>2</v>
      </c>
      <c r="O167" s="13">
        <v>4.3000000000000002E-5</v>
      </c>
      <c r="P167" s="12">
        <v>0</v>
      </c>
      <c r="Q167" s="13"/>
      <c r="R167" s="12">
        <v>0</v>
      </c>
      <c r="S167" s="13"/>
      <c r="T167" s="12">
        <v>22068</v>
      </c>
      <c r="U167" s="13">
        <v>0.46914299999999998</v>
      </c>
      <c r="V167" s="12">
        <v>0</v>
      </c>
      <c r="W167" s="13"/>
      <c r="X167" s="12">
        <v>0</v>
      </c>
      <c r="Y167" s="13"/>
      <c r="AA167" s="13"/>
      <c r="AB167" s="12">
        <v>12</v>
      </c>
      <c r="AC167" s="13">
        <v>2.5500000000000002E-4</v>
      </c>
    </row>
    <row r="168" spans="1:29" ht="14.25" customHeight="1">
      <c r="A168" s="11" t="s">
        <v>181</v>
      </c>
      <c r="B168" s="12">
        <v>0</v>
      </c>
      <c r="C168" s="13"/>
      <c r="D168" s="12">
        <v>0</v>
      </c>
      <c r="E168" s="13"/>
      <c r="F168" s="12">
        <v>2</v>
      </c>
      <c r="G168" s="13">
        <v>4.5000000000000003E-5</v>
      </c>
      <c r="H168" s="12">
        <v>0</v>
      </c>
      <c r="I168" s="13"/>
      <c r="J168" s="12">
        <v>0</v>
      </c>
      <c r="K168" s="13"/>
      <c r="L168" s="12">
        <v>0</v>
      </c>
      <c r="M168" s="13"/>
      <c r="N168" s="12">
        <v>0</v>
      </c>
      <c r="O168" s="13"/>
      <c r="P168" s="12">
        <v>0</v>
      </c>
      <c r="Q168" s="13"/>
      <c r="R168" s="12">
        <v>0</v>
      </c>
      <c r="S168" s="13"/>
      <c r="T168" s="12">
        <v>22857</v>
      </c>
      <c r="U168" s="13">
        <v>0.51244299999999998</v>
      </c>
      <c r="V168" s="12">
        <v>0</v>
      </c>
      <c r="W168" s="13"/>
      <c r="X168" s="12">
        <v>0</v>
      </c>
      <c r="Y168" s="13"/>
      <c r="AA168" s="13"/>
      <c r="AB168" s="12">
        <v>3</v>
      </c>
      <c r="AC168" s="13">
        <v>6.7000000000000002E-5</v>
      </c>
    </row>
    <row r="169" spans="1:29" ht="14.25" customHeight="1">
      <c r="A169" s="11" t="s">
        <v>182</v>
      </c>
      <c r="B169" s="12">
        <v>0</v>
      </c>
      <c r="C169" s="13"/>
      <c r="D169" s="12">
        <v>0</v>
      </c>
      <c r="E169" s="13"/>
      <c r="F169" s="12">
        <v>0</v>
      </c>
      <c r="G169" s="13"/>
      <c r="H169" s="12">
        <v>0</v>
      </c>
      <c r="I169" s="13"/>
      <c r="J169" s="12">
        <v>0</v>
      </c>
      <c r="K169" s="13"/>
      <c r="L169" s="12">
        <v>0</v>
      </c>
      <c r="M169" s="13"/>
      <c r="N169" s="12">
        <v>0</v>
      </c>
      <c r="O169" s="13"/>
      <c r="P169" s="12">
        <v>0</v>
      </c>
      <c r="Q169" s="13"/>
      <c r="R169" s="12">
        <v>0</v>
      </c>
      <c r="S169" s="13"/>
      <c r="T169" s="12">
        <v>24146</v>
      </c>
      <c r="U169" s="13">
        <v>0.55057500000000004</v>
      </c>
      <c r="V169" s="12">
        <v>0</v>
      </c>
      <c r="W169" s="13"/>
      <c r="X169" s="12">
        <v>0</v>
      </c>
      <c r="Y169" s="13"/>
      <c r="AA169" s="13"/>
      <c r="AB169" s="12">
        <v>3</v>
      </c>
      <c r="AC169" s="13">
        <v>6.7999999999999999E-5</v>
      </c>
    </row>
    <row r="170" spans="1:29" ht="14.25" customHeight="1">
      <c r="A170" s="11" t="s">
        <v>183</v>
      </c>
      <c r="B170" s="12">
        <v>1</v>
      </c>
      <c r="C170" s="13">
        <v>2.4000000000000001E-5</v>
      </c>
      <c r="D170" s="12">
        <v>0</v>
      </c>
      <c r="E170" s="13"/>
      <c r="F170" s="12">
        <v>1</v>
      </c>
      <c r="G170" s="13">
        <v>2.4000000000000001E-5</v>
      </c>
      <c r="H170" s="12">
        <v>0</v>
      </c>
      <c r="I170" s="13"/>
      <c r="J170" s="12">
        <v>0</v>
      </c>
      <c r="K170" s="13"/>
      <c r="L170" s="12">
        <v>0</v>
      </c>
      <c r="M170" s="13"/>
      <c r="N170" s="12">
        <v>0</v>
      </c>
      <c r="O170" s="13"/>
      <c r="P170" s="12">
        <v>0</v>
      </c>
      <c r="Q170" s="13"/>
      <c r="R170" s="12">
        <v>0</v>
      </c>
      <c r="S170" s="13"/>
      <c r="T170" s="12">
        <v>23765</v>
      </c>
      <c r="U170" s="13">
        <v>0.56630499999999995</v>
      </c>
      <c r="V170" s="12">
        <v>0</v>
      </c>
      <c r="W170" s="13"/>
      <c r="X170" s="12">
        <v>0</v>
      </c>
      <c r="Y170" s="13"/>
      <c r="AA170" s="13"/>
      <c r="AB170" s="12">
        <v>2</v>
      </c>
      <c r="AC170" s="13">
        <v>4.8000000000000001E-5</v>
      </c>
    </row>
    <row r="171" spans="1:29" ht="14.25" customHeight="1">
      <c r="A171" s="11" t="s">
        <v>184</v>
      </c>
      <c r="B171" s="12">
        <v>0</v>
      </c>
      <c r="C171" s="13"/>
      <c r="D171" s="12">
        <v>0</v>
      </c>
      <c r="E171" s="13"/>
      <c r="F171" s="12">
        <v>1</v>
      </c>
      <c r="G171" s="13">
        <v>2.5000000000000001E-5</v>
      </c>
      <c r="H171" s="12">
        <v>0</v>
      </c>
      <c r="I171" s="13"/>
      <c r="J171" s="12">
        <v>0</v>
      </c>
      <c r="K171" s="13"/>
      <c r="L171" s="12">
        <v>0</v>
      </c>
      <c r="M171" s="13"/>
      <c r="N171" s="12">
        <v>0</v>
      </c>
      <c r="O171" s="13"/>
      <c r="P171" s="12">
        <v>0</v>
      </c>
      <c r="Q171" s="13"/>
      <c r="R171" s="12">
        <v>0</v>
      </c>
      <c r="S171" s="13"/>
      <c r="T171" s="12">
        <v>23128</v>
      </c>
      <c r="U171" s="13">
        <v>0.56860500000000003</v>
      </c>
      <c r="V171" s="12">
        <v>0</v>
      </c>
      <c r="W171" s="13"/>
      <c r="X171" s="12">
        <v>0</v>
      </c>
      <c r="Y171" s="13"/>
      <c r="AA171" s="13"/>
      <c r="AB171" s="12">
        <v>1</v>
      </c>
      <c r="AC171" s="13">
        <v>2.5000000000000001E-5</v>
      </c>
    </row>
    <row r="172" spans="1:29" ht="14.25" customHeight="1">
      <c r="A172" s="11" t="s">
        <v>185</v>
      </c>
      <c r="B172" s="12">
        <v>0</v>
      </c>
      <c r="C172" s="13"/>
      <c r="D172" s="12">
        <v>0</v>
      </c>
      <c r="E172" s="13"/>
      <c r="F172" s="12">
        <v>0</v>
      </c>
      <c r="G172" s="13"/>
      <c r="H172" s="12">
        <v>0</v>
      </c>
      <c r="I172" s="13"/>
      <c r="J172" s="12">
        <v>0</v>
      </c>
      <c r="K172" s="13"/>
      <c r="L172" s="12">
        <v>0</v>
      </c>
      <c r="M172" s="13"/>
      <c r="N172" s="12">
        <v>1</v>
      </c>
      <c r="O172" s="13">
        <v>2.5999999999999998E-5</v>
      </c>
      <c r="P172" s="12">
        <v>0</v>
      </c>
      <c r="Q172" s="13"/>
      <c r="R172" s="12">
        <v>0</v>
      </c>
      <c r="S172" s="13"/>
      <c r="T172" s="12">
        <v>22241</v>
      </c>
      <c r="U172" s="13">
        <v>0.57311800000000002</v>
      </c>
      <c r="V172" s="12">
        <v>0</v>
      </c>
      <c r="W172" s="13"/>
      <c r="X172" s="12">
        <v>0</v>
      </c>
      <c r="Y172" s="13"/>
      <c r="AA172" s="13"/>
      <c r="AB172" s="12">
        <v>1</v>
      </c>
      <c r="AC172" s="13">
        <v>2.5999999999999998E-5</v>
      </c>
    </row>
    <row r="173" spans="1:29" ht="14.25" customHeight="1">
      <c r="A173" s="11" t="s">
        <v>186</v>
      </c>
      <c r="B173" s="12">
        <v>0</v>
      </c>
      <c r="C173" s="13"/>
      <c r="D173" s="12">
        <v>0</v>
      </c>
      <c r="E173" s="13"/>
      <c r="F173" s="12">
        <v>1</v>
      </c>
      <c r="G173" s="13">
        <v>2.9E-5</v>
      </c>
      <c r="H173" s="12">
        <v>0</v>
      </c>
      <c r="I173" s="13"/>
      <c r="J173" s="12">
        <v>0</v>
      </c>
      <c r="K173" s="13"/>
      <c r="L173" s="12">
        <v>0</v>
      </c>
      <c r="M173" s="13"/>
      <c r="N173" s="12">
        <v>0</v>
      </c>
      <c r="O173" s="13"/>
      <c r="P173" s="12">
        <v>0</v>
      </c>
      <c r="Q173" s="13"/>
      <c r="R173" s="12">
        <v>0</v>
      </c>
      <c r="S173" s="13"/>
      <c r="T173" s="12">
        <v>18728</v>
      </c>
      <c r="U173" s="13">
        <v>0.54108400000000001</v>
      </c>
      <c r="V173" s="12">
        <v>0</v>
      </c>
      <c r="W173" s="13"/>
      <c r="X173" s="12">
        <v>0</v>
      </c>
      <c r="Y173" s="13"/>
      <c r="AA173" s="13"/>
      <c r="AB173" s="12">
        <v>1</v>
      </c>
      <c r="AC173" s="13">
        <v>2.9E-5</v>
      </c>
    </row>
    <row r="174" spans="1:29" ht="14.25" customHeight="1">
      <c r="A174" s="11" t="s">
        <v>187</v>
      </c>
      <c r="B174" s="12">
        <v>0</v>
      </c>
      <c r="C174" s="13"/>
      <c r="D174" s="12">
        <v>0</v>
      </c>
      <c r="E174" s="13"/>
      <c r="F174" s="12">
        <v>0</v>
      </c>
      <c r="G174" s="13"/>
      <c r="H174" s="12">
        <v>0</v>
      </c>
      <c r="I174" s="13"/>
      <c r="J174" s="12">
        <v>0</v>
      </c>
      <c r="K174" s="13"/>
      <c r="L174" s="12">
        <v>0</v>
      </c>
      <c r="M174" s="13"/>
      <c r="N174" s="12">
        <v>2</v>
      </c>
      <c r="O174" s="13">
        <v>6.7000000000000002E-5</v>
      </c>
      <c r="P174" s="12">
        <v>0</v>
      </c>
      <c r="Q174" s="13"/>
      <c r="R174" s="12">
        <v>0</v>
      </c>
      <c r="S174" s="13"/>
      <c r="T174" s="12">
        <v>15448</v>
      </c>
      <c r="U174" s="13">
        <v>0.52044999999999997</v>
      </c>
      <c r="V174" s="12">
        <v>0</v>
      </c>
      <c r="W174" s="13"/>
      <c r="X174" s="12">
        <v>0</v>
      </c>
      <c r="Y174" s="13"/>
      <c r="AA174" s="13"/>
      <c r="AB174" s="12">
        <v>0</v>
      </c>
      <c r="AC174" s="13"/>
    </row>
    <row r="175" spans="1:29" ht="14.25" customHeight="1">
      <c r="A175" s="11" t="s">
        <v>188</v>
      </c>
      <c r="B175" s="12">
        <v>0</v>
      </c>
      <c r="C175" s="13"/>
      <c r="D175" s="12">
        <v>0</v>
      </c>
      <c r="E175" s="13"/>
      <c r="F175" s="12">
        <v>6</v>
      </c>
      <c r="G175" s="13">
        <v>1.9599999999999999E-4</v>
      </c>
      <c r="H175" s="12">
        <v>0</v>
      </c>
      <c r="I175" s="13"/>
      <c r="J175" s="12">
        <v>0</v>
      </c>
      <c r="K175" s="13"/>
      <c r="L175" s="12">
        <v>0</v>
      </c>
      <c r="M175" s="13"/>
      <c r="N175" s="12">
        <v>2</v>
      </c>
      <c r="O175" s="13">
        <v>6.4999999999999994E-5</v>
      </c>
      <c r="P175" s="12">
        <v>0</v>
      </c>
      <c r="Q175" s="13"/>
      <c r="R175" s="12">
        <v>0</v>
      </c>
      <c r="S175" s="13"/>
      <c r="T175" s="12">
        <v>15527</v>
      </c>
      <c r="U175" s="13">
        <v>0.50632600000000005</v>
      </c>
      <c r="V175" s="12">
        <v>0</v>
      </c>
      <c r="W175" s="13"/>
      <c r="X175" s="12">
        <v>0</v>
      </c>
      <c r="Y175" s="13"/>
      <c r="AA175" s="13"/>
      <c r="AB175" s="12">
        <v>2</v>
      </c>
      <c r="AC175" s="13">
        <v>6.4999999999999994E-5</v>
      </c>
    </row>
    <row r="176" spans="1:29" ht="14.25" customHeight="1">
      <c r="A176" s="11" t="s">
        <v>189</v>
      </c>
      <c r="B176" s="12">
        <v>0</v>
      </c>
      <c r="C176" s="13"/>
      <c r="D176" s="12">
        <v>1</v>
      </c>
      <c r="E176" s="13">
        <v>3.4999999999999997E-5</v>
      </c>
      <c r="F176" s="12">
        <v>4</v>
      </c>
      <c r="G176" s="13">
        <v>1.4100000000000001E-4</v>
      </c>
      <c r="H176" s="12">
        <v>0</v>
      </c>
      <c r="I176" s="13"/>
      <c r="J176" s="12">
        <v>0</v>
      </c>
      <c r="K176" s="13"/>
      <c r="L176" s="12">
        <v>1</v>
      </c>
      <c r="M176" s="13">
        <v>3.4999999999999997E-5</v>
      </c>
      <c r="N176" s="12">
        <v>0</v>
      </c>
      <c r="O176" s="13"/>
      <c r="P176" s="12">
        <v>0</v>
      </c>
      <c r="Q176" s="13"/>
      <c r="R176" s="12">
        <v>0</v>
      </c>
      <c r="S176" s="13"/>
      <c r="T176" s="12">
        <v>13301</v>
      </c>
      <c r="U176" s="13">
        <v>0.46744000000000002</v>
      </c>
      <c r="V176" s="12">
        <v>0</v>
      </c>
      <c r="W176" s="13"/>
      <c r="X176" s="12">
        <v>0</v>
      </c>
      <c r="Y176" s="13"/>
      <c r="AA176" s="13"/>
      <c r="AB176" s="12">
        <v>0</v>
      </c>
      <c r="AC176" s="13"/>
    </row>
    <row r="177" spans="1:29" ht="14.25" customHeight="1">
      <c r="A177" s="11" t="s">
        <v>190</v>
      </c>
      <c r="B177" s="12">
        <v>0</v>
      </c>
      <c r="C177" s="13"/>
      <c r="D177" s="12">
        <v>0</v>
      </c>
      <c r="E177" s="13"/>
      <c r="F177" s="12">
        <v>1</v>
      </c>
      <c r="G177" s="13">
        <v>3.6000000000000001E-5</v>
      </c>
      <c r="H177" s="12">
        <v>0</v>
      </c>
      <c r="I177" s="13"/>
      <c r="J177" s="12">
        <v>0</v>
      </c>
      <c r="K177" s="13"/>
      <c r="L177" s="12">
        <v>0</v>
      </c>
      <c r="M177" s="13"/>
      <c r="N177" s="12">
        <v>0</v>
      </c>
      <c r="O177" s="13"/>
      <c r="P177" s="12">
        <v>0</v>
      </c>
      <c r="Q177" s="13"/>
      <c r="R177" s="12">
        <v>0</v>
      </c>
      <c r="S177" s="13"/>
      <c r="T177" s="12">
        <v>12375</v>
      </c>
      <c r="U177" s="13">
        <v>0.44973800000000003</v>
      </c>
      <c r="V177" s="12">
        <v>0</v>
      </c>
      <c r="W177" s="13"/>
      <c r="X177" s="12">
        <v>0</v>
      </c>
      <c r="Y177" s="13"/>
      <c r="AA177" s="13"/>
      <c r="AB177" s="12">
        <v>0</v>
      </c>
      <c r="AC177" s="13"/>
    </row>
    <row r="178" spans="1:29" ht="14.25" customHeight="1">
      <c r="A178" s="11" t="s">
        <v>191</v>
      </c>
      <c r="B178" s="12">
        <v>0</v>
      </c>
      <c r="C178" s="13"/>
      <c r="D178" s="12">
        <v>0</v>
      </c>
      <c r="E178" s="13"/>
      <c r="F178" s="12">
        <v>2</v>
      </c>
      <c r="G178" s="13">
        <v>7.7000000000000001E-5</v>
      </c>
      <c r="H178" s="12">
        <v>0</v>
      </c>
      <c r="I178" s="13"/>
      <c r="J178" s="12">
        <v>0</v>
      </c>
      <c r="K178" s="13"/>
      <c r="L178" s="12">
        <v>0</v>
      </c>
      <c r="M178" s="13"/>
      <c r="N178" s="12">
        <v>0</v>
      </c>
      <c r="O178" s="13"/>
      <c r="P178" s="12">
        <v>0</v>
      </c>
      <c r="Q178" s="13"/>
      <c r="R178" s="12">
        <v>0</v>
      </c>
      <c r="S178" s="13"/>
      <c r="T178" s="12">
        <v>10773</v>
      </c>
      <c r="U178" s="13">
        <v>0.416879</v>
      </c>
      <c r="V178" s="12">
        <v>0</v>
      </c>
      <c r="W178" s="13"/>
      <c r="X178" s="12">
        <v>0</v>
      </c>
      <c r="Y178" s="13"/>
      <c r="AA178" s="13"/>
      <c r="AB178" s="12">
        <v>1</v>
      </c>
      <c r="AC178" s="13">
        <v>3.8999999999999999E-5</v>
      </c>
    </row>
    <row r="179" spans="1:29" ht="14.25" customHeight="1">
      <c r="A179" s="11" t="s">
        <v>192</v>
      </c>
      <c r="B179" s="12">
        <v>0</v>
      </c>
      <c r="C179" s="13"/>
      <c r="D179" s="12">
        <v>0</v>
      </c>
      <c r="E179" s="13"/>
      <c r="F179" s="12">
        <v>1</v>
      </c>
      <c r="G179" s="13">
        <v>4.3999999999999999E-5</v>
      </c>
      <c r="H179" s="12">
        <v>0</v>
      </c>
      <c r="I179" s="13"/>
      <c r="J179" s="12">
        <v>0</v>
      </c>
      <c r="K179" s="13"/>
      <c r="L179" s="12">
        <v>0</v>
      </c>
      <c r="M179" s="13"/>
      <c r="N179" s="12">
        <v>2</v>
      </c>
      <c r="O179" s="13">
        <v>8.7000000000000001E-5</v>
      </c>
      <c r="P179" s="12">
        <v>0</v>
      </c>
      <c r="Q179" s="13"/>
      <c r="R179" s="12">
        <v>0</v>
      </c>
      <c r="S179" s="13"/>
      <c r="T179" s="12">
        <v>8838</v>
      </c>
      <c r="U179" s="13">
        <v>0.38588800000000001</v>
      </c>
      <c r="V179" s="12">
        <v>0</v>
      </c>
      <c r="W179" s="13"/>
      <c r="X179" s="12">
        <v>0</v>
      </c>
      <c r="Y179" s="13"/>
      <c r="AA179" s="13"/>
      <c r="AB179" s="12">
        <v>0</v>
      </c>
      <c r="AC179" s="13"/>
    </row>
    <row r="180" spans="1:29" ht="14.25" customHeight="1">
      <c r="A180" s="11" t="s">
        <v>193</v>
      </c>
      <c r="B180" s="12">
        <v>0</v>
      </c>
      <c r="C180" s="13"/>
      <c r="D180" s="12">
        <v>0</v>
      </c>
      <c r="E180" s="13"/>
      <c r="F180" s="12">
        <v>0</v>
      </c>
      <c r="G180" s="13"/>
      <c r="H180" s="12">
        <v>0</v>
      </c>
      <c r="I180" s="13"/>
      <c r="J180" s="12">
        <v>0</v>
      </c>
      <c r="K180" s="13"/>
      <c r="L180" s="12">
        <v>0</v>
      </c>
      <c r="M180" s="13"/>
      <c r="N180" s="12">
        <v>1</v>
      </c>
      <c r="O180" s="13">
        <v>4.8000000000000001E-5</v>
      </c>
      <c r="P180" s="12">
        <v>0</v>
      </c>
      <c r="Q180" s="13"/>
      <c r="R180" s="12">
        <v>0</v>
      </c>
      <c r="S180" s="13"/>
      <c r="T180" s="12">
        <v>7341</v>
      </c>
      <c r="U180" s="13">
        <v>0.34892299999999998</v>
      </c>
      <c r="V180" s="12">
        <v>0</v>
      </c>
      <c r="W180" s="13"/>
      <c r="X180" s="12">
        <v>0</v>
      </c>
      <c r="Y180" s="13"/>
      <c r="AA180" s="13"/>
      <c r="AB180" s="12">
        <v>0</v>
      </c>
      <c r="AC180" s="13"/>
    </row>
    <row r="181" spans="1:29" ht="14.25" customHeight="1">
      <c r="A181" s="11" t="s">
        <v>194</v>
      </c>
      <c r="B181" s="12">
        <v>0</v>
      </c>
      <c r="C181" s="13"/>
      <c r="D181" s="12">
        <v>0</v>
      </c>
      <c r="E181" s="13"/>
      <c r="F181" s="12">
        <v>80</v>
      </c>
      <c r="G181" s="13">
        <v>4.0280000000000003E-3</v>
      </c>
      <c r="H181" s="12">
        <v>0</v>
      </c>
      <c r="I181" s="13"/>
      <c r="J181" s="12">
        <v>0</v>
      </c>
      <c r="K181" s="13"/>
      <c r="L181" s="12">
        <v>0</v>
      </c>
      <c r="M181" s="13"/>
      <c r="N181" s="12">
        <v>4</v>
      </c>
      <c r="O181" s="13">
        <v>2.0100000000000001E-4</v>
      </c>
      <c r="P181" s="12">
        <v>0</v>
      </c>
      <c r="Q181" s="13"/>
      <c r="R181" s="12">
        <v>0</v>
      </c>
      <c r="S181" s="13"/>
      <c r="T181" s="12">
        <v>6164</v>
      </c>
      <c r="U181" s="13">
        <v>0.31032599999999999</v>
      </c>
      <c r="V181" s="12">
        <v>0</v>
      </c>
      <c r="W181" s="13"/>
      <c r="X181" s="12">
        <v>0</v>
      </c>
      <c r="Y181" s="13"/>
      <c r="AA181" s="13"/>
      <c r="AB181" s="12">
        <v>0</v>
      </c>
      <c r="AC181" s="13"/>
    </row>
    <row r="182" spans="1:29" ht="14.25" customHeight="1">
      <c r="A182" s="11" t="s">
        <v>195</v>
      </c>
      <c r="B182" s="12">
        <v>0</v>
      </c>
      <c r="C182" s="13"/>
      <c r="D182" s="12">
        <v>0</v>
      </c>
      <c r="E182" s="13"/>
      <c r="F182" s="12">
        <v>0</v>
      </c>
      <c r="G182" s="13"/>
      <c r="H182" s="12">
        <v>0</v>
      </c>
      <c r="I182" s="13"/>
      <c r="J182" s="12">
        <v>0</v>
      </c>
      <c r="K182" s="13"/>
      <c r="L182" s="12">
        <v>0</v>
      </c>
      <c r="M182" s="13"/>
      <c r="N182" s="12">
        <v>2</v>
      </c>
      <c r="O182" s="13">
        <v>1.1400000000000001E-4</v>
      </c>
      <c r="P182" s="12">
        <v>0</v>
      </c>
      <c r="Q182" s="13"/>
      <c r="R182" s="12">
        <v>0</v>
      </c>
      <c r="S182" s="13"/>
      <c r="T182" s="12">
        <v>5058</v>
      </c>
      <c r="U182" s="13">
        <v>0.28804099999999999</v>
      </c>
      <c r="V182" s="12">
        <v>0</v>
      </c>
      <c r="W182" s="13"/>
      <c r="X182" s="12">
        <v>0</v>
      </c>
      <c r="Y182" s="13"/>
      <c r="AA182" s="13"/>
      <c r="AB182" s="12">
        <v>0</v>
      </c>
      <c r="AC182" s="13"/>
    </row>
    <row r="183" spans="1:29" ht="14.25" customHeight="1">
      <c r="A183" s="11" t="s">
        <v>196</v>
      </c>
      <c r="B183" s="12">
        <v>0</v>
      </c>
      <c r="C183" s="13"/>
      <c r="D183" s="12">
        <v>0</v>
      </c>
      <c r="E183" s="13"/>
      <c r="F183" s="12">
        <v>0</v>
      </c>
      <c r="G183" s="13"/>
      <c r="H183" s="12">
        <v>0</v>
      </c>
      <c r="I183" s="13"/>
      <c r="J183" s="12">
        <v>0</v>
      </c>
      <c r="K183" s="13"/>
      <c r="L183" s="12">
        <v>0</v>
      </c>
      <c r="M183" s="13"/>
      <c r="N183" s="12">
        <v>4</v>
      </c>
      <c r="O183" s="13">
        <v>2.5799999999999998E-4</v>
      </c>
      <c r="P183" s="12">
        <v>0</v>
      </c>
      <c r="Q183" s="13"/>
      <c r="R183" s="12">
        <v>0</v>
      </c>
      <c r="S183" s="13"/>
      <c r="T183" s="12">
        <v>4326</v>
      </c>
      <c r="U183" s="13">
        <v>0.27884500000000001</v>
      </c>
      <c r="V183" s="12">
        <v>0</v>
      </c>
      <c r="W183" s="13"/>
      <c r="X183" s="12">
        <v>0</v>
      </c>
      <c r="Y183" s="13"/>
      <c r="AA183" s="13"/>
      <c r="AB183" s="12">
        <v>0</v>
      </c>
      <c r="AC183" s="13"/>
    </row>
    <row r="184" spans="1:29" ht="14.25" customHeight="1">
      <c r="A184" s="11" t="s">
        <v>197</v>
      </c>
      <c r="B184" s="12">
        <v>0</v>
      </c>
      <c r="C184" s="13"/>
      <c r="D184" s="12">
        <v>0</v>
      </c>
      <c r="E184" s="13"/>
      <c r="F184" s="12">
        <v>1</v>
      </c>
      <c r="G184" s="13">
        <v>6.9999999999999994E-5</v>
      </c>
      <c r="H184" s="12">
        <v>0</v>
      </c>
      <c r="I184" s="13"/>
      <c r="J184" s="12">
        <v>0</v>
      </c>
      <c r="K184" s="13"/>
      <c r="L184" s="12">
        <v>0</v>
      </c>
      <c r="M184" s="13"/>
      <c r="N184" s="12">
        <v>5</v>
      </c>
      <c r="O184" s="13">
        <v>3.5100000000000002E-4</v>
      </c>
      <c r="P184" s="12">
        <v>0</v>
      </c>
      <c r="Q184" s="13"/>
      <c r="R184" s="12">
        <v>0</v>
      </c>
      <c r="S184" s="13"/>
      <c r="T184" s="12">
        <v>3562</v>
      </c>
      <c r="U184" s="13">
        <v>0.24977199999999999</v>
      </c>
      <c r="V184" s="12">
        <v>0</v>
      </c>
      <c r="W184" s="13"/>
      <c r="X184" s="12">
        <v>0</v>
      </c>
      <c r="Y184" s="13"/>
      <c r="AA184" s="13"/>
      <c r="AB184" s="12">
        <v>0</v>
      </c>
      <c r="AC184" s="13"/>
    </row>
    <row r="185" spans="1:29" ht="14.25" customHeight="1">
      <c r="A185" s="11" t="s">
        <v>198</v>
      </c>
      <c r="B185" s="12">
        <v>0</v>
      </c>
      <c r="C185" s="13"/>
      <c r="D185" s="12">
        <v>0</v>
      </c>
      <c r="E185" s="13"/>
      <c r="F185" s="12">
        <v>0</v>
      </c>
      <c r="G185" s="13"/>
      <c r="H185" s="12">
        <v>0</v>
      </c>
      <c r="I185" s="13"/>
      <c r="J185" s="12">
        <v>0</v>
      </c>
      <c r="K185" s="13"/>
      <c r="L185" s="12">
        <v>0</v>
      </c>
      <c r="M185" s="13"/>
      <c r="N185" s="12">
        <v>17</v>
      </c>
      <c r="O185" s="13">
        <v>1.3619999999999999E-3</v>
      </c>
      <c r="P185" s="12">
        <v>0</v>
      </c>
      <c r="Q185" s="13"/>
      <c r="R185" s="12">
        <v>0</v>
      </c>
      <c r="S185" s="13"/>
      <c r="T185" s="12">
        <v>3019</v>
      </c>
      <c r="U185" s="13">
        <v>0.24188799999999999</v>
      </c>
      <c r="V185" s="12">
        <v>0</v>
      </c>
      <c r="W185" s="13"/>
      <c r="X185" s="12">
        <v>0</v>
      </c>
      <c r="Y185" s="13"/>
      <c r="AA185" s="13"/>
      <c r="AB185" s="12">
        <v>1</v>
      </c>
      <c r="AC185" s="13">
        <v>8.0000000000000007E-5</v>
      </c>
    </row>
    <row r="186" spans="1:29" ht="14.25" customHeight="1">
      <c r="A186" s="11" t="s">
        <v>199</v>
      </c>
      <c r="B186" s="12">
        <v>0</v>
      </c>
      <c r="C186" s="13"/>
      <c r="D186" s="12">
        <v>0</v>
      </c>
      <c r="E186" s="13"/>
      <c r="F186" s="12">
        <v>1</v>
      </c>
      <c r="G186" s="13">
        <v>8.7000000000000001E-5</v>
      </c>
      <c r="H186" s="12">
        <v>0</v>
      </c>
      <c r="I186" s="13"/>
      <c r="J186" s="12">
        <v>0</v>
      </c>
      <c r="K186" s="13"/>
      <c r="L186" s="12">
        <v>0</v>
      </c>
      <c r="M186" s="13"/>
      <c r="N186" s="12">
        <v>10</v>
      </c>
      <c r="O186" s="13">
        <v>8.7500000000000002E-4</v>
      </c>
      <c r="P186" s="12">
        <v>0</v>
      </c>
      <c r="Q186" s="13"/>
      <c r="R186" s="12">
        <v>0</v>
      </c>
      <c r="S186" s="13"/>
      <c r="T186" s="12">
        <v>2377</v>
      </c>
      <c r="U186" s="13">
        <v>0.20794299999999999</v>
      </c>
      <c r="V186" s="12">
        <v>0</v>
      </c>
      <c r="W186" s="13"/>
      <c r="X186" s="12">
        <v>0</v>
      </c>
      <c r="Y186" s="13"/>
      <c r="AA186" s="13"/>
      <c r="AB186" s="12">
        <v>0</v>
      </c>
      <c r="AC186" s="13"/>
    </row>
    <row r="187" spans="1:29" ht="14.25" customHeight="1">
      <c r="A187" s="11" t="s">
        <v>200</v>
      </c>
      <c r="B187" s="12">
        <v>0</v>
      </c>
      <c r="C187" s="13"/>
      <c r="D187" s="12">
        <v>0</v>
      </c>
      <c r="E187" s="13"/>
      <c r="F187" s="12">
        <v>1</v>
      </c>
      <c r="G187" s="13">
        <v>9.0000000000000006E-5</v>
      </c>
      <c r="H187" s="12">
        <v>0</v>
      </c>
      <c r="I187" s="13"/>
      <c r="J187" s="12">
        <v>0</v>
      </c>
      <c r="K187" s="13"/>
      <c r="L187" s="12">
        <v>0</v>
      </c>
      <c r="M187" s="13"/>
      <c r="N187" s="12">
        <v>12</v>
      </c>
      <c r="O187" s="13">
        <v>1.077E-3</v>
      </c>
      <c r="P187" s="12">
        <v>0</v>
      </c>
      <c r="Q187" s="13"/>
      <c r="R187" s="12">
        <v>0</v>
      </c>
      <c r="S187" s="13"/>
      <c r="T187" s="12">
        <v>2156</v>
      </c>
      <c r="U187" s="13">
        <v>0.193467</v>
      </c>
      <c r="V187" s="12">
        <v>0</v>
      </c>
      <c r="W187" s="13"/>
      <c r="X187" s="12">
        <v>0</v>
      </c>
      <c r="Y187" s="13"/>
      <c r="AA187" s="13"/>
      <c r="AB187" s="12">
        <v>1</v>
      </c>
      <c r="AC187" s="13">
        <v>9.0000000000000006E-5</v>
      </c>
    </row>
    <row r="188" spans="1:29" ht="14.25" customHeight="1">
      <c r="A188" s="11" t="s">
        <v>201</v>
      </c>
      <c r="B188" s="12">
        <v>0</v>
      </c>
      <c r="C188" s="13"/>
      <c r="D188" s="12">
        <v>0</v>
      </c>
      <c r="E188" s="13"/>
      <c r="F188" s="12">
        <v>1</v>
      </c>
      <c r="G188" s="13">
        <v>8.1000000000000004E-5</v>
      </c>
      <c r="H188" s="12">
        <v>0</v>
      </c>
      <c r="I188" s="13"/>
      <c r="J188" s="12">
        <v>0</v>
      </c>
      <c r="K188" s="13"/>
      <c r="L188" s="12">
        <v>0</v>
      </c>
      <c r="M188" s="13"/>
      <c r="N188" s="12">
        <v>32</v>
      </c>
      <c r="O188" s="13">
        <v>2.601E-3</v>
      </c>
      <c r="P188" s="12">
        <v>0</v>
      </c>
      <c r="Q188" s="13"/>
      <c r="R188" s="12">
        <v>0</v>
      </c>
      <c r="S188" s="13"/>
      <c r="T188" s="12">
        <v>2247</v>
      </c>
      <c r="U188" s="13">
        <v>0.18262400000000001</v>
      </c>
      <c r="V188" s="12">
        <v>0</v>
      </c>
      <c r="W188" s="13"/>
      <c r="X188" s="12">
        <v>0</v>
      </c>
      <c r="Y188" s="13"/>
      <c r="AA188" s="13"/>
      <c r="AB188" s="12">
        <v>1</v>
      </c>
      <c r="AC188" s="13">
        <v>8.1000000000000004E-5</v>
      </c>
    </row>
    <row r="189" spans="1:29" ht="14.25" customHeight="1">
      <c r="A189" s="11" t="s">
        <v>202</v>
      </c>
      <c r="B189" s="12">
        <v>0</v>
      </c>
      <c r="C189" s="13"/>
      <c r="D189" s="12">
        <v>0</v>
      </c>
      <c r="E189" s="13"/>
      <c r="F189" s="12">
        <v>2</v>
      </c>
      <c r="G189" s="13">
        <v>1.6200000000000001E-4</v>
      </c>
      <c r="H189" s="12">
        <v>0</v>
      </c>
      <c r="I189" s="13"/>
      <c r="J189" s="12">
        <v>0</v>
      </c>
      <c r="K189" s="13"/>
      <c r="L189" s="12">
        <v>0</v>
      </c>
      <c r="M189" s="13"/>
      <c r="N189" s="12">
        <v>48</v>
      </c>
      <c r="O189" s="13">
        <v>3.8990000000000001E-3</v>
      </c>
      <c r="P189" s="12">
        <v>0</v>
      </c>
      <c r="Q189" s="13"/>
      <c r="R189" s="12">
        <v>0</v>
      </c>
      <c r="S189" s="13"/>
      <c r="T189" s="12">
        <v>2135</v>
      </c>
      <c r="U189" s="13">
        <v>0.17340800000000001</v>
      </c>
      <c r="V189" s="12">
        <v>0</v>
      </c>
      <c r="W189" s="13"/>
      <c r="X189" s="12">
        <v>0</v>
      </c>
      <c r="Y189" s="13"/>
      <c r="AA189" s="13"/>
      <c r="AB189" s="12">
        <v>0</v>
      </c>
      <c r="AC189" s="13"/>
    </row>
    <row r="190" spans="1:29" ht="14.25" customHeight="1">
      <c r="A190" s="11" t="s">
        <v>203</v>
      </c>
      <c r="B190" s="12">
        <v>0</v>
      </c>
      <c r="C190" s="13"/>
      <c r="D190" s="12">
        <v>0</v>
      </c>
      <c r="E190" s="13"/>
      <c r="F190" s="12">
        <v>0</v>
      </c>
      <c r="G190" s="13"/>
      <c r="H190" s="12">
        <v>0</v>
      </c>
      <c r="I190" s="13"/>
      <c r="J190" s="12">
        <v>0</v>
      </c>
      <c r="K190" s="13"/>
      <c r="L190" s="12">
        <v>0</v>
      </c>
      <c r="M190" s="13"/>
      <c r="N190" s="12">
        <v>55</v>
      </c>
      <c r="O190" s="13">
        <v>3.7759999999999998E-3</v>
      </c>
      <c r="P190" s="12">
        <v>0</v>
      </c>
      <c r="Q190" s="13"/>
      <c r="R190" s="12">
        <v>0</v>
      </c>
      <c r="S190" s="13"/>
      <c r="T190" s="12">
        <v>2372</v>
      </c>
      <c r="U190" s="13">
        <v>0.16283400000000001</v>
      </c>
      <c r="V190" s="12">
        <v>0</v>
      </c>
      <c r="W190" s="13"/>
      <c r="X190" s="12">
        <v>0</v>
      </c>
      <c r="Y190" s="13"/>
      <c r="AA190" s="13"/>
      <c r="AB190" s="12">
        <v>5</v>
      </c>
      <c r="AC190" s="13">
        <v>3.4299999999999999E-4</v>
      </c>
    </row>
    <row r="191" spans="1:29" ht="14.25" customHeight="1">
      <c r="A191" s="11" t="s">
        <v>204</v>
      </c>
      <c r="B191" s="12">
        <v>0</v>
      </c>
      <c r="C191" s="13"/>
      <c r="D191" s="12">
        <v>0</v>
      </c>
      <c r="E191" s="13"/>
      <c r="F191" s="12">
        <v>0</v>
      </c>
      <c r="G191" s="13"/>
      <c r="H191" s="12">
        <v>0</v>
      </c>
      <c r="I191" s="13"/>
      <c r="J191" s="12">
        <v>0</v>
      </c>
      <c r="K191" s="13"/>
      <c r="L191" s="12">
        <v>0</v>
      </c>
      <c r="M191" s="13"/>
      <c r="N191" s="12">
        <v>121</v>
      </c>
      <c r="O191" s="13">
        <v>7.4070000000000004E-3</v>
      </c>
      <c r="P191" s="12">
        <v>0</v>
      </c>
      <c r="Q191" s="13"/>
      <c r="R191" s="12">
        <v>0</v>
      </c>
      <c r="S191" s="13"/>
      <c r="T191" s="12">
        <v>2420</v>
      </c>
      <c r="U191" s="13">
        <v>0.14813899999999999</v>
      </c>
      <c r="V191" s="12">
        <v>0</v>
      </c>
      <c r="W191" s="13"/>
      <c r="X191" s="12">
        <v>0</v>
      </c>
      <c r="Y191" s="13"/>
      <c r="AA191" s="13"/>
      <c r="AB191" s="12">
        <v>6</v>
      </c>
      <c r="AC191" s="13">
        <v>3.6699999999999998E-4</v>
      </c>
    </row>
    <row r="192" spans="1:29" ht="14.25" customHeight="1">
      <c r="A192" s="11" t="s">
        <v>205</v>
      </c>
      <c r="B192" s="12">
        <v>0</v>
      </c>
      <c r="C192" s="13"/>
      <c r="D192" s="12">
        <v>0</v>
      </c>
      <c r="E192" s="13"/>
      <c r="F192" s="12">
        <v>0</v>
      </c>
      <c r="G192" s="13"/>
      <c r="H192" s="12">
        <v>0</v>
      </c>
      <c r="I192" s="13"/>
      <c r="J192" s="12">
        <v>0</v>
      </c>
      <c r="K192" s="13"/>
      <c r="L192" s="12">
        <v>0</v>
      </c>
      <c r="M192" s="13"/>
      <c r="N192" s="12">
        <v>149</v>
      </c>
      <c r="O192" s="13">
        <v>8.1010000000000006E-3</v>
      </c>
      <c r="P192" s="12">
        <v>0</v>
      </c>
      <c r="Q192" s="13"/>
      <c r="R192" s="12">
        <v>0</v>
      </c>
      <c r="S192" s="13"/>
      <c r="T192" s="12">
        <v>2571</v>
      </c>
      <c r="U192" s="13">
        <v>0.13978099999999999</v>
      </c>
      <c r="V192" s="12">
        <v>0</v>
      </c>
      <c r="W192" s="13"/>
      <c r="X192" s="12">
        <v>0</v>
      </c>
      <c r="Y192" s="13"/>
      <c r="AA192" s="13"/>
      <c r="AB192" s="14">
        <v>15</v>
      </c>
      <c r="AC192" s="13">
        <v>8.1599999999999999E-4</v>
      </c>
    </row>
    <row r="193" spans="1:29" ht="14.25" customHeight="1">
      <c r="A193" s="11" t="s">
        <v>206</v>
      </c>
      <c r="B193" s="12">
        <v>0</v>
      </c>
      <c r="C193" s="13"/>
      <c r="D193" s="12">
        <v>0</v>
      </c>
      <c r="E193" s="13"/>
      <c r="F193" s="12">
        <v>2</v>
      </c>
      <c r="G193" s="13">
        <v>9.8999999999999994E-5</v>
      </c>
      <c r="H193" s="12">
        <v>0</v>
      </c>
      <c r="I193" s="13"/>
      <c r="J193" s="12">
        <v>0</v>
      </c>
      <c r="K193" s="13"/>
      <c r="L193" s="12">
        <v>0</v>
      </c>
      <c r="M193" s="13"/>
      <c r="N193" s="12">
        <v>335</v>
      </c>
      <c r="O193" s="13">
        <v>1.6511000000000001E-2</v>
      </c>
      <c r="P193" s="12">
        <v>0</v>
      </c>
      <c r="Q193" s="13"/>
      <c r="R193" s="12">
        <v>0</v>
      </c>
      <c r="S193" s="13"/>
      <c r="T193" s="12">
        <v>2595</v>
      </c>
      <c r="U193" s="13">
        <v>0.12789600000000001</v>
      </c>
      <c r="V193" s="12">
        <v>0</v>
      </c>
      <c r="W193" s="13"/>
      <c r="X193" s="12">
        <v>0</v>
      </c>
      <c r="Y193" s="13"/>
      <c r="AA193" s="13"/>
      <c r="AB193" s="14">
        <v>32</v>
      </c>
      <c r="AC193" s="13">
        <v>1.5770000000000001E-3</v>
      </c>
    </row>
    <row r="194" spans="1:29" ht="14.25" customHeight="1">
      <c r="A194" s="11" t="s">
        <v>207</v>
      </c>
      <c r="B194" s="12">
        <v>0</v>
      </c>
      <c r="C194" s="13"/>
      <c r="D194" s="12">
        <v>0</v>
      </c>
      <c r="E194" s="13"/>
      <c r="F194" s="12">
        <v>0</v>
      </c>
      <c r="G194" s="13"/>
      <c r="H194" s="12">
        <v>0</v>
      </c>
      <c r="I194" s="13"/>
      <c r="J194" s="12">
        <v>0</v>
      </c>
      <c r="K194" s="13"/>
      <c r="L194" s="12">
        <v>0</v>
      </c>
      <c r="M194" s="13"/>
      <c r="N194" s="12">
        <v>499</v>
      </c>
      <c r="O194" s="13">
        <v>2.0497000000000001E-2</v>
      </c>
      <c r="P194" s="12">
        <v>0</v>
      </c>
      <c r="Q194" s="13"/>
      <c r="R194" s="12">
        <v>0</v>
      </c>
      <c r="S194" s="13"/>
      <c r="T194" s="12">
        <v>2783</v>
      </c>
      <c r="U194" s="13">
        <v>0.114315</v>
      </c>
      <c r="V194" s="12">
        <v>0</v>
      </c>
      <c r="W194" s="13"/>
      <c r="X194" s="12">
        <v>0</v>
      </c>
      <c r="Y194" s="13"/>
      <c r="AA194" s="13"/>
      <c r="AB194" s="14">
        <v>88</v>
      </c>
      <c r="AC194" s="13">
        <v>3.6150000000000002E-3</v>
      </c>
    </row>
    <row r="195" spans="1:29" ht="14.25" customHeight="1">
      <c r="A195" s="11" t="s">
        <v>208</v>
      </c>
      <c r="B195" s="12">
        <v>0</v>
      </c>
      <c r="C195" s="13"/>
      <c r="D195" s="12">
        <v>0</v>
      </c>
      <c r="E195" s="13"/>
      <c r="F195" s="12">
        <v>0</v>
      </c>
      <c r="G195" s="13"/>
      <c r="H195" s="12">
        <v>0</v>
      </c>
      <c r="I195" s="13"/>
      <c r="J195" s="12">
        <v>0</v>
      </c>
      <c r="K195" s="13"/>
      <c r="L195" s="12">
        <v>0</v>
      </c>
      <c r="M195" s="13"/>
      <c r="N195" s="12">
        <v>630</v>
      </c>
      <c r="O195" s="13">
        <v>2.6183000000000001E-2</v>
      </c>
      <c r="P195" s="12">
        <v>0</v>
      </c>
      <c r="Q195" s="13"/>
      <c r="R195" s="12">
        <v>0</v>
      </c>
      <c r="S195" s="13"/>
      <c r="T195" s="12">
        <v>2693</v>
      </c>
      <c r="U195" s="13">
        <v>0.111924</v>
      </c>
      <c r="V195" s="12">
        <v>0</v>
      </c>
      <c r="W195" s="13"/>
      <c r="X195" s="12">
        <v>0</v>
      </c>
      <c r="Y195" s="13"/>
      <c r="AA195" s="13"/>
      <c r="AB195" s="14">
        <v>58</v>
      </c>
      <c r="AC195" s="13">
        <v>2.4109999999999999E-3</v>
      </c>
    </row>
    <row r="196" spans="1:29" ht="14.25" customHeight="1">
      <c r="A196" s="11" t="s">
        <v>209</v>
      </c>
      <c r="B196" s="12">
        <v>0</v>
      </c>
      <c r="C196" s="13"/>
      <c r="D196" s="12">
        <v>0</v>
      </c>
      <c r="E196" s="13"/>
      <c r="F196" s="12">
        <v>0</v>
      </c>
      <c r="G196" s="13"/>
      <c r="H196" s="12">
        <v>0</v>
      </c>
      <c r="I196" s="13"/>
      <c r="J196" s="12">
        <v>0</v>
      </c>
      <c r="K196" s="13"/>
      <c r="L196" s="12">
        <v>0</v>
      </c>
      <c r="M196" s="13"/>
      <c r="N196" s="12">
        <v>972</v>
      </c>
      <c r="O196" s="13">
        <v>3.7408999999999998E-2</v>
      </c>
      <c r="P196" s="12">
        <v>0</v>
      </c>
      <c r="Q196" s="13"/>
      <c r="R196" s="12">
        <v>0</v>
      </c>
      <c r="S196" s="13"/>
      <c r="T196" s="12">
        <v>2608</v>
      </c>
      <c r="U196" s="13">
        <v>0.100373</v>
      </c>
      <c r="V196" s="12">
        <v>0</v>
      </c>
      <c r="W196" s="13"/>
      <c r="X196" s="12">
        <v>0</v>
      </c>
      <c r="Y196" s="13"/>
      <c r="AA196" s="13"/>
      <c r="AB196" s="14">
        <v>113</v>
      </c>
      <c r="AC196" s="13">
        <v>4.3489999999999996E-3</v>
      </c>
    </row>
    <row r="197" spans="1:29" ht="14.25" customHeight="1">
      <c r="A197" s="11" t="s">
        <v>210</v>
      </c>
      <c r="B197" s="12">
        <v>0</v>
      </c>
      <c r="C197" s="13"/>
      <c r="D197" s="12">
        <v>0</v>
      </c>
      <c r="E197" s="13"/>
      <c r="F197" s="12">
        <v>0</v>
      </c>
      <c r="G197" s="13"/>
      <c r="H197" s="12">
        <v>0</v>
      </c>
      <c r="I197" s="13"/>
      <c r="J197" s="12">
        <v>0</v>
      </c>
      <c r="K197" s="13"/>
      <c r="L197" s="12">
        <v>0</v>
      </c>
      <c r="M197" s="13"/>
      <c r="N197" s="12">
        <v>1221</v>
      </c>
      <c r="O197" s="13">
        <v>4.8599000000000003E-2</v>
      </c>
      <c r="P197" s="12">
        <v>0</v>
      </c>
      <c r="Q197" s="13"/>
      <c r="R197" s="12">
        <v>0</v>
      </c>
      <c r="S197" s="13"/>
      <c r="T197" s="12">
        <v>2516</v>
      </c>
      <c r="U197" s="13">
        <v>0.100143</v>
      </c>
      <c r="V197" s="12">
        <v>0</v>
      </c>
      <c r="W197" s="13"/>
      <c r="X197" s="12">
        <v>0</v>
      </c>
      <c r="Y197" s="13"/>
      <c r="AA197" s="13"/>
      <c r="AB197" s="14">
        <v>126</v>
      </c>
      <c r="AC197" s="13">
        <v>5.0150000000000004E-3</v>
      </c>
    </row>
    <row r="198" spans="1:29" ht="14.25" customHeight="1">
      <c r="A198" s="11" t="s">
        <v>211</v>
      </c>
      <c r="B198" s="12">
        <v>0</v>
      </c>
      <c r="C198" s="13"/>
      <c r="D198" s="12">
        <v>0</v>
      </c>
      <c r="E198" s="13"/>
      <c r="F198" s="12">
        <v>0</v>
      </c>
      <c r="G198" s="13"/>
      <c r="H198" s="12">
        <v>0</v>
      </c>
      <c r="I198" s="13"/>
      <c r="J198" s="12">
        <v>0</v>
      </c>
      <c r="K198" s="13"/>
      <c r="L198" s="12">
        <v>0</v>
      </c>
      <c r="M198" s="13"/>
      <c r="N198" s="12">
        <v>1565</v>
      </c>
      <c r="O198" s="13">
        <v>5.9456000000000002E-2</v>
      </c>
      <c r="P198" s="12">
        <v>0</v>
      </c>
      <c r="Q198" s="13"/>
      <c r="R198" s="12">
        <v>0</v>
      </c>
      <c r="S198" s="13"/>
      <c r="T198" s="12">
        <v>2553</v>
      </c>
      <c r="U198" s="13">
        <v>9.6990999999999994E-2</v>
      </c>
      <c r="V198" s="12">
        <v>0</v>
      </c>
      <c r="W198" s="13"/>
      <c r="X198" s="12">
        <v>0</v>
      </c>
      <c r="Y198" s="13"/>
      <c r="AA198" s="13"/>
      <c r="AB198" s="14">
        <v>215</v>
      </c>
      <c r="AC198" s="13">
        <v>8.1679999999999999E-3</v>
      </c>
    </row>
    <row r="199" spans="1:29" ht="14.25" customHeight="1">
      <c r="A199" s="11" t="s">
        <v>212</v>
      </c>
      <c r="B199" s="12">
        <v>0</v>
      </c>
      <c r="C199" s="13"/>
      <c r="D199" s="12">
        <v>0</v>
      </c>
      <c r="E199" s="13"/>
      <c r="F199" s="12">
        <v>0</v>
      </c>
      <c r="G199" s="13"/>
      <c r="H199" s="12">
        <v>0</v>
      </c>
      <c r="I199" s="13"/>
      <c r="J199" s="12">
        <v>0</v>
      </c>
      <c r="K199" s="13"/>
      <c r="L199" s="12">
        <v>0</v>
      </c>
      <c r="M199" s="13"/>
      <c r="N199" s="12">
        <v>1605</v>
      </c>
      <c r="O199" s="13">
        <v>6.6103999999999996E-2</v>
      </c>
      <c r="P199" s="12">
        <v>0</v>
      </c>
      <c r="Q199" s="13"/>
      <c r="R199" s="12">
        <v>0</v>
      </c>
      <c r="S199" s="13"/>
      <c r="T199" s="12">
        <v>2442</v>
      </c>
      <c r="U199" s="13">
        <v>0.100577</v>
      </c>
      <c r="V199" s="12">
        <v>0</v>
      </c>
      <c r="W199" s="13"/>
      <c r="X199" s="12">
        <v>0</v>
      </c>
      <c r="Y199" s="13"/>
      <c r="AA199" s="13"/>
      <c r="AB199" s="14">
        <v>295</v>
      </c>
      <c r="AC199" s="13">
        <v>1.2149999999999999E-2</v>
      </c>
    </row>
    <row r="200" spans="1:29" ht="14.25" customHeight="1">
      <c r="A200" s="11" t="s">
        <v>213</v>
      </c>
      <c r="B200" s="12">
        <v>0</v>
      </c>
      <c r="C200" s="13"/>
      <c r="D200" s="12">
        <v>0</v>
      </c>
      <c r="E200" s="13"/>
      <c r="F200" s="12">
        <v>0</v>
      </c>
      <c r="G200" s="13"/>
      <c r="H200" s="12">
        <v>0</v>
      </c>
      <c r="I200" s="13"/>
      <c r="J200" s="12">
        <v>0</v>
      </c>
      <c r="K200" s="13"/>
      <c r="L200" s="12">
        <v>0</v>
      </c>
      <c r="M200" s="13"/>
      <c r="N200" s="12">
        <v>1921</v>
      </c>
      <c r="O200" s="13">
        <v>8.1488000000000005E-2</v>
      </c>
      <c r="P200" s="12">
        <v>0</v>
      </c>
      <c r="Q200" s="13"/>
      <c r="R200" s="12">
        <v>0</v>
      </c>
      <c r="S200" s="13"/>
      <c r="T200" s="12">
        <v>2428</v>
      </c>
      <c r="U200" s="13">
        <v>0.102995</v>
      </c>
      <c r="V200" s="12">
        <v>0</v>
      </c>
      <c r="W200" s="13"/>
      <c r="X200" s="12">
        <v>0</v>
      </c>
      <c r="Y200" s="13"/>
      <c r="AA200" s="13"/>
      <c r="AB200" s="14">
        <v>454</v>
      </c>
      <c r="AC200" s="13">
        <v>1.9258999999999998E-2</v>
      </c>
    </row>
    <row r="201" spans="1:29" ht="14.25" customHeight="1">
      <c r="A201" s="11" t="s">
        <v>214</v>
      </c>
      <c r="B201" s="12">
        <v>0</v>
      </c>
      <c r="C201" s="13"/>
      <c r="D201" s="12">
        <v>0</v>
      </c>
      <c r="E201" s="13"/>
      <c r="F201" s="12">
        <v>1</v>
      </c>
      <c r="G201" s="13">
        <v>4.5000000000000003E-5</v>
      </c>
      <c r="H201" s="12">
        <v>0</v>
      </c>
      <c r="I201" s="13"/>
      <c r="J201" s="12">
        <v>0</v>
      </c>
      <c r="K201" s="13"/>
      <c r="L201" s="12">
        <v>0</v>
      </c>
      <c r="M201" s="13"/>
      <c r="N201" s="12">
        <v>2257</v>
      </c>
      <c r="O201" s="13">
        <v>0.101607</v>
      </c>
      <c r="P201" s="12">
        <v>0</v>
      </c>
      <c r="Q201" s="13"/>
      <c r="R201" s="12">
        <v>0</v>
      </c>
      <c r="S201" s="13"/>
      <c r="T201" s="12">
        <v>2230</v>
      </c>
      <c r="U201" s="13">
        <v>0.100392</v>
      </c>
      <c r="V201" s="12">
        <v>0</v>
      </c>
      <c r="W201" s="13"/>
      <c r="X201" s="12">
        <v>0</v>
      </c>
      <c r="Y201" s="13"/>
      <c r="AA201" s="13"/>
      <c r="AB201" s="14">
        <v>598</v>
      </c>
      <c r="AC201" s="13">
        <v>2.6921E-2</v>
      </c>
    </row>
    <row r="202" spans="1:29" ht="14.25" customHeight="1">
      <c r="A202" s="11" t="s">
        <v>215</v>
      </c>
      <c r="B202" s="12">
        <v>1</v>
      </c>
      <c r="C202" s="13">
        <v>4.6E-5</v>
      </c>
      <c r="D202" s="12">
        <v>0</v>
      </c>
      <c r="E202" s="13"/>
      <c r="F202" s="12">
        <v>0</v>
      </c>
      <c r="G202" s="13"/>
      <c r="H202" s="12">
        <v>0</v>
      </c>
      <c r="I202" s="13"/>
      <c r="J202" s="12">
        <v>0</v>
      </c>
      <c r="K202" s="13"/>
      <c r="L202" s="12">
        <v>0</v>
      </c>
      <c r="M202" s="13"/>
      <c r="N202" s="12">
        <v>2368</v>
      </c>
      <c r="O202" s="13">
        <v>0.109802</v>
      </c>
      <c r="P202" s="12">
        <v>0</v>
      </c>
      <c r="Q202" s="13"/>
      <c r="R202" s="12">
        <v>0</v>
      </c>
      <c r="S202" s="13"/>
      <c r="T202" s="12">
        <v>2234</v>
      </c>
      <c r="U202" s="13">
        <v>0.103589</v>
      </c>
      <c r="V202" s="12">
        <v>0</v>
      </c>
      <c r="W202" s="13"/>
      <c r="X202" s="12">
        <v>0</v>
      </c>
      <c r="Y202" s="13"/>
      <c r="AA202" s="13"/>
      <c r="AB202" s="14">
        <v>844</v>
      </c>
      <c r="AC202" s="13">
        <v>3.9135999999999997E-2</v>
      </c>
    </row>
    <row r="203" spans="1:29" ht="14.25" customHeight="1">
      <c r="A203" s="11" t="s">
        <v>216</v>
      </c>
      <c r="B203" s="12">
        <v>0</v>
      </c>
      <c r="C203" s="13"/>
      <c r="D203" s="12">
        <v>0</v>
      </c>
      <c r="E203" s="13"/>
      <c r="F203" s="12">
        <v>0</v>
      </c>
      <c r="G203" s="13"/>
      <c r="H203" s="12">
        <v>0</v>
      </c>
      <c r="I203" s="13"/>
      <c r="J203" s="12">
        <v>0</v>
      </c>
      <c r="K203" s="13"/>
      <c r="L203" s="12">
        <v>0</v>
      </c>
      <c r="M203" s="13"/>
      <c r="N203" s="12">
        <v>2584</v>
      </c>
      <c r="O203" s="13">
        <v>0.120102</v>
      </c>
      <c r="P203" s="12">
        <v>0</v>
      </c>
      <c r="Q203" s="13"/>
      <c r="R203" s="12">
        <v>0</v>
      </c>
      <c r="S203" s="13"/>
      <c r="T203" s="12">
        <v>2160</v>
      </c>
      <c r="U203" s="13">
        <v>0.100395</v>
      </c>
      <c r="V203" s="12">
        <v>0</v>
      </c>
      <c r="W203" s="13"/>
      <c r="X203" s="12">
        <v>0</v>
      </c>
      <c r="Y203" s="13"/>
      <c r="AA203" s="13"/>
      <c r="AB203" s="14">
        <v>1177</v>
      </c>
      <c r="AC203" s="13">
        <v>5.4705999999999998E-2</v>
      </c>
    </row>
    <row r="204" spans="1:29" ht="14.25" customHeight="1">
      <c r="A204" s="11" t="s">
        <v>217</v>
      </c>
      <c r="B204" s="12">
        <v>1</v>
      </c>
      <c r="C204" s="13">
        <v>4.6999999999999997E-5</v>
      </c>
      <c r="D204" s="12">
        <v>0</v>
      </c>
      <c r="E204" s="13"/>
      <c r="F204" s="12">
        <v>0</v>
      </c>
      <c r="G204" s="13"/>
      <c r="H204" s="12">
        <v>0</v>
      </c>
      <c r="I204" s="13"/>
      <c r="J204" s="12">
        <v>0</v>
      </c>
      <c r="K204" s="13"/>
      <c r="L204" s="12">
        <v>0</v>
      </c>
      <c r="M204" s="13"/>
      <c r="N204" s="12">
        <v>2687</v>
      </c>
      <c r="O204" s="13">
        <v>0.126919</v>
      </c>
      <c r="P204" s="12">
        <v>0</v>
      </c>
      <c r="Q204" s="13"/>
      <c r="R204" s="12">
        <v>0</v>
      </c>
      <c r="S204" s="13"/>
      <c r="T204" s="12">
        <v>2066</v>
      </c>
      <c r="U204" s="13">
        <v>9.7586000000000006E-2</v>
      </c>
      <c r="V204" s="12">
        <v>0</v>
      </c>
      <c r="W204" s="13"/>
      <c r="X204" s="12">
        <v>0</v>
      </c>
      <c r="Y204" s="13"/>
      <c r="AA204" s="13"/>
      <c r="AB204" s="14">
        <v>1704</v>
      </c>
      <c r="AC204" s="13">
        <v>8.0487000000000003E-2</v>
      </c>
    </row>
    <row r="205" spans="1:29" ht="14.25" customHeight="1">
      <c r="A205" s="11" t="s">
        <v>218</v>
      </c>
      <c r="B205" s="12">
        <v>0</v>
      </c>
      <c r="C205" s="13"/>
      <c r="D205" s="12">
        <v>0</v>
      </c>
      <c r="E205" s="13"/>
      <c r="F205" s="12">
        <v>1</v>
      </c>
      <c r="G205" s="13">
        <v>4.6E-5</v>
      </c>
      <c r="H205" s="12">
        <v>0</v>
      </c>
      <c r="I205" s="13"/>
      <c r="J205" s="12">
        <v>0</v>
      </c>
      <c r="K205" s="13"/>
      <c r="L205" s="12">
        <v>0</v>
      </c>
      <c r="M205" s="13"/>
      <c r="N205" s="12">
        <v>2819</v>
      </c>
      <c r="O205" s="13">
        <v>0.129022</v>
      </c>
      <c r="P205" s="12">
        <v>0</v>
      </c>
      <c r="Q205" s="13"/>
      <c r="R205" s="12">
        <v>0</v>
      </c>
      <c r="S205" s="13"/>
      <c r="T205" s="12">
        <v>2158</v>
      </c>
      <c r="U205" s="13">
        <v>9.8768999999999996E-2</v>
      </c>
      <c r="V205" s="12">
        <v>0</v>
      </c>
      <c r="W205" s="13"/>
      <c r="X205" s="12">
        <v>0</v>
      </c>
      <c r="Y205" s="13"/>
      <c r="AA205" s="13"/>
      <c r="AB205" s="14">
        <v>2238</v>
      </c>
      <c r="AC205" s="13">
        <v>0.10242999999999999</v>
      </c>
    </row>
    <row r="206" spans="1:29" ht="14.25" customHeight="1">
      <c r="A206" s="11" t="s">
        <v>219</v>
      </c>
      <c r="B206" s="12">
        <v>0</v>
      </c>
      <c r="C206" s="13"/>
      <c r="D206" s="12">
        <v>0</v>
      </c>
      <c r="E206" s="13"/>
      <c r="F206" s="12">
        <v>0</v>
      </c>
      <c r="G206" s="13"/>
      <c r="H206" s="12">
        <v>0</v>
      </c>
      <c r="I206" s="13"/>
      <c r="J206" s="12">
        <v>0</v>
      </c>
      <c r="K206" s="13"/>
      <c r="L206" s="12">
        <v>0</v>
      </c>
      <c r="M206" s="13"/>
      <c r="N206" s="12">
        <v>2885</v>
      </c>
      <c r="O206" s="13">
        <v>0.12806300000000001</v>
      </c>
      <c r="P206" s="12">
        <v>0</v>
      </c>
      <c r="Q206" s="13"/>
      <c r="R206" s="12">
        <v>0</v>
      </c>
      <c r="S206" s="13"/>
      <c r="T206" s="12">
        <v>2209</v>
      </c>
      <c r="U206" s="13">
        <v>9.8056000000000004E-2</v>
      </c>
      <c r="V206" s="12">
        <v>0</v>
      </c>
      <c r="W206" s="13"/>
      <c r="X206" s="12">
        <v>0</v>
      </c>
      <c r="Y206" s="13"/>
      <c r="AA206" s="13"/>
      <c r="AB206" s="14">
        <v>3352</v>
      </c>
      <c r="AC206" s="13">
        <v>0.14879300000000001</v>
      </c>
    </row>
    <row r="207" spans="1:29" ht="14.25" customHeight="1">
      <c r="A207" s="11" t="s">
        <v>220</v>
      </c>
      <c r="B207" s="12">
        <v>1</v>
      </c>
      <c r="C207" s="13">
        <v>4.5000000000000003E-5</v>
      </c>
      <c r="D207" s="12">
        <v>0</v>
      </c>
      <c r="E207" s="13"/>
      <c r="F207" s="12">
        <v>0</v>
      </c>
      <c r="G207" s="13"/>
      <c r="H207" s="12">
        <v>0</v>
      </c>
      <c r="I207" s="13"/>
      <c r="J207" s="12">
        <v>0</v>
      </c>
      <c r="K207" s="13"/>
      <c r="L207" s="12">
        <v>0</v>
      </c>
      <c r="M207" s="13"/>
      <c r="N207" s="12">
        <v>2682</v>
      </c>
      <c r="O207" s="13">
        <v>0.120882</v>
      </c>
      <c r="P207" s="12">
        <v>0</v>
      </c>
      <c r="Q207" s="13"/>
      <c r="R207" s="12">
        <v>0</v>
      </c>
      <c r="S207" s="13"/>
      <c r="T207" s="12">
        <v>1948</v>
      </c>
      <c r="U207" s="13">
        <v>8.7799000000000002E-2</v>
      </c>
      <c r="V207" s="12">
        <v>0</v>
      </c>
      <c r="W207" s="13"/>
      <c r="X207" s="12">
        <v>0</v>
      </c>
      <c r="Y207" s="13"/>
      <c r="AA207" s="13"/>
      <c r="AB207" s="14">
        <v>4859</v>
      </c>
      <c r="AC207" s="13">
        <v>0.219002</v>
      </c>
    </row>
    <row r="208" spans="1:29" ht="14.25" customHeight="1">
      <c r="A208" s="11" t="s">
        <v>221</v>
      </c>
      <c r="B208" s="12">
        <v>0</v>
      </c>
      <c r="C208" s="13"/>
      <c r="D208" s="12">
        <v>0</v>
      </c>
      <c r="E208" s="13"/>
      <c r="F208" s="12">
        <v>0</v>
      </c>
      <c r="G208" s="13"/>
      <c r="H208" s="12">
        <v>0</v>
      </c>
      <c r="I208" s="13"/>
      <c r="J208" s="12">
        <v>0</v>
      </c>
      <c r="K208" s="13"/>
      <c r="L208" s="12">
        <v>0</v>
      </c>
      <c r="M208" s="13"/>
      <c r="N208" s="12">
        <v>2478</v>
      </c>
      <c r="O208" s="13">
        <v>0.100024</v>
      </c>
      <c r="P208" s="12">
        <v>0</v>
      </c>
      <c r="Q208" s="13"/>
      <c r="R208" s="12">
        <v>0</v>
      </c>
      <c r="S208" s="13"/>
      <c r="T208" s="12">
        <v>2062</v>
      </c>
      <c r="U208" s="13">
        <v>8.3232E-2</v>
      </c>
      <c r="V208" s="12">
        <v>0</v>
      </c>
      <c r="W208" s="13"/>
      <c r="X208" s="12">
        <v>0</v>
      </c>
      <c r="Y208" s="13"/>
      <c r="AA208" s="13"/>
      <c r="AB208" s="14">
        <v>7912</v>
      </c>
      <c r="AC208" s="13">
        <v>0.31936700000000001</v>
      </c>
    </row>
    <row r="209" spans="1:29" ht="14.25" customHeight="1">
      <c r="A209" s="11" t="s">
        <v>222</v>
      </c>
      <c r="B209" s="12">
        <v>0</v>
      </c>
      <c r="C209" s="13"/>
      <c r="D209" s="12">
        <v>0</v>
      </c>
      <c r="E209" s="13"/>
      <c r="F209" s="12">
        <v>0</v>
      </c>
      <c r="G209" s="13"/>
      <c r="H209" s="12">
        <v>0</v>
      </c>
      <c r="I209" s="13"/>
      <c r="J209" s="12">
        <v>0</v>
      </c>
      <c r="K209" s="13"/>
      <c r="L209" s="12">
        <v>0</v>
      </c>
      <c r="M209" s="13"/>
      <c r="N209" s="12">
        <v>2521</v>
      </c>
      <c r="O209" s="13">
        <v>9.3433000000000002E-2</v>
      </c>
      <c r="P209" s="12">
        <v>0</v>
      </c>
      <c r="Q209" s="13"/>
      <c r="R209" s="12">
        <v>0</v>
      </c>
      <c r="S209" s="13"/>
      <c r="T209" s="12">
        <v>1867</v>
      </c>
      <c r="U209" s="13">
        <v>6.9194000000000006E-2</v>
      </c>
      <c r="V209" s="12">
        <v>0</v>
      </c>
      <c r="W209" s="13"/>
      <c r="X209" s="12">
        <v>0</v>
      </c>
      <c r="Y209" s="13"/>
      <c r="AA209" s="13"/>
      <c r="AB209" s="14">
        <v>11244</v>
      </c>
      <c r="AC209" s="13">
        <v>0.41672199999999998</v>
      </c>
    </row>
    <row r="210" spans="1:29" ht="14.25" customHeight="1">
      <c r="A210" s="11" t="s">
        <v>223</v>
      </c>
      <c r="B210" s="12">
        <v>0</v>
      </c>
      <c r="C210" s="13"/>
      <c r="D210" s="12">
        <v>0</v>
      </c>
      <c r="E210" s="13"/>
      <c r="F210" s="12">
        <v>0</v>
      </c>
      <c r="G210" s="13"/>
      <c r="H210" s="12">
        <v>0</v>
      </c>
      <c r="I210" s="13"/>
      <c r="J210" s="12">
        <v>0</v>
      </c>
      <c r="K210" s="13"/>
      <c r="L210" s="12">
        <v>0</v>
      </c>
      <c r="M210" s="13"/>
      <c r="N210" s="12">
        <v>1998</v>
      </c>
      <c r="O210" s="13">
        <v>7.2954000000000005E-2</v>
      </c>
      <c r="P210" s="12">
        <v>0</v>
      </c>
      <c r="Q210" s="13"/>
      <c r="R210" s="12">
        <v>0</v>
      </c>
      <c r="S210" s="13"/>
      <c r="T210" s="12">
        <v>1710</v>
      </c>
      <c r="U210" s="13">
        <v>6.2438E-2</v>
      </c>
      <c r="V210" s="12">
        <v>0</v>
      </c>
      <c r="W210" s="13"/>
      <c r="X210" s="12">
        <v>0</v>
      </c>
      <c r="Y210" s="13"/>
      <c r="AA210" s="13"/>
      <c r="AB210" s="14">
        <v>14516</v>
      </c>
      <c r="AC210" s="13">
        <v>0.53003199999999995</v>
      </c>
    </row>
    <row r="211" spans="1:29" ht="14.25" customHeight="1">
      <c r="A211" s="11" t="s">
        <v>224</v>
      </c>
      <c r="B211" s="12">
        <v>0</v>
      </c>
      <c r="C211" s="13"/>
      <c r="D211" s="12">
        <v>0</v>
      </c>
      <c r="E211" s="13"/>
      <c r="F211" s="12">
        <v>1</v>
      </c>
      <c r="G211" s="13">
        <v>4.1999999999999998E-5</v>
      </c>
      <c r="H211" s="12">
        <v>0</v>
      </c>
      <c r="I211" s="13"/>
      <c r="J211" s="12">
        <v>0</v>
      </c>
      <c r="K211" s="13"/>
      <c r="L211" s="12">
        <v>0</v>
      </c>
      <c r="M211" s="13"/>
      <c r="N211" s="12">
        <v>1351</v>
      </c>
      <c r="O211" s="13">
        <v>5.6286999999999997E-2</v>
      </c>
      <c r="P211" s="12">
        <v>0</v>
      </c>
      <c r="Q211" s="13"/>
      <c r="R211" s="12">
        <v>0</v>
      </c>
      <c r="S211" s="13"/>
      <c r="T211" s="12">
        <v>1197</v>
      </c>
      <c r="U211" s="13">
        <v>4.9870999999999999E-2</v>
      </c>
      <c r="V211" s="12">
        <v>0</v>
      </c>
      <c r="W211" s="13"/>
      <c r="X211" s="12">
        <v>0</v>
      </c>
      <c r="Y211" s="13"/>
      <c r="AA211" s="13"/>
      <c r="AB211" s="14">
        <v>14810</v>
      </c>
      <c r="AC211" s="13">
        <v>0.61703200000000002</v>
      </c>
    </row>
    <row r="212" spans="1:29" ht="14.25" customHeight="1">
      <c r="A212" s="11" t="s">
        <v>225</v>
      </c>
      <c r="B212" s="12">
        <v>0</v>
      </c>
      <c r="C212" s="13"/>
      <c r="D212" s="12">
        <v>0</v>
      </c>
      <c r="E212" s="13"/>
      <c r="F212" s="12">
        <v>0</v>
      </c>
      <c r="G212" s="13"/>
      <c r="H212" s="12">
        <v>0</v>
      </c>
      <c r="I212" s="13"/>
      <c r="J212" s="12">
        <v>0</v>
      </c>
      <c r="K212" s="13"/>
      <c r="L212" s="12">
        <v>0</v>
      </c>
      <c r="M212" s="13"/>
      <c r="N212" s="12">
        <v>1136</v>
      </c>
      <c r="O212" s="13">
        <v>5.0412999999999999E-2</v>
      </c>
      <c r="P212" s="12">
        <v>0</v>
      </c>
      <c r="Q212" s="13"/>
      <c r="R212" s="12">
        <v>0</v>
      </c>
      <c r="S212" s="13"/>
      <c r="T212" s="12">
        <v>870</v>
      </c>
      <c r="U212" s="13">
        <v>3.8608000000000003E-2</v>
      </c>
      <c r="V212" s="12">
        <v>0</v>
      </c>
      <c r="W212" s="13"/>
      <c r="X212" s="12">
        <v>0</v>
      </c>
      <c r="Y212" s="13"/>
      <c r="AA212" s="13"/>
      <c r="AB212" s="14">
        <v>15692</v>
      </c>
      <c r="AC212" s="13">
        <v>0.69637000000000004</v>
      </c>
    </row>
    <row r="213" spans="1:29" ht="14.25" customHeight="1">
      <c r="A213" s="11" t="s">
        <v>226</v>
      </c>
      <c r="B213" s="12">
        <v>0</v>
      </c>
      <c r="C213" s="13"/>
      <c r="D213" s="12">
        <v>0</v>
      </c>
      <c r="E213" s="13"/>
      <c r="F213" s="12">
        <v>0</v>
      </c>
      <c r="G213" s="13"/>
      <c r="H213" s="12">
        <v>0</v>
      </c>
      <c r="I213" s="13"/>
      <c r="J213" s="12">
        <v>0</v>
      </c>
      <c r="K213" s="13"/>
      <c r="L213" s="12">
        <v>0</v>
      </c>
      <c r="M213" s="13"/>
      <c r="N213" s="12">
        <v>775</v>
      </c>
      <c r="O213" s="13">
        <v>3.2339E-2</v>
      </c>
      <c r="P213" s="12">
        <v>0</v>
      </c>
      <c r="Q213" s="13"/>
      <c r="R213" s="12">
        <v>0</v>
      </c>
      <c r="S213" s="13"/>
      <c r="T213" s="12">
        <v>831</v>
      </c>
      <c r="U213" s="13">
        <v>3.4675999999999998E-2</v>
      </c>
      <c r="V213" s="12">
        <v>0</v>
      </c>
      <c r="W213" s="13"/>
      <c r="X213" s="12">
        <v>0</v>
      </c>
      <c r="Y213" s="13"/>
      <c r="AA213" s="13"/>
      <c r="AB213" s="14">
        <v>18436</v>
      </c>
      <c r="AC213" s="13">
        <v>0.769289</v>
      </c>
    </row>
    <row r="214" spans="1:29" ht="14.25" customHeight="1">
      <c r="A214" s="11" t="s">
        <v>227</v>
      </c>
      <c r="B214" s="12">
        <v>1</v>
      </c>
      <c r="C214" s="13">
        <v>4.6999999999999997E-5</v>
      </c>
      <c r="D214" s="12">
        <v>0</v>
      </c>
      <c r="E214" s="13"/>
      <c r="F214" s="12">
        <v>0</v>
      </c>
      <c r="G214" s="13"/>
      <c r="H214" s="12">
        <v>0</v>
      </c>
      <c r="I214" s="13"/>
      <c r="J214" s="12">
        <v>0</v>
      </c>
      <c r="K214" s="13"/>
      <c r="L214" s="12">
        <v>0</v>
      </c>
      <c r="M214" s="13"/>
      <c r="N214" s="12">
        <v>672</v>
      </c>
      <c r="O214" s="13">
        <v>3.1618E-2</v>
      </c>
      <c r="P214" s="12">
        <v>0</v>
      </c>
      <c r="Q214" s="13"/>
      <c r="R214" s="12">
        <v>0</v>
      </c>
      <c r="S214" s="13"/>
      <c r="T214" s="12">
        <v>599</v>
      </c>
      <c r="U214" s="13">
        <v>2.8183E-2</v>
      </c>
      <c r="V214" s="12">
        <v>0</v>
      </c>
      <c r="W214" s="13"/>
      <c r="X214" s="12">
        <v>0</v>
      </c>
      <c r="Y214" s="13"/>
      <c r="AA214" s="13"/>
      <c r="AB214" s="14">
        <v>16954</v>
      </c>
      <c r="AC214" s="13">
        <v>0.79768499999999998</v>
      </c>
    </row>
    <row r="215" spans="1:29" ht="14.25" customHeight="1">
      <c r="A215" s="11" t="s">
        <v>228</v>
      </c>
      <c r="B215" s="12">
        <v>0</v>
      </c>
      <c r="C215" s="13"/>
      <c r="D215" s="12">
        <v>0</v>
      </c>
      <c r="E215" s="13"/>
      <c r="F215" s="12">
        <v>0</v>
      </c>
      <c r="G215" s="13"/>
      <c r="H215" s="12">
        <v>0</v>
      </c>
      <c r="I215" s="13"/>
      <c r="J215" s="12">
        <v>0</v>
      </c>
      <c r="K215" s="13"/>
      <c r="L215" s="12">
        <v>0</v>
      </c>
      <c r="M215" s="13"/>
      <c r="N215" s="12">
        <v>562</v>
      </c>
      <c r="O215" s="13">
        <v>3.0780999999999999E-2</v>
      </c>
      <c r="P215" s="12">
        <v>0</v>
      </c>
      <c r="Q215" s="13"/>
      <c r="R215" s="12">
        <v>0</v>
      </c>
      <c r="S215" s="13"/>
      <c r="T215" s="12">
        <v>378</v>
      </c>
      <c r="U215" s="13">
        <v>2.0702999999999999E-2</v>
      </c>
      <c r="V215" s="12">
        <v>0</v>
      </c>
      <c r="W215" s="13"/>
      <c r="X215" s="12">
        <v>0</v>
      </c>
      <c r="Y215" s="13"/>
      <c r="AA215" s="13"/>
      <c r="AB215" s="14">
        <v>15263</v>
      </c>
      <c r="AC215" s="13">
        <v>0.83596199999999998</v>
      </c>
    </row>
    <row r="216" spans="1:29" ht="14.25" customHeight="1">
      <c r="A216" s="11" t="s">
        <v>229</v>
      </c>
      <c r="B216" s="12">
        <v>0</v>
      </c>
      <c r="C216" s="13"/>
      <c r="D216" s="12">
        <v>0</v>
      </c>
      <c r="E216" s="13"/>
      <c r="F216" s="12">
        <v>0</v>
      </c>
      <c r="G216" s="13"/>
      <c r="H216" s="12">
        <v>0</v>
      </c>
      <c r="I216" s="13"/>
      <c r="J216" s="12">
        <v>0</v>
      </c>
      <c r="K216" s="13"/>
      <c r="L216" s="12">
        <v>0</v>
      </c>
      <c r="M216" s="13"/>
      <c r="N216" s="12">
        <v>406</v>
      </c>
      <c r="O216" s="13">
        <v>2.4802999999999999E-2</v>
      </c>
      <c r="P216" s="12">
        <v>0</v>
      </c>
      <c r="Q216" s="13"/>
      <c r="R216" s="12">
        <v>0</v>
      </c>
      <c r="S216" s="13"/>
      <c r="T216" s="12">
        <v>255</v>
      </c>
      <c r="U216" s="13">
        <v>1.5578E-2</v>
      </c>
      <c r="V216" s="12">
        <v>0</v>
      </c>
      <c r="W216" s="13"/>
      <c r="X216" s="12">
        <v>0</v>
      </c>
      <c r="Y216" s="13"/>
      <c r="AA216" s="13"/>
      <c r="AB216" s="14">
        <v>14245</v>
      </c>
      <c r="AC216" s="13">
        <v>0.87024299999999999</v>
      </c>
    </row>
    <row r="217" spans="1:29" ht="14.25" customHeight="1">
      <c r="A217" s="11" t="s">
        <v>230</v>
      </c>
      <c r="B217" s="12">
        <v>0</v>
      </c>
      <c r="C217" s="13"/>
      <c r="D217" s="12">
        <v>0</v>
      </c>
      <c r="E217" s="13"/>
      <c r="F217" s="12">
        <v>0</v>
      </c>
      <c r="G217" s="13"/>
      <c r="H217" s="12">
        <v>1</v>
      </c>
      <c r="I217" s="13">
        <v>6.2000000000000003E-5</v>
      </c>
      <c r="J217" s="12">
        <v>0</v>
      </c>
      <c r="K217" s="13"/>
      <c r="L217" s="12">
        <v>0</v>
      </c>
      <c r="M217" s="13"/>
      <c r="N217" s="12">
        <v>349</v>
      </c>
      <c r="O217" s="13">
        <v>2.1580999999999999E-2</v>
      </c>
      <c r="P217" s="12">
        <v>0</v>
      </c>
      <c r="Q217" s="13"/>
      <c r="R217" s="12">
        <v>0</v>
      </c>
      <c r="S217" s="13"/>
      <c r="T217" s="12">
        <v>234</v>
      </c>
      <c r="U217" s="13">
        <v>1.4468999999999999E-2</v>
      </c>
      <c r="V217" s="12">
        <v>0</v>
      </c>
      <c r="W217" s="13"/>
      <c r="X217" s="12">
        <v>0</v>
      </c>
      <c r="Y217" s="13"/>
      <c r="AA217" s="13"/>
      <c r="AB217" s="14">
        <v>14347</v>
      </c>
      <c r="AC217" s="13">
        <v>0.88715100000000002</v>
      </c>
    </row>
    <row r="218" spans="1:29" ht="14.25" customHeight="1">
      <c r="A218" s="11" t="s">
        <v>231</v>
      </c>
      <c r="B218" s="12">
        <v>0</v>
      </c>
      <c r="C218" s="13"/>
      <c r="D218" s="12">
        <v>0</v>
      </c>
      <c r="E218" s="13"/>
      <c r="F218" s="12">
        <v>0</v>
      </c>
      <c r="G218" s="13"/>
      <c r="H218" s="12">
        <v>0</v>
      </c>
      <c r="I218" s="13"/>
      <c r="J218" s="12">
        <v>0</v>
      </c>
      <c r="K218" s="13"/>
      <c r="L218" s="12">
        <v>0</v>
      </c>
      <c r="M218" s="13"/>
      <c r="N218" s="12">
        <v>210</v>
      </c>
      <c r="O218" s="13">
        <v>1.4581999999999999E-2</v>
      </c>
      <c r="P218" s="12">
        <v>0</v>
      </c>
      <c r="Q218" s="13"/>
      <c r="R218" s="12">
        <v>0</v>
      </c>
      <c r="S218" s="13"/>
      <c r="T218" s="12">
        <v>135</v>
      </c>
      <c r="U218" s="13">
        <v>9.3740000000000004E-3</v>
      </c>
      <c r="V218" s="12">
        <v>0</v>
      </c>
      <c r="W218" s="13"/>
      <c r="X218" s="12">
        <v>0</v>
      </c>
      <c r="Y218" s="13"/>
      <c r="AA218" s="13"/>
      <c r="AB218" s="14">
        <v>12967</v>
      </c>
      <c r="AC218" s="13">
        <v>0.900424</v>
      </c>
    </row>
    <row r="219" spans="1:29" ht="14.25" customHeight="1">
      <c r="A219" s="11" t="s">
        <v>232</v>
      </c>
      <c r="B219" s="12">
        <v>0</v>
      </c>
      <c r="C219" s="13"/>
      <c r="D219" s="12">
        <v>0</v>
      </c>
      <c r="E219" s="13"/>
      <c r="F219" s="12">
        <v>0</v>
      </c>
      <c r="G219" s="13"/>
      <c r="H219" s="12">
        <v>0</v>
      </c>
      <c r="I219" s="13"/>
      <c r="J219" s="12">
        <v>0</v>
      </c>
      <c r="K219" s="13"/>
      <c r="L219" s="12">
        <v>0</v>
      </c>
      <c r="M219" s="13"/>
      <c r="N219" s="12">
        <v>130</v>
      </c>
      <c r="O219" s="13">
        <v>1.0454E-2</v>
      </c>
      <c r="P219" s="12">
        <v>0</v>
      </c>
      <c r="Q219" s="13"/>
      <c r="R219" s="12">
        <v>0</v>
      </c>
      <c r="S219" s="13"/>
      <c r="T219" s="12">
        <v>86</v>
      </c>
      <c r="U219" s="13">
        <v>6.9160000000000003E-3</v>
      </c>
      <c r="V219" s="12">
        <v>0</v>
      </c>
      <c r="W219" s="13"/>
      <c r="X219" s="12">
        <v>0</v>
      </c>
      <c r="Y219" s="13"/>
      <c r="AA219" s="13"/>
      <c r="AB219" s="14">
        <v>11435</v>
      </c>
      <c r="AC219" s="13">
        <v>0.91958200000000001</v>
      </c>
    </row>
    <row r="220" spans="1:29" ht="14.25" customHeight="1">
      <c r="A220" s="11" t="s">
        <v>233</v>
      </c>
      <c r="B220" s="12">
        <v>0</v>
      </c>
      <c r="C220" s="13"/>
      <c r="D220" s="12">
        <v>0</v>
      </c>
      <c r="E220" s="13"/>
      <c r="F220" s="12">
        <v>0</v>
      </c>
      <c r="G220" s="13"/>
      <c r="H220" s="12">
        <v>0</v>
      </c>
      <c r="I220" s="13"/>
      <c r="J220" s="12">
        <v>0</v>
      </c>
      <c r="K220" s="13"/>
      <c r="L220" s="12">
        <v>0</v>
      </c>
      <c r="M220" s="13"/>
      <c r="N220" s="12">
        <v>112</v>
      </c>
      <c r="O220" s="13">
        <v>9.5759999999999994E-3</v>
      </c>
      <c r="P220" s="12">
        <v>0</v>
      </c>
      <c r="Q220" s="13"/>
      <c r="R220" s="12">
        <v>0</v>
      </c>
      <c r="S220" s="13"/>
      <c r="T220" s="12">
        <v>42</v>
      </c>
      <c r="U220" s="13">
        <v>3.591E-3</v>
      </c>
      <c r="V220" s="12">
        <v>0</v>
      </c>
      <c r="W220" s="13"/>
      <c r="X220" s="12">
        <v>0</v>
      </c>
      <c r="Y220" s="13"/>
      <c r="AA220" s="13"/>
      <c r="AB220" s="14">
        <v>10850</v>
      </c>
      <c r="AC220" s="13">
        <v>0.92766800000000005</v>
      </c>
    </row>
    <row r="221" spans="1:29" ht="14.25" customHeight="1">
      <c r="A221" s="11" t="s">
        <v>234</v>
      </c>
      <c r="B221" s="12">
        <v>0</v>
      </c>
      <c r="C221" s="13"/>
      <c r="D221" s="12">
        <v>0</v>
      </c>
      <c r="E221" s="13"/>
      <c r="F221" s="12">
        <v>0</v>
      </c>
      <c r="G221" s="13"/>
      <c r="H221" s="12">
        <v>0</v>
      </c>
      <c r="I221" s="13"/>
      <c r="J221" s="12">
        <v>0</v>
      </c>
      <c r="K221" s="13"/>
      <c r="L221" s="12">
        <v>0</v>
      </c>
      <c r="M221" s="13"/>
      <c r="N221" s="12">
        <v>121</v>
      </c>
      <c r="O221" s="13">
        <v>1.2177E-2</v>
      </c>
      <c r="P221" s="12">
        <v>0</v>
      </c>
      <c r="Q221" s="13"/>
      <c r="R221" s="12">
        <v>0</v>
      </c>
      <c r="S221" s="13"/>
      <c r="T221" s="12">
        <v>40</v>
      </c>
      <c r="U221" s="13">
        <v>4.0249999999999999E-3</v>
      </c>
      <c r="V221" s="12">
        <v>0</v>
      </c>
      <c r="W221" s="13"/>
      <c r="X221" s="12">
        <v>0</v>
      </c>
      <c r="Y221" s="13"/>
      <c r="AA221" s="13"/>
      <c r="AB221" s="14">
        <v>9065</v>
      </c>
      <c r="AC221" s="13">
        <v>0.91224700000000003</v>
      </c>
    </row>
    <row r="222" spans="1:29" ht="14.25" customHeight="1">
      <c r="A222" s="11" t="s">
        <v>235</v>
      </c>
      <c r="B222" s="12">
        <v>1</v>
      </c>
      <c r="C222" s="13">
        <v>1.1E-4</v>
      </c>
      <c r="D222" s="12">
        <v>0</v>
      </c>
      <c r="E222" s="13"/>
      <c r="F222" s="12">
        <v>0</v>
      </c>
      <c r="G222" s="13"/>
      <c r="H222" s="12">
        <v>0</v>
      </c>
      <c r="I222" s="13"/>
      <c r="J222" s="12">
        <v>0</v>
      </c>
      <c r="K222" s="13"/>
      <c r="L222" s="12">
        <v>0</v>
      </c>
      <c r="M222" s="13"/>
      <c r="N222" s="12">
        <v>75</v>
      </c>
      <c r="O222" s="13">
        <v>8.2279999999999992E-3</v>
      </c>
      <c r="P222" s="12">
        <v>0</v>
      </c>
      <c r="Q222" s="13"/>
      <c r="R222" s="12">
        <v>0</v>
      </c>
      <c r="S222" s="13"/>
      <c r="T222" s="12">
        <v>30</v>
      </c>
      <c r="U222" s="13">
        <v>3.2910000000000001E-3</v>
      </c>
      <c r="V222" s="12">
        <v>0</v>
      </c>
      <c r="W222" s="13"/>
      <c r="X222" s="12">
        <v>0</v>
      </c>
      <c r="Y222" s="13"/>
      <c r="AA222" s="13"/>
      <c r="AB222" s="14">
        <v>8388</v>
      </c>
      <c r="AC222" s="13">
        <v>0.92024099999999998</v>
      </c>
    </row>
    <row r="223" spans="1:29" ht="14.25" customHeight="1">
      <c r="A223" s="11" t="s">
        <v>236</v>
      </c>
      <c r="B223" s="12">
        <v>0</v>
      </c>
      <c r="C223" s="13"/>
      <c r="D223" s="12">
        <v>0</v>
      </c>
      <c r="E223" s="13"/>
      <c r="F223" s="12">
        <v>0</v>
      </c>
      <c r="G223" s="13"/>
      <c r="H223" s="12">
        <v>0</v>
      </c>
      <c r="I223" s="13"/>
      <c r="J223" s="12">
        <v>0</v>
      </c>
      <c r="K223" s="13"/>
      <c r="L223" s="12">
        <v>0</v>
      </c>
      <c r="M223" s="13"/>
      <c r="N223" s="12">
        <v>60</v>
      </c>
      <c r="O223" s="13">
        <v>7.3419999999999996E-3</v>
      </c>
      <c r="P223" s="12">
        <v>0</v>
      </c>
      <c r="Q223" s="13"/>
      <c r="R223" s="12">
        <v>0</v>
      </c>
      <c r="S223" s="13"/>
      <c r="T223" s="12">
        <v>15</v>
      </c>
      <c r="U223" s="13">
        <v>1.836E-3</v>
      </c>
      <c r="V223" s="12">
        <v>0</v>
      </c>
      <c r="W223" s="13"/>
      <c r="X223" s="12">
        <v>0</v>
      </c>
      <c r="Y223" s="13"/>
      <c r="AA223" s="13"/>
      <c r="AB223" s="14">
        <v>7535</v>
      </c>
      <c r="AC223" s="13">
        <v>0.92205099999999995</v>
      </c>
    </row>
    <row r="224" spans="1:29" ht="14.25" customHeight="1">
      <c r="A224" s="11" t="s">
        <v>237</v>
      </c>
      <c r="B224" s="12">
        <v>0</v>
      </c>
      <c r="C224" s="13"/>
      <c r="D224" s="12">
        <v>0</v>
      </c>
      <c r="E224" s="13"/>
      <c r="F224" s="12">
        <v>0</v>
      </c>
      <c r="G224" s="13"/>
      <c r="H224" s="12">
        <v>0</v>
      </c>
      <c r="I224" s="13"/>
      <c r="J224" s="12">
        <v>0</v>
      </c>
      <c r="K224" s="13"/>
      <c r="L224" s="12">
        <v>0</v>
      </c>
      <c r="M224" s="13"/>
      <c r="N224" s="12">
        <v>41</v>
      </c>
      <c r="O224" s="13">
        <v>5.6649999999999999E-3</v>
      </c>
      <c r="P224" s="12">
        <v>0</v>
      </c>
      <c r="Q224" s="13"/>
      <c r="R224" s="12">
        <v>0</v>
      </c>
      <c r="S224" s="13"/>
      <c r="T224" s="12">
        <v>8</v>
      </c>
      <c r="U224" s="13">
        <v>1.1050000000000001E-3</v>
      </c>
      <c r="V224" s="12">
        <v>0</v>
      </c>
      <c r="W224" s="13"/>
      <c r="X224" s="12">
        <v>0</v>
      </c>
      <c r="Y224" s="13"/>
      <c r="AA224" s="13"/>
      <c r="AB224" s="14">
        <v>6602</v>
      </c>
      <c r="AC224" s="13">
        <v>0.91213</v>
      </c>
    </row>
    <row r="225" spans="1:29" ht="14.25" customHeight="1">
      <c r="A225" s="11" t="s">
        <v>238</v>
      </c>
      <c r="B225" s="12">
        <v>0</v>
      </c>
      <c r="C225" s="13"/>
      <c r="D225" s="12">
        <v>0</v>
      </c>
      <c r="E225" s="13"/>
      <c r="F225" s="12">
        <v>0</v>
      </c>
      <c r="G225" s="13"/>
      <c r="H225" s="12">
        <v>0</v>
      </c>
      <c r="I225" s="13"/>
      <c r="J225" s="12">
        <v>0</v>
      </c>
      <c r="K225" s="13"/>
      <c r="L225" s="12">
        <v>0</v>
      </c>
      <c r="M225" s="13"/>
      <c r="N225" s="12">
        <v>28</v>
      </c>
      <c r="O225" s="13">
        <v>4.6119999999999998E-3</v>
      </c>
      <c r="P225" s="12">
        <v>0</v>
      </c>
      <c r="Q225" s="13"/>
      <c r="R225" s="12">
        <v>0</v>
      </c>
      <c r="S225" s="13"/>
      <c r="T225" s="12">
        <v>8</v>
      </c>
      <c r="U225" s="13">
        <v>1.3179999999999999E-3</v>
      </c>
      <c r="V225" s="12">
        <v>0</v>
      </c>
      <c r="W225" s="13"/>
      <c r="X225" s="12">
        <v>0</v>
      </c>
      <c r="Y225" s="13"/>
      <c r="AA225" s="13"/>
      <c r="AB225" s="14">
        <v>5478</v>
      </c>
      <c r="AC225" s="13">
        <v>0.90232299999999999</v>
      </c>
    </row>
    <row r="226" spans="1:29" ht="14.25" customHeight="1">
      <c r="A226" s="11" t="s">
        <v>239</v>
      </c>
      <c r="B226" s="12">
        <v>0</v>
      </c>
      <c r="C226" s="13"/>
      <c r="D226" s="12">
        <v>0</v>
      </c>
      <c r="E226" s="13"/>
      <c r="F226" s="12">
        <v>0</v>
      </c>
      <c r="G226" s="13"/>
      <c r="H226" s="12">
        <v>0</v>
      </c>
      <c r="I226" s="13"/>
      <c r="J226" s="12">
        <v>0</v>
      </c>
      <c r="K226" s="13"/>
      <c r="L226" s="12">
        <v>0</v>
      </c>
      <c r="M226" s="13"/>
      <c r="N226" s="12">
        <v>17</v>
      </c>
      <c r="O226" s="13">
        <v>2.7339999999999999E-3</v>
      </c>
      <c r="P226" s="12">
        <v>0</v>
      </c>
      <c r="Q226" s="13"/>
      <c r="R226" s="12">
        <v>0</v>
      </c>
      <c r="S226" s="13"/>
      <c r="T226" s="12">
        <v>4</v>
      </c>
      <c r="U226" s="13">
        <v>6.4300000000000002E-4</v>
      </c>
      <c r="V226" s="12">
        <v>0</v>
      </c>
      <c r="W226" s="13"/>
      <c r="X226" s="12">
        <v>0</v>
      </c>
      <c r="Y226" s="13"/>
      <c r="AA226" s="13"/>
      <c r="AB226" s="14">
        <v>5702</v>
      </c>
      <c r="AC226" s="13">
        <v>0.91716299999999995</v>
      </c>
    </row>
    <row r="227" spans="1:29" ht="14.25" customHeight="1">
      <c r="A227" s="11" t="s">
        <v>240</v>
      </c>
      <c r="B227" s="12">
        <v>0</v>
      </c>
      <c r="C227" s="13"/>
      <c r="D227" s="12">
        <v>0</v>
      </c>
      <c r="E227" s="13"/>
      <c r="F227" s="12">
        <v>0</v>
      </c>
      <c r="G227" s="13"/>
      <c r="H227" s="12">
        <v>0</v>
      </c>
      <c r="I227" s="13"/>
      <c r="J227" s="12">
        <v>0</v>
      </c>
      <c r="K227" s="13"/>
      <c r="L227" s="12">
        <v>0</v>
      </c>
      <c r="M227" s="13"/>
      <c r="N227" s="12">
        <v>33</v>
      </c>
      <c r="O227" s="13">
        <v>6.0299999999999998E-3</v>
      </c>
      <c r="P227" s="12">
        <v>0</v>
      </c>
      <c r="Q227" s="13"/>
      <c r="R227" s="12">
        <v>0</v>
      </c>
      <c r="S227" s="13"/>
      <c r="T227" s="12">
        <v>4</v>
      </c>
      <c r="U227" s="13">
        <v>7.3099999999999999E-4</v>
      </c>
      <c r="V227" s="12">
        <v>0</v>
      </c>
      <c r="W227" s="13"/>
      <c r="X227" s="12">
        <v>0</v>
      </c>
      <c r="Y227" s="13"/>
      <c r="AA227" s="13"/>
      <c r="AB227" s="14">
        <v>4977</v>
      </c>
      <c r="AC227" s="13">
        <v>0.90937299999999999</v>
      </c>
    </row>
    <row r="228" spans="1:29" ht="14.25" customHeight="1">
      <c r="A228" s="11" t="s">
        <v>241</v>
      </c>
      <c r="B228" s="12">
        <v>0</v>
      </c>
      <c r="C228" s="13"/>
      <c r="D228" s="12">
        <v>0</v>
      </c>
      <c r="E228" s="13"/>
      <c r="F228" s="12">
        <v>1</v>
      </c>
      <c r="G228" s="13">
        <v>1.8699999999999999E-4</v>
      </c>
      <c r="H228" s="12">
        <v>0</v>
      </c>
      <c r="I228" s="13"/>
      <c r="J228" s="12">
        <v>0</v>
      </c>
      <c r="K228" s="13"/>
      <c r="L228" s="12">
        <v>0</v>
      </c>
      <c r="M228" s="13"/>
      <c r="N228" s="12">
        <v>4</v>
      </c>
      <c r="O228" s="13">
        <v>7.4899999999999999E-4</v>
      </c>
      <c r="P228" s="12">
        <v>0</v>
      </c>
      <c r="Q228" s="13"/>
      <c r="R228" s="12">
        <v>0</v>
      </c>
      <c r="S228" s="13"/>
      <c r="T228" s="12">
        <v>3</v>
      </c>
      <c r="U228" s="13">
        <v>5.62E-4</v>
      </c>
      <c r="V228" s="12">
        <v>0</v>
      </c>
      <c r="W228" s="13"/>
      <c r="X228" s="12">
        <v>0</v>
      </c>
      <c r="Y228" s="13"/>
      <c r="AA228" s="13"/>
      <c r="AB228" s="14">
        <v>4924</v>
      </c>
      <c r="AC228" s="13">
        <v>0.92175200000000002</v>
      </c>
    </row>
    <row r="229" spans="1:29" ht="14.25" customHeight="1">
      <c r="A229" s="11" t="s">
        <v>242</v>
      </c>
      <c r="B229" s="12">
        <v>0</v>
      </c>
      <c r="C229" s="13"/>
      <c r="D229" s="12">
        <v>0</v>
      </c>
      <c r="E229" s="13"/>
      <c r="F229" s="12">
        <v>0</v>
      </c>
      <c r="G229" s="13"/>
      <c r="H229" s="12">
        <v>0</v>
      </c>
      <c r="I229" s="13"/>
      <c r="J229" s="12">
        <v>0</v>
      </c>
      <c r="K229" s="13"/>
      <c r="L229" s="12">
        <v>0</v>
      </c>
      <c r="M229" s="13"/>
      <c r="N229" s="12">
        <v>4</v>
      </c>
      <c r="O229" s="13">
        <v>7.0500000000000001E-4</v>
      </c>
      <c r="P229" s="12">
        <v>0</v>
      </c>
      <c r="Q229" s="13"/>
      <c r="R229" s="12">
        <v>0</v>
      </c>
      <c r="S229" s="13"/>
      <c r="T229" s="12">
        <v>3</v>
      </c>
      <c r="U229" s="13">
        <v>5.2899999999999996E-4</v>
      </c>
      <c r="V229" s="12">
        <v>0</v>
      </c>
      <c r="W229" s="13"/>
      <c r="X229" s="12">
        <v>0</v>
      </c>
      <c r="Y229" s="13"/>
      <c r="AA229" s="13"/>
      <c r="AB229" s="14">
        <v>5220</v>
      </c>
      <c r="AC229" s="13">
        <v>0.92030999999999996</v>
      </c>
    </row>
    <row r="230" spans="1:29" ht="14.25" customHeight="1">
      <c r="A230" s="11" t="s">
        <v>243</v>
      </c>
      <c r="B230" s="12">
        <v>0</v>
      </c>
      <c r="C230" s="13"/>
      <c r="D230" s="12">
        <v>0</v>
      </c>
      <c r="E230" s="13"/>
      <c r="F230" s="12">
        <v>0</v>
      </c>
      <c r="G230" s="13"/>
      <c r="H230" s="12">
        <v>0</v>
      </c>
      <c r="I230" s="13"/>
      <c r="J230" s="12">
        <v>0</v>
      </c>
      <c r="K230" s="13"/>
      <c r="L230" s="12">
        <v>0</v>
      </c>
      <c r="M230" s="13"/>
      <c r="N230" s="12">
        <v>5</v>
      </c>
      <c r="O230" s="13">
        <v>8.3500000000000002E-4</v>
      </c>
      <c r="P230" s="12">
        <v>0</v>
      </c>
      <c r="Q230" s="13"/>
      <c r="R230" s="12">
        <v>0</v>
      </c>
      <c r="S230" s="13"/>
      <c r="T230" s="12">
        <v>1</v>
      </c>
      <c r="U230" s="13">
        <v>1.6699999999999999E-4</v>
      </c>
      <c r="V230" s="12">
        <v>0</v>
      </c>
      <c r="W230" s="13"/>
      <c r="X230" s="12">
        <v>0</v>
      </c>
      <c r="Y230" s="13"/>
      <c r="AA230" s="13"/>
      <c r="AB230" s="14">
        <v>5559</v>
      </c>
      <c r="AC230" s="13">
        <v>0.928512</v>
      </c>
    </row>
    <row r="231" spans="1:29" ht="14.25" customHeight="1">
      <c r="A231" s="11" t="s">
        <v>244</v>
      </c>
      <c r="B231" s="12">
        <v>0</v>
      </c>
      <c r="C231" s="13"/>
      <c r="D231" s="12">
        <v>0</v>
      </c>
      <c r="E231" s="13"/>
      <c r="F231" s="12">
        <v>0</v>
      </c>
      <c r="G231" s="13"/>
      <c r="H231" s="12">
        <v>0</v>
      </c>
      <c r="I231" s="13"/>
      <c r="J231" s="12">
        <v>0</v>
      </c>
      <c r="K231" s="13"/>
      <c r="L231" s="12">
        <v>0</v>
      </c>
      <c r="M231" s="13"/>
      <c r="N231" s="12">
        <v>3</v>
      </c>
      <c r="O231" s="13">
        <v>4.3899999999999999E-4</v>
      </c>
      <c r="P231" s="12">
        <v>0</v>
      </c>
      <c r="Q231" s="13"/>
      <c r="R231" s="12">
        <v>0</v>
      </c>
      <c r="S231" s="13"/>
      <c r="T231" s="12">
        <v>3</v>
      </c>
      <c r="U231" s="13">
        <v>4.3899999999999999E-4</v>
      </c>
      <c r="V231" s="12">
        <v>0</v>
      </c>
      <c r="W231" s="13"/>
      <c r="X231" s="12">
        <v>1</v>
      </c>
      <c r="Y231" s="13">
        <v>1.46E-4</v>
      </c>
      <c r="AA231" s="13"/>
      <c r="AB231" s="14">
        <v>6354</v>
      </c>
      <c r="AC231" s="13">
        <v>0.92881199999999997</v>
      </c>
    </row>
    <row r="232" spans="1:29" ht="14.25" customHeight="1">
      <c r="A232" s="11" t="s">
        <v>245</v>
      </c>
      <c r="B232" s="12">
        <v>0</v>
      </c>
      <c r="C232" s="13"/>
      <c r="D232" s="12">
        <v>0</v>
      </c>
      <c r="E232" s="13"/>
      <c r="F232" s="12">
        <v>0</v>
      </c>
      <c r="G232" s="13"/>
      <c r="H232" s="12">
        <v>0</v>
      </c>
      <c r="I232" s="13"/>
      <c r="J232" s="12">
        <v>0</v>
      </c>
      <c r="K232" s="13"/>
      <c r="L232" s="12">
        <v>0</v>
      </c>
      <c r="M232" s="13"/>
      <c r="N232" s="12">
        <v>0</v>
      </c>
      <c r="O232" s="13"/>
      <c r="P232" s="12">
        <v>0</v>
      </c>
      <c r="Q232" s="13"/>
      <c r="R232" s="12">
        <v>0</v>
      </c>
      <c r="S232" s="13"/>
      <c r="T232" s="12">
        <v>2</v>
      </c>
      <c r="U232" s="13">
        <v>2.6600000000000001E-4</v>
      </c>
      <c r="V232" s="12">
        <v>0</v>
      </c>
      <c r="W232" s="13"/>
      <c r="X232" s="12">
        <v>0</v>
      </c>
      <c r="Y232" s="13"/>
      <c r="AA232" s="13"/>
      <c r="AB232" s="14">
        <v>7075</v>
      </c>
      <c r="AC232" s="13">
        <v>0.93982500000000002</v>
      </c>
    </row>
    <row r="233" spans="1:29" ht="14.25" customHeight="1">
      <c r="A233" s="11" t="s">
        <v>246</v>
      </c>
      <c r="B233" s="12">
        <v>0</v>
      </c>
      <c r="C233" s="13"/>
      <c r="D233" s="12">
        <v>0</v>
      </c>
      <c r="E233" s="13"/>
      <c r="F233" s="12">
        <v>0</v>
      </c>
      <c r="G233" s="13"/>
      <c r="H233" s="12">
        <v>0</v>
      </c>
      <c r="I233" s="13"/>
      <c r="J233" s="12">
        <v>0</v>
      </c>
      <c r="K233" s="13"/>
      <c r="L233" s="12">
        <v>0</v>
      </c>
      <c r="M233" s="13"/>
      <c r="N233" s="12">
        <v>5</v>
      </c>
      <c r="O233" s="13">
        <v>6.1300000000000005E-4</v>
      </c>
      <c r="P233" s="12">
        <v>0</v>
      </c>
      <c r="Q233" s="13"/>
      <c r="R233" s="12">
        <v>0</v>
      </c>
      <c r="S233" s="13"/>
      <c r="T233" s="12">
        <v>1</v>
      </c>
      <c r="U233" s="13">
        <v>1.2300000000000001E-4</v>
      </c>
      <c r="V233" s="12">
        <v>0</v>
      </c>
      <c r="W233" s="13"/>
      <c r="X233" s="12">
        <v>0</v>
      </c>
      <c r="Y233" s="13"/>
      <c r="AA233" s="13"/>
      <c r="AB233" s="14">
        <v>7732</v>
      </c>
      <c r="AC233" s="13">
        <v>0.94789800000000002</v>
      </c>
    </row>
    <row r="234" spans="1:29" ht="14.25" customHeight="1">
      <c r="A234" s="11" t="s">
        <v>247</v>
      </c>
      <c r="B234" s="12">
        <v>0</v>
      </c>
      <c r="C234" s="13"/>
      <c r="D234" s="12">
        <v>0</v>
      </c>
      <c r="E234" s="13"/>
      <c r="F234" s="12">
        <v>1</v>
      </c>
      <c r="G234" s="13">
        <v>1.18E-4</v>
      </c>
      <c r="H234" s="12">
        <v>0</v>
      </c>
      <c r="I234" s="13"/>
      <c r="J234" s="12">
        <v>0</v>
      </c>
      <c r="K234" s="13"/>
      <c r="L234" s="12">
        <v>0</v>
      </c>
      <c r="M234" s="13"/>
      <c r="N234" s="12">
        <v>0</v>
      </c>
      <c r="O234" s="13"/>
      <c r="P234" s="12">
        <v>0</v>
      </c>
      <c r="Q234" s="13"/>
      <c r="R234" s="12">
        <v>0</v>
      </c>
      <c r="S234" s="13"/>
      <c r="T234" s="12">
        <v>2</v>
      </c>
      <c r="U234" s="13">
        <v>2.3699999999999999E-4</v>
      </c>
      <c r="V234" s="12">
        <v>0</v>
      </c>
      <c r="W234" s="13"/>
      <c r="X234" s="12">
        <v>0</v>
      </c>
      <c r="Y234" s="13"/>
      <c r="AA234" s="13"/>
      <c r="AB234" s="14">
        <v>8077</v>
      </c>
      <c r="AC234" s="13">
        <v>0.95563200000000004</v>
      </c>
    </row>
    <row r="235" spans="1:29" ht="14.25" customHeight="1">
      <c r="A235" s="11" t="s">
        <v>248</v>
      </c>
      <c r="B235" s="12">
        <v>0</v>
      </c>
      <c r="C235" s="13"/>
      <c r="D235" s="12">
        <v>0</v>
      </c>
      <c r="E235" s="13"/>
      <c r="F235" s="12">
        <v>0</v>
      </c>
      <c r="G235" s="13"/>
      <c r="H235" s="12">
        <v>0</v>
      </c>
      <c r="I235" s="13"/>
      <c r="J235" s="12">
        <v>0</v>
      </c>
      <c r="K235" s="13"/>
      <c r="L235" s="12">
        <v>0</v>
      </c>
      <c r="M235" s="13"/>
      <c r="N235" s="12">
        <v>5</v>
      </c>
      <c r="O235" s="13">
        <v>4.8899999999999996E-4</v>
      </c>
      <c r="P235" s="12">
        <v>0</v>
      </c>
      <c r="Q235" s="13"/>
      <c r="R235" s="12">
        <v>0</v>
      </c>
      <c r="S235" s="13"/>
      <c r="T235" s="12">
        <v>1</v>
      </c>
      <c r="U235" s="13">
        <v>9.7999999999999997E-5</v>
      </c>
      <c r="V235" s="12">
        <v>0</v>
      </c>
      <c r="W235" s="13"/>
      <c r="X235" s="12">
        <v>0</v>
      </c>
      <c r="Y235" s="13"/>
      <c r="AA235" s="13"/>
      <c r="AB235" s="14">
        <v>9827</v>
      </c>
      <c r="AC235" s="13">
        <v>0.96135800000000005</v>
      </c>
    </row>
    <row r="236" spans="1:29" ht="14.25" customHeight="1">
      <c r="A236" s="11" t="s">
        <v>249</v>
      </c>
      <c r="B236" s="12">
        <v>0</v>
      </c>
      <c r="C236" s="13"/>
      <c r="D236" s="12">
        <v>0</v>
      </c>
      <c r="E236" s="13"/>
      <c r="F236" s="12">
        <v>1</v>
      </c>
      <c r="G236" s="13">
        <v>9.6000000000000002E-5</v>
      </c>
      <c r="H236" s="12">
        <v>0</v>
      </c>
      <c r="I236" s="13"/>
      <c r="J236" s="12">
        <v>0</v>
      </c>
      <c r="K236" s="13"/>
      <c r="L236" s="12">
        <v>0</v>
      </c>
      <c r="M236" s="13"/>
      <c r="N236" s="12">
        <v>0</v>
      </c>
      <c r="O236" s="13"/>
      <c r="P236" s="12">
        <v>0</v>
      </c>
      <c r="Q236" s="13"/>
      <c r="R236" s="12">
        <v>0</v>
      </c>
      <c r="S236" s="13"/>
      <c r="T236" s="12">
        <v>1</v>
      </c>
      <c r="U236" s="13">
        <v>9.6000000000000002E-5</v>
      </c>
      <c r="V236" s="12">
        <v>0</v>
      </c>
      <c r="W236" s="13"/>
      <c r="X236" s="12">
        <v>0</v>
      </c>
      <c r="Y236" s="13"/>
      <c r="AA236" s="13"/>
      <c r="AB236" s="14">
        <v>10002</v>
      </c>
      <c r="AC236" s="13">
        <v>0.96432700000000005</v>
      </c>
    </row>
    <row r="237" spans="1:29" ht="14.25" customHeight="1">
      <c r="A237" s="16" t="s">
        <v>250</v>
      </c>
      <c r="B237" s="17">
        <v>0</v>
      </c>
      <c r="C237" s="18"/>
      <c r="D237" s="17">
        <v>0</v>
      </c>
      <c r="E237" s="18"/>
      <c r="F237" s="17">
        <v>2</v>
      </c>
      <c r="G237" s="18">
        <v>2.0900000000000001E-4</v>
      </c>
      <c r="H237" s="17">
        <v>0</v>
      </c>
      <c r="I237" s="18"/>
      <c r="J237" s="17">
        <v>0</v>
      </c>
      <c r="K237" s="18"/>
      <c r="L237" s="17">
        <v>0</v>
      </c>
      <c r="M237" s="18"/>
      <c r="N237" s="17">
        <v>0</v>
      </c>
      <c r="O237" s="18"/>
      <c r="P237" s="17">
        <v>0</v>
      </c>
      <c r="Q237" s="18"/>
      <c r="R237" s="17">
        <v>0</v>
      </c>
      <c r="S237" s="18"/>
      <c r="T237" s="17">
        <v>2</v>
      </c>
      <c r="U237" s="18">
        <v>2.0900000000000001E-4</v>
      </c>
      <c r="V237" s="17">
        <v>0</v>
      </c>
      <c r="W237" s="18"/>
      <c r="X237" s="17">
        <v>0</v>
      </c>
      <c r="Y237" s="18"/>
      <c r="Z237" s="17"/>
      <c r="AA237" s="18"/>
      <c r="AB237" s="19">
        <v>9276</v>
      </c>
      <c r="AC237" s="18">
        <v>0.97080100000000003</v>
      </c>
    </row>
    <row r="238" spans="1:29" ht="14.25" customHeight="1"/>
    <row r="239" spans="1:29" ht="14.25" customHeight="1">
      <c r="A239" s="170" t="s">
        <v>251</v>
      </c>
      <c r="B239" s="171"/>
      <c r="C239" s="171"/>
      <c r="D239" s="171"/>
      <c r="E239" s="171"/>
      <c r="F239" s="171"/>
      <c r="G239" s="171"/>
      <c r="H239" s="171"/>
      <c r="I239" s="171"/>
      <c r="J239" s="171"/>
      <c r="K239" s="171"/>
    </row>
    <row r="240" spans="1:29" ht="14.25" customHeight="1">
      <c r="A240" s="171"/>
      <c r="B240" s="171"/>
      <c r="C240" s="171"/>
      <c r="D240" s="171"/>
      <c r="E240" s="171"/>
      <c r="F240" s="171"/>
      <c r="G240" s="171"/>
      <c r="H240" s="171"/>
      <c r="I240" s="171"/>
      <c r="J240" s="171"/>
      <c r="K240" s="171"/>
    </row>
    <row r="241" spans="1:11" ht="14.25" customHeight="1">
      <c r="A241" s="171"/>
      <c r="B241" s="171"/>
      <c r="C241" s="171"/>
      <c r="D241" s="171"/>
      <c r="E241" s="171"/>
      <c r="F241" s="171"/>
      <c r="G241" s="171"/>
      <c r="H241" s="171"/>
      <c r="I241" s="171"/>
      <c r="J241" s="171"/>
      <c r="K241" s="171"/>
    </row>
    <row r="242" spans="1:11" ht="14.25" customHeight="1">
      <c r="A242" s="171"/>
      <c r="B242" s="171"/>
      <c r="C242" s="171"/>
      <c r="D242" s="171"/>
      <c r="E242" s="171"/>
      <c r="F242" s="171"/>
      <c r="G242" s="171"/>
      <c r="H242" s="171"/>
      <c r="I242" s="171"/>
      <c r="J242" s="171"/>
      <c r="K242" s="171"/>
    </row>
    <row r="243" spans="1:11" ht="14.25" customHeight="1">
      <c r="A243" s="171"/>
      <c r="B243" s="171"/>
      <c r="C243" s="171"/>
      <c r="D243" s="171"/>
      <c r="E243" s="171"/>
      <c r="F243" s="171"/>
      <c r="G243" s="171"/>
      <c r="H243" s="171"/>
      <c r="I243" s="171"/>
      <c r="J243" s="171"/>
      <c r="K243" s="171"/>
    </row>
    <row r="244" spans="1:11" ht="14.25" customHeight="1">
      <c r="A244" s="171"/>
      <c r="B244" s="171"/>
      <c r="C244" s="171"/>
      <c r="D244" s="171"/>
      <c r="E244" s="171"/>
      <c r="F244" s="171"/>
      <c r="G244" s="171"/>
      <c r="H244" s="171"/>
      <c r="I244" s="171"/>
      <c r="J244" s="171"/>
      <c r="K244" s="171"/>
    </row>
    <row r="245" spans="1:11" ht="14.25" customHeight="1">
      <c r="A245" s="20"/>
      <c r="B245" s="20"/>
      <c r="C245" s="20"/>
      <c r="D245" s="20"/>
      <c r="E245" s="20"/>
      <c r="F245" s="20"/>
      <c r="G245" s="20"/>
      <c r="H245" s="20"/>
      <c r="I245" s="20"/>
      <c r="J245" s="20"/>
      <c r="K245" s="20"/>
    </row>
    <row r="246" spans="1:11" ht="14.25" customHeight="1">
      <c r="A246" s="20"/>
      <c r="B246" s="20"/>
      <c r="C246" s="20"/>
      <c r="D246" s="20"/>
      <c r="E246" s="20"/>
      <c r="F246" s="20"/>
      <c r="G246" s="20"/>
      <c r="H246" s="20"/>
      <c r="I246" s="20"/>
      <c r="J246" s="20"/>
      <c r="K246" s="20"/>
    </row>
    <row r="247" spans="1:11" ht="14.25" customHeight="1"/>
    <row r="248" spans="1:11" ht="14.25" customHeight="1"/>
    <row r="249" spans="1:11" ht="14.25" customHeight="1"/>
    <row r="250" spans="1:11" ht="14.25" customHeight="1"/>
    <row r="251" spans="1:11" ht="14.25" customHeight="1"/>
    <row r="252" spans="1:11" ht="14.25" customHeight="1"/>
    <row r="253" spans="1:11" ht="14.25" customHeight="1"/>
    <row r="254" spans="1:11" ht="14.25" customHeight="1"/>
    <row r="255" spans="1:11" ht="14.25" customHeight="1"/>
    <row r="256" spans="1:11"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239:K244"/>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000"/>
  <sheetViews>
    <sheetView workbookViewId="0">
      <selection sqref="A1:A2"/>
    </sheetView>
  </sheetViews>
  <sheetFormatPr defaultColWidth="12.6640625" defaultRowHeight="15" customHeight="1"/>
  <cols>
    <col min="1" max="1" width="8.6640625" customWidth="1"/>
    <col min="2" max="3" width="9.88671875" customWidth="1"/>
    <col min="4" max="4" width="10.109375" customWidth="1"/>
    <col min="5" max="6" width="8.6640625" customWidth="1"/>
    <col min="7" max="7" width="13.6640625" customWidth="1"/>
    <col min="8" max="8" width="13.77734375" customWidth="1"/>
    <col min="9" max="9" width="13.6640625" customWidth="1"/>
    <col min="10" max="26" width="8.6640625" customWidth="1"/>
  </cols>
  <sheetData>
    <row r="1" spans="1:14" ht="14.25" customHeight="1">
      <c r="A1" s="174" t="s">
        <v>252</v>
      </c>
      <c r="B1" s="178" t="s">
        <v>253</v>
      </c>
      <c r="C1" s="174" t="s">
        <v>254</v>
      </c>
      <c r="D1" s="174" t="s">
        <v>255</v>
      </c>
      <c r="E1" s="177" t="s">
        <v>256</v>
      </c>
      <c r="F1" s="174" t="s">
        <v>257</v>
      </c>
      <c r="G1" s="174" t="s">
        <v>258</v>
      </c>
      <c r="H1" s="172" t="s">
        <v>259</v>
      </c>
      <c r="I1" s="174" t="s">
        <v>260</v>
      </c>
      <c r="J1" s="175" t="s">
        <v>261</v>
      </c>
      <c r="K1" s="177" t="s">
        <v>262</v>
      </c>
      <c r="L1" s="177" t="s">
        <v>263</v>
      </c>
      <c r="M1" s="177" t="s">
        <v>264</v>
      </c>
      <c r="N1" s="178" t="s">
        <v>265</v>
      </c>
    </row>
    <row r="2" spans="1:14" ht="14.25" customHeight="1">
      <c r="A2" s="173"/>
      <c r="B2" s="180"/>
      <c r="C2" s="173"/>
      <c r="D2" s="173"/>
      <c r="E2" s="173"/>
      <c r="F2" s="173"/>
      <c r="G2" s="173"/>
      <c r="H2" s="173"/>
      <c r="I2" s="173"/>
      <c r="J2" s="176"/>
      <c r="K2" s="171"/>
      <c r="L2" s="171"/>
      <c r="M2" s="171"/>
      <c r="N2" s="179"/>
    </row>
    <row r="3" spans="1:14" ht="14.25" customHeight="1">
      <c r="A3" s="23" t="s">
        <v>266</v>
      </c>
      <c r="B3" s="24"/>
      <c r="C3" s="20">
        <v>266</v>
      </c>
      <c r="D3" s="20">
        <v>13483</v>
      </c>
      <c r="E3" s="20">
        <v>13217</v>
      </c>
      <c r="F3" s="20">
        <v>1946</v>
      </c>
      <c r="G3" s="20">
        <v>0</v>
      </c>
      <c r="H3" s="20">
        <v>1939</v>
      </c>
      <c r="I3" s="25">
        <f t="shared" ref="I3:I33" si="0">H3/F3</f>
        <v>0.99640287769784175</v>
      </c>
      <c r="J3" s="26">
        <f t="shared" ref="J3:M3" si="1">SUM(J4:J14)</f>
        <v>2656</v>
      </c>
      <c r="K3" s="27">
        <f t="shared" si="1"/>
        <v>3947</v>
      </c>
      <c r="L3" s="27">
        <f t="shared" si="1"/>
        <v>2331</v>
      </c>
      <c r="M3" s="27">
        <f t="shared" si="1"/>
        <v>4279</v>
      </c>
      <c r="N3" s="28">
        <f t="shared" ref="N3:N33" si="2">SUM(J3,L3)/SUM(J3:M3)</f>
        <v>0.3774313176417165</v>
      </c>
    </row>
    <row r="4" spans="1:14" ht="14.25" customHeight="1">
      <c r="A4" s="5"/>
      <c r="B4" s="29" t="s">
        <v>267</v>
      </c>
      <c r="C4" s="20">
        <v>266</v>
      </c>
      <c r="D4" s="20">
        <v>806</v>
      </c>
      <c r="E4" s="20">
        <v>540</v>
      </c>
      <c r="F4" s="20">
        <v>94</v>
      </c>
      <c r="G4" s="20">
        <v>0</v>
      </c>
      <c r="H4" s="20">
        <v>94</v>
      </c>
      <c r="I4" s="25">
        <f t="shared" si="0"/>
        <v>1</v>
      </c>
      <c r="J4" s="30">
        <v>146</v>
      </c>
      <c r="K4" s="20">
        <v>135</v>
      </c>
      <c r="L4" s="20">
        <v>116</v>
      </c>
      <c r="M4" s="20">
        <v>143</v>
      </c>
      <c r="N4" s="31">
        <f t="shared" si="2"/>
        <v>0.48518518518518516</v>
      </c>
    </row>
    <row r="5" spans="1:14" ht="14.25" customHeight="1">
      <c r="A5" s="5"/>
      <c r="B5" s="29" t="s">
        <v>268</v>
      </c>
      <c r="C5" s="20">
        <v>806</v>
      </c>
      <c r="D5" s="20">
        <v>2720</v>
      </c>
      <c r="E5" s="20">
        <v>1914</v>
      </c>
      <c r="F5" s="20">
        <v>284</v>
      </c>
      <c r="G5" s="20">
        <v>0</v>
      </c>
      <c r="H5" s="20">
        <v>284</v>
      </c>
      <c r="I5" s="25">
        <f t="shared" si="0"/>
        <v>1</v>
      </c>
      <c r="J5" s="30">
        <v>411</v>
      </c>
      <c r="K5" s="20">
        <v>571</v>
      </c>
      <c r="L5" s="20">
        <v>353</v>
      </c>
      <c r="M5" s="20">
        <v>579</v>
      </c>
      <c r="N5" s="31">
        <f t="shared" si="2"/>
        <v>0.39916405433646812</v>
      </c>
    </row>
    <row r="6" spans="1:14" ht="14.25" customHeight="1">
      <c r="A6" s="5"/>
      <c r="B6" s="29" t="s">
        <v>269</v>
      </c>
      <c r="C6" s="20">
        <v>2720</v>
      </c>
      <c r="D6" s="20">
        <v>8555</v>
      </c>
      <c r="E6" s="20">
        <v>5835</v>
      </c>
      <c r="F6" s="20">
        <v>829</v>
      </c>
      <c r="G6" s="20">
        <v>0</v>
      </c>
      <c r="H6" s="20">
        <v>829</v>
      </c>
      <c r="I6" s="25">
        <f t="shared" si="0"/>
        <v>1</v>
      </c>
      <c r="J6" s="30">
        <v>1117</v>
      </c>
      <c r="K6" s="20">
        <v>1874</v>
      </c>
      <c r="L6" s="20">
        <v>978</v>
      </c>
      <c r="M6" s="20">
        <v>1866</v>
      </c>
      <c r="N6" s="31">
        <f t="shared" si="2"/>
        <v>0.35904027420736934</v>
      </c>
    </row>
    <row r="7" spans="1:14" ht="14.25" customHeight="1">
      <c r="A7" s="5"/>
      <c r="B7" s="29" t="s">
        <v>270</v>
      </c>
      <c r="C7" s="20">
        <v>8555</v>
      </c>
      <c r="D7" s="20">
        <v>10055</v>
      </c>
      <c r="E7" s="20">
        <v>1500</v>
      </c>
      <c r="F7" s="20">
        <v>225</v>
      </c>
      <c r="G7" s="20">
        <v>0</v>
      </c>
      <c r="H7" s="20">
        <v>225</v>
      </c>
      <c r="I7" s="25">
        <f t="shared" si="0"/>
        <v>1</v>
      </c>
      <c r="J7" s="30">
        <v>281</v>
      </c>
      <c r="K7" s="20">
        <v>399</v>
      </c>
      <c r="L7" s="20">
        <v>266</v>
      </c>
      <c r="M7" s="20">
        <v>554</v>
      </c>
      <c r="N7" s="31">
        <f t="shared" si="2"/>
        <v>0.36466666666666664</v>
      </c>
    </row>
    <row r="8" spans="1:14" ht="14.25" customHeight="1">
      <c r="A8" s="5"/>
      <c r="B8" s="29" t="s">
        <v>271</v>
      </c>
      <c r="C8" s="20">
        <v>10055</v>
      </c>
      <c r="D8" s="20">
        <v>10973</v>
      </c>
      <c r="E8" s="20">
        <v>918</v>
      </c>
      <c r="F8" s="20">
        <v>140</v>
      </c>
      <c r="G8" s="20">
        <v>0</v>
      </c>
      <c r="H8" s="20">
        <v>140</v>
      </c>
      <c r="I8" s="25">
        <f t="shared" si="0"/>
        <v>1</v>
      </c>
      <c r="J8" s="30">
        <v>187</v>
      </c>
      <c r="K8" s="20">
        <v>258</v>
      </c>
      <c r="L8" s="20">
        <v>163</v>
      </c>
      <c r="M8" s="20">
        <v>310</v>
      </c>
      <c r="N8" s="31">
        <f t="shared" si="2"/>
        <v>0.38126361655773422</v>
      </c>
    </row>
    <row r="9" spans="1:14" ht="14.25" customHeight="1">
      <c r="A9" s="5"/>
      <c r="B9" s="29" t="s">
        <v>272</v>
      </c>
      <c r="C9" s="20">
        <v>10973</v>
      </c>
      <c r="D9" s="20">
        <v>11843</v>
      </c>
      <c r="E9" s="20">
        <v>870</v>
      </c>
      <c r="F9" s="20">
        <v>124</v>
      </c>
      <c r="G9" s="20">
        <v>0</v>
      </c>
      <c r="H9" s="20">
        <v>124</v>
      </c>
      <c r="I9" s="25">
        <f t="shared" si="0"/>
        <v>1</v>
      </c>
      <c r="J9" s="30">
        <v>172</v>
      </c>
      <c r="K9" s="20">
        <v>210</v>
      </c>
      <c r="L9" s="20">
        <v>144</v>
      </c>
      <c r="M9" s="20">
        <v>344</v>
      </c>
      <c r="N9" s="31">
        <f t="shared" si="2"/>
        <v>0.36321839080459772</v>
      </c>
    </row>
    <row r="10" spans="1:14" ht="14.25" customHeight="1">
      <c r="A10" s="5"/>
      <c r="B10" s="29" t="s">
        <v>273</v>
      </c>
      <c r="C10" s="20">
        <v>11843</v>
      </c>
      <c r="D10" s="20">
        <v>12092</v>
      </c>
      <c r="E10" s="20">
        <v>249</v>
      </c>
      <c r="F10" s="20">
        <v>37</v>
      </c>
      <c r="G10" s="20">
        <v>0</v>
      </c>
      <c r="H10" s="20">
        <v>37</v>
      </c>
      <c r="I10" s="25">
        <f t="shared" si="0"/>
        <v>1</v>
      </c>
      <c r="J10" s="30">
        <v>46</v>
      </c>
      <c r="K10" s="20">
        <v>78</v>
      </c>
      <c r="L10" s="20">
        <v>49</v>
      </c>
      <c r="M10" s="20">
        <v>75</v>
      </c>
      <c r="N10" s="31">
        <f t="shared" si="2"/>
        <v>0.38306451612903225</v>
      </c>
    </row>
    <row r="11" spans="1:14" ht="14.25" customHeight="1">
      <c r="A11" s="5"/>
      <c r="B11" s="29" t="s">
        <v>274</v>
      </c>
      <c r="C11" s="20">
        <v>12092</v>
      </c>
      <c r="D11" s="20">
        <v>12686</v>
      </c>
      <c r="E11" s="20">
        <v>594</v>
      </c>
      <c r="F11" s="20">
        <v>84</v>
      </c>
      <c r="G11" s="20">
        <v>0</v>
      </c>
      <c r="H11" s="20">
        <v>84</v>
      </c>
      <c r="I11" s="25">
        <f t="shared" si="0"/>
        <v>1</v>
      </c>
      <c r="J11" s="30">
        <v>120</v>
      </c>
      <c r="K11" s="20">
        <v>193</v>
      </c>
      <c r="L11" s="20">
        <v>107</v>
      </c>
      <c r="M11" s="20">
        <v>173</v>
      </c>
      <c r="N11" s="31">
        <f t="shared" si="2"/>
        <v>0.38279932546374368</v>
      </c>
    </row>
    <row r="12" spans="1:14" ht="14.25" customHeight="1">
      <c r="A12" s="5"/>
      <c r="B12" s="29" t="s">
        <v>275</v>
      </c>
      <c r="C12" s="20">
        <v>12686</v>
      </c>
      <c r="D12" s="20">
        <v>13025</v>
      </c>
      <c r="E12" s="20">
        <v>339</v>
      </c>
      <c r="F12" s="20">
        <v>55</v>
      </c>
      <c r="G12" s="20">
        <v>0</v>
      </c>
      <c r="H12" s="20">
        <v>55</v>
      </c>
      <c r="I12" s="25">
        <f t="shared" si="0"/>
        <v>1</v>
      </c>
      <c r="J12" s="30">
        <v>72</v>
      </c>
      <c r="K12" s="20">
        <v>105</v>
      </c>
      <c r="L12" s="20">
        <v>64</v>
      </c>
      <c r="M12" s="20">
        <v>98</v>
      </c>
      <c r="N12" s="31">
        <f t="shared" si="2"/>
        <v>0.40117994100294985</v>
      </c>
    </row>
    <row r="13" spans="1:14" ht="14.25" customHeight="1">
      <c r="A13" s="5"/>
      <c r="B13" s="29" t="s">
        <v>276</v>
      </c>
      <c r="C13" s="20">
        <v>13025</v>
      </c>
      <c r="D13" s="20">
        <v>13442</v>
      </c>
      <c r="E13" s="20">
        <v>417</v>
      </c>
      <c r="F13" s="20">
        <v>67</v>
      </c>
      <c r="G13" s="20">
        <v>0</v>
      </c>
      <c r="H13" s="20">
        <v>67</v>
      </c>
      <c r="I13" s="25">
        <f t="shared" si="0"/>
        <v>1</v>
      </c>
      <c r="J13" s="30">
        <v>93</v>
      </c>
      <c r="K13" s="20">
        <v>116</v>
      </c>
      <c r="L13" s="20">
        <v>84</v>
      </c>
      <c r="M13" s="20">
        <v>124</v>
      </c>
      <c r="N13" s="31">
        <f t="shared" si="2"/>
        <v>0.42446043165467628</v>
      </c>
    </row>
    <row r="14" spans="1:14" ht="14.25" customHeight="1">
      <c r="A14" s="8"/>
      <c r="B14" s="32" t="s">
        <v>277</v>
      </c>
      <c r="C14" s="20">
        <v>13442</v>
      </c>
      <c r="D14" s="20">
        <v>13481</v>
      </c>
      <c r="E14" s="20">
        <v>39</v>
      </c>
      <c r="F14" s="20">
        <v>7</v>
      </c>
      <c r="G14" s="20">
        <v>7</v>
      </c>
      <c r="H14" s="20">
        <v>0</v>
      </c>
      <c r="I14" s="25">
        <f t="shared" si="0"/>
        <v>0</v>
      </c>
      <c r="J14" s="30">
        <v>11</v>
      </c>
      <c r="K14" s="20">
        <v>8</v>
      </c>
      <c r="L14" s="20">
        <v>7</v>
      </c>
      <c r="M14" s="20">
        <v>13</v>
      </c>
      <c r="N14" s="31">
        <f t="shared" si="2"/>
        <v>0.46153846153846156</v>
      </c>
    </row>
    <row r="15" spans="1:14" ht="14.25" customHeight="1">
      <c r="A15" s="23" t="s">
        <v>278</v>
      </c>
      <c r="B15" s="24"/>
      <c r="C15" s="20">
        <v>13483</v>
      </c>
      <c r="D15" s="20">
        <v>21555</v>
      </c>
      <c r="E15" s="20">
        <v>8072</v>
      </c>
      <c r="F15" s="20">
        <v>994</v>
      </c>
      <c r="G15" s="20">
        <v>994</v>
      </c>
      <c r="H15" s="20">
        <v>0</v>
      </c>
      <c r="I15" s="25">
        <f t="shared" si="0"/>
        <v>0</v>
      </c>
      <c r="J15" s="30">
        <f t="shared" ref="J15:M15" si="3">SUM(J16:J20)</f>
        <v>1588</v>
      </c>
      <c r="K15" s="20">
        <f t="shared" si="3"/>
        <v>2490</v>
      </c>
      <c r="L15" s="20">
        <f t="shared" si="3"/>
        <v>1420</v>
      </c>
      <c r="M15" s="20">
        <f t="shared" si="3"/>
        <v>2625</v>
      </c>
      <c r="N15" s="31">
        <f t="shared" si="2"/>
        <v>0.37030653699372151</v>
      </c>
    </row>
    <row r="16" spans="1:14" ht="14.25" customHeight="1">
      <c r="A16" s="5"/>
      <c r="B16" s="29" t="s">
        <v>279</v>
      </c>
      <c r="C16" s="20">
        <v>13442</v>
      </c>
      <c r="D16" s="20">
        <v>16238</v>
      </c>
      <c r="E16" s="20">
        <v>2796</v>
      </c>
      <c r="F16" s="20">
        <v>359</v>
      </c>
      <c r="G16" s="20">
        <v>359</v>
      </c>
      <c r="H16" s="20">
        <v>0</v>
      </c>
      <c r="I16" s="25">
        <f t="shared" si="0"/>
        <v>0</v>
      </c>
      <c r="J16" s="30">
        <v>541</v>
      </c>
      <c r="K16" s="20">
        <v>846</v>
      </c>
      <c r="L16" s="20">
        <v>501</v>
      </c>
      <c r="M16" s="20">
        <v>907</v>
      </c>
      <c r="N16" s="31">
        <f t="shared" si="2"/>
        <v>0.37280858676207512</v>
      </c>
    </row>
    <row r="17" spans="1:14" ht="14.25" customHeight="1">
      <c r="A17" s="5"/>
      <c r="B17" s="29" t="s">
        <v>280</v>
      </c>
      <c r="C17" s="20">
        <v>16238</v>
      </c>
      <c r="D17" s="20">
        <v>18041</v>
      </c>
      <c r="E17" s="20">
        <v>1803</v>
      </c>
      <c r="F17" s="20">
        <v>216</v>
      </c>
      <c r="G17" s="20">
        <v>216</v>
      </c>
      <c r="H17" s="20">
        <v>0</v>
      </c>
      <c r="I17" s="25">
        <f t="shared" si="0"/>
        <v>0</v>
      </c>
      <c r="J17" s="30">
        <v>353</v>
      </c>
      <c r="K17" s="20">
        <v>548</v>
      </c>
      <c r="L17" s="20">
        <v>337</v>
      </c>
      <c r="M17" s="20">
        <v>568</v>
      </c>
      <c r="N17" s="31">
        <f t="shared" si="2"/>
        <v>0.38205980066445183</v>
      </c>
    </row>
    <row r="18" spans="1:14" ht="14.25" customHeight="1">
      <c r="A18" s="5"/>
      <c r="B18" s="29" t="s">
        <v>281</v>
      </c>
      <c r="C18" s="20">
        <v>18041</v>
      </c>
      <c r="D18" s="20">
        <v>19622</v>
      </c>
      <c r="E18" s="20">
        <v>1581</v>
      </c>
      <c r="F18" s="20">
        <v>214</v>
      </c>
      <c r="G18" s="20">
        <v>214</v>
      </c>
      <c r="H18" s="20">
        <v>0</v>
      </c>
      <c r="I18" s="25">
        <f t="shared" si="0"/>
        <v>0</v>
      </c>
      <c r="J18" s="30">
        <v>316</v>
      </c>
      <c r="K18" s="20">
        <v>467</v>
      </c>
      <c r="L18" s="20">
        <v>289</v>
      </c>
      <c r="M18" s="20">
        <v>512</v>
      </c>
      <c r="N18" s="31">
        <f t="shared" si="2"/>
        <v>0.38194444444444442</v>
      </c>
    </row>
    <row r="19" spans="1:14" ht="14.25" customHeight="1">
      <c r="A19" s="5"/>
      <c r="B19" s="29" t="s">
        <v>282</v>
      </c>
      <c r="C19" s="20">
        <v>19622</v>
      </c>
      <c r="D19" s="20">
        <v>20660</v>
      </c>
      <c r="E19" s="20">
        <v>1038</v>
      </c>
      <c r="F19" s="20">
        <v>103</v>
      </c>
      <c r="G19" s="20">
        <v>103</v>
      </c>
      <c r="H19" s="20">
        <v>0</v>
      </c>
      <c r="I19" s="25">
        <f t="shared" si="0"/>
        <v>0</v>
      </c>
      <c r="J19" s="30">
        <v>204</v>
      </c>
      <c r="K19" s="20">
        <v>345</v>
      </c>
      <c r="L19" s="20">
        <v>150</v>
      </c>
      <c r="M19" s="20">
        <v>342</v>
      </c>
      <c r="N19" s="31">
        <f t="shared" si="2"/>
        <v>0.34005763688760809</v>
      </c>
    </row>
    <row r="20" spans="1:14" ht="14.25" customHeight="1">
      <c r="A20" s="8"/>
      <c r="B20" s="32" t="s">
        <v>283</v>
      </c>
      <c r="C20" s="20">
        <v>20660</v>
      </c>
      <c r="D20" s="20">
        <v>21554</v>
      </c>
      <c r="E20" s="20">
        <v>894</v>
      </c>
      <c r="F20" s="20">
        <v>102</v>
      </c>
      <c r="G20" s="20">
        <v>102</v>
      </c>
      <c r="H20" s="20">
        <v>0</v>
      </c>
      <c r="I20" s="25">
        <f t="shared" si="0"/>
        <v>0</v>
      </c>
      <c r="J20" s="30">
        <v>174</v>
      </c>
      <c r="K20" s="20">
        <v>284</v>
      </c>
      <c r="L20" s="20">
        <v>143</v>
      </c>
      <c r="M20" s="20">
        <v>296</v>
      </c>
      <c r="N20" s="31">
        <f t="shared" si="2"/>
        <v>0.35340022296544038</v>
      </c>
    </row>
    <row r="21" spans="1:14" ht="14.25" customHeight="1">
      <c r="A21" s="23" t="s">
        <v>284</v>
      </c>
      <c r="B21" s="24"/>
      <c r="C21" s="20">
        <v>21563</v>
      </c>
      <c r="D21" s="20">
        <v>25384</v>
      </c>
      <c r="E21" s="20">
        <v>3821</v>
      </c>
      <c r="F21" s="20">
        <v>562</v>
      </c>
      <c r="G21" s="20">
        <v>0</v>
      </c>
      <c r="H21" s="20">
        <v>562</v>
      </c>
      <c r="I21" s="25">
        <f t="shared" si="0"/>
        <v>1</v>
      </c>
      <c r="J21" s="30">
        <v>703</v>
      </c>
      <c r="K21" s="20">
        <v>1125</v>
      </c>
      <c r="L21" s="20">
        <v>723</v>
      </c>
      <c r="M21" s="20">
        <v>1271</v>
      </c>
      <c r="N21" s="31">
        <f t="shared" si="2"/>
        <v>0.37310308738880166</v>
      </c>
    </row>
    <row r="22" spans="1:14" ht="14.25" customHeight="1">
      <c r="A22" s="23" t="s">
        <v>285</v>
      </c>
      <c r="B22" s="24"/>
      <c r="C22" s="20">
        <v>25393</v>
      </c>
      <c r="D22" s="20">
        <v>26220</v>
      </c>
      <c r="E22" s="20">
        <v>827</v>
      </c>
      <c r="F22" s="20">
        <v>123</v>
      </c>
      <c r="G22" s="20">
        <v>62</v>
      </c>
      <c r="H22" s="20">
        <f>F22-G22</f>
        <v>61</v>
      </c>
      <c r="I22" s="25">
        <f t="shared" si="0"/>
        <v>0.49593495934959347</v>
      </c>
      <c r="J22" s="30">
        <v>153</v>
      </c>
      <c r="K22" s="20">
        <v>225</v>
      </c>
      <c r="L22" s="20">
        <v>174</v>
      </c>
      <c r="M22" s="20">
        <v>276</v>
      </c>
      <c r="N22" s="31">
        <f t="shared" si="2"/>
        <v>0.39492753623188404</v>
      </c>
    </row>
    <row r="23" spans="1:14" ht="14.25" customHeight="1">
      <c r="A23" s="8"/>
      <c r="B23" s="32" t="s">
        <v>286</v>
      </c>
      <c r="C23" s="20">
        <v>25765</v>
      </c>
      <c r="D23" s="20">
        <v>26220</v>
      </c>
      <c r="E23" s="20">
        <v>455</v>
      </c>
      <c r="F23" s="20">
        <v>62</v>
      </c>
      <c r="G23" s="20">
        <v>62</v>
      </c>
      <c r="H23" s="20">
        <v>0</v>
      </c>
      <c r="I23" s="25">
        <f t="shared" si="0"/>
        <v>0</v>
      </c>
      <c r="J23" s="30">
        <v>83</v>
      </c>
      <c r="K23" s="20">
        <v>136</v>
      </c>
      <c r="L23" s="20">
        <v>92</v>
      </c>
      <c r="M23" s="20">
        <v>145</v>
      </c>
      <c r="N23" s="31">
        <f t="shared" si="2"/>
        <v>0.38377192982456143</v>
      </c>
    </row>
    <row r="24" spans="1:14" ht="14.25" customHeight="1">
      <c r="A24" s="23" t="s">
        <v>287</v>
      </c>
      <c r="B24" s="24"/>
      <c r="C24" s="20">
        <v>26245</v>
      </c>
      <c r="D24" s="20">
        <v>26472</v>
      </c>
      <c r="E24" s="20">
        <v>227</v>
      </c>
      <c r="F24" s="20">
        <v>43</v>
      </c>
      <c r="G24" s="20">
        <v>0</v>
      </c>
      <c r="H24" s="20">
        <v>43</v>
      </c>
      <c r="I24" s="25">
        <f t="shared" si="0"/>
        <v>1</v>
      </c>
      <c r="J24" s="30">
        <v>42</v>
      </c>
      <c r="K24" s="20">
        <v>48</v>
      </c>
      <c r="L24" s="20">
        <v>45</v>
      </c>
      <c r="M24" s="20">
        <v>93</v>
      </c>
      <c r="N24" s="31">
        <f t="shared" si="2"/>
        <v>0.38157894736842107</v>
      </c>
    </row>
    <row r="25" spans="1:14" ht="14.25" customHeight="1">
      <c r="A25" s="23" t="s">
        <v>288</v>
      </c>
      <c r="B25" s="24"/>
      <c r="C25" s="20">
        <v>26523</v>
      </c>
      <c r="D25" s="20">
        <v>27191</v>
      </c>
      <c r="E25" s="20">
        <v>668</v>
      </c>
      <c r="F25" s="20">
        <v>107</v>
      </c>
      <c r="G25" s="20">
        <v>0</v>
      </c>
      <c r="H25" s="20">
        <v>107</v>
      </c>
      <c r="I25" s="25">
        <f t="shared" si="0"/>
        <v>1</v>
      </c>
      <c r="J25" s="30">
        <v>139</v>
      </c>
      <c r="K25" s="20">
        <v>170</v>
      </c>
      <c r="L25" s="20">
        <v>147</v>
      </c>
      <c r="M25" s="20">
        <v>213</v>
      </c>
      <c r="N25" s="31">
        <f t="shared" si="2"/>
        <v>0.42750373692077726</v>
      </c>
    </row>
    <row r="26" spans="1:14" ht="14.25" customHeight="1">
      <c r="A26" s="23" t="s">
        <v>289</v>
      </c>
      <c r="B26" s="24"/>
      <c r="C26" s="20">
        <v>27202</v>
      </c>
      <c r="D26" s="20">
        <v>27387</v>
      </c>
      <c r="E26" s="20">
        <v>185</v>
      </c>
      <c r="F26" s="20">
        <v>17</v>
      </c>
      <c r="G26" s="20">
        <v>0</v>
      </c>
      <c r="H26" s="20">
        <v>17</v>
      </c>
      <c r="I26" s="25">
        <f t="shared" si="0"/>
        <v>1</v>
      </c>
      <c r="J26" s="30">
        <v>26</v>
      </c>
      <c r="K26" s="20">
        <v>68</v>
      </c>
      <c r="L26" s="20">
        <v>26</v>
      </c>
      <c r="M26" s="20">
        <v>66</v>
      </c>
      <c r="N26" s="31">
        <f t="shared" si="2"/>
        <v>0.27956989247311825</v>
      </c>
    </row>
    <row r="27" spans="1:14" ht="14.25" customHeight="1">
      <c r="A27" s="23" t="s">
        <v>290</v>
      </c>
      <c r="B27" s="24"/>
      <c r="C27" s="20">
        <v>27394</v>
      </c>
      <c r="D27" s="20">
        <v>27759</v>
      </c>
      <c r="E27" s="20">
        <v>365</v>
      </c>
      <c r="F27" s="20">
        <v>56</v>
      </c>
      <c r="G27" s="20">
        <v>0</v>
      </c>
      <c r="H27" s="20">
        <v>56</v>
      </c>
      <c r="I27" s="25">
        <f t="shared" si="0"/>
        <v>1</v>
      </c>
      <c r="J27" s="30">
        <v>60</v>
      </c>
      <c r="K27" s="20">
        <v>106</v>
      </c>
      <c r="L27" s="20">
        <v>79</v>
      </c>
      <c r="M27" s="20">
        <v>117</v>
      </c>
      <c r="N27" s="31">
        <f t="shared" si="2"/>
        <v>0.38397790055248621</v>
      </c>
    </row>
    <row r="28" spans="1:14" ht="14.25" customHeight="1">
      <c r="A28" s="23" t="s">
        <v>291</v>
      </c>
      <c r="B28" s="24"/>
      <c r="C28" s="20">
        <v>27756</v>
      </c>
      <c r="D28" s="20">
        <v>27887</v>
      </c>
      <c r="E28" s="20">
        <v>131</v>
      </c>
      <c r="F28" s="20">
        <v>13</v>
      </c>
      <c r="G28" s="20">
        <v>0</v>
      </c>
      <c r="H28" s="20">
        <v>13</v>
      </c>
      <c r="I28" s="25">
        <f t="shared" si="0"/>
        <v>1</v>
      </c>
      <c r="J28" s="30">
        <v>16</v>
      </c>
      <c r="K28" s="20">
        <v>29</v>
      </c>
      <c r="L28" s="20">
        <v>24</v>
      </c>
      <c r="M28" s="20">
        <v>59</v>
      </c>
      <c r="N28" s="31">
        <f t="shared" si="2"/>
        <v>0.3125</v>
      </c>
    </row>
    <row r="29" spans="1:14" ht="14.25" customHeight="1">
      <c r="A29" s="23" t="s">
        <v>292</v>
      </c>
      <c r="B29" s="24"/>
      <c r="C29" s="20">
        <v>27894</v>
      </c>
      <c r="D29" s="20">
        <v>28259</v>
      </c>
      <c r="E29" s="20">
        <v>365</v>
      </c>
      <c r="F29" s="20">
        <v>45</v>
      </c>
      <c r="G29" s="20">
        <v>0</v>
      </c>
      <c r="H29" s="20">
        <v>45</v>
      </c>
      <c r="I29" s="25">
        <f t="shared" si="0"/>
        <v>1</v>
      </c>
      <c r="J29" s="30">
        <v>67</v>
      </c>
      <c r="K29" s="20">
        <v>101</v>
      </c>
      <c r="L29" s="20">
        <v>64</v>
      </c>
      <c r="M29" s="20">
        <v>134</v>
      </c>
      <c r="N29" s="31">
        <f t="shared" si="2"/>
        <v>0.35792349726775957</v>
      </c>
    </row>
    <row r="30" spans="1:14" ht="14.25" customHeight="1">
      <c r="A30" s="23" t="s">
        <v>293</v>
      </c>
      <c r="B30" s="24"/>
      <c r="C30" s="20">
        <v>28274</v>
      </c>
      <c r="D30" s="20">
        <v>29533</v>
      </c>
      <c r="E30" s="20">
        <v>1259</v>
      </c>
      <c r="F30" s="20">
        <v>204</v>
      </c>
      <c r="G30" s="20">
        <v>86</v>
      </c>
      <c r="H30" s="20">
        <v>118</v>
      </c>
      <c r="I30" s="25">
        <f t="shared" si="0"/>
        <v>0.57843137254901966</v>
      </c>
      <c r="J30" s="30">
        <v>280</v>
      </c>
      <c r="K30" s="20">
        <v>400</v>
      </c>
      <c r="L30" s="20">
        <v>315</v>
      </c>
      <c r="M30" s="20">
        <v>265</v>
      </c>
      <c r="N30" s="31">
        <f t="shared" si="2"/>
        <v>0.47222222222222221</v>
      </c>
    </row>
    <row r="31" spans="1:14" ht="14.25" customHeight="1">
      <c r="A31" s="5"/>
      <c r="B31" s="29" t="s">
        <v>294</v>
      </c>
      <c r="C31" s="20">
        <v>28284</v>
      </c>
      <c r="D31" s="20">
        <v>28577</v>
      </c>
      <c r="E31" s="20">
        <v>293</v>
      </c>
      <c r="F31" s="20">
        <v>48</v>
      </c>
      <c r="G31" s="20">
        <v>48</v>
      </c>
      <c r="H31" s="20">
        <v>0</v>
      </c>
      <c r="I31" s="25">
        <f t="shared" si="0"/>
        <v>0</v>
      </c>
      <c r="J31" s="30">
        <v>68</v>
      </c>
      <c r="K31" s="20">
        <v>91</v>
      </c>
      <c r="L31" s="20">
        <v>78</v>
      </c>
      <c r="M31" s="20">
        <v>57</v>
      </c>
      <c r="N31" s="31">
        <f t="shared" si="2"/>
        <v>0.49659863945578231</v>
      </c>
    </row>
    <row r="32" spans="1:14" ht="14.25" customHeight="1">
      <c r="A32" s="8"/>
      <c r="B32" s="32" t="s">
        <v>295</v>
      </c>
      <c r="C32" s="20">
        <v>28734</v>
      </c>
      <c r="D32" s="20">
        <v>28955</v>
      </c>
      <c r="E32" s="20">
        <v>221</v>
      </c>
      <c r="F32" s="20">
        <v>38</v>
      </c>
      <c r="G32" s="20">
        <v>38</v>
      </c>
      <c r="H32" s="20">
        <v>0</v>
      </c>
      <c r="I32" s="25">
        <f t="shared" si="0"/>
        <v>0</v>
      </c>
      <c r="J32" s="30">
        <v>56</v>
      </c>
      <c r="K32" s="20">
        <v>56</v>
      </c>
      <c r="L32" s="20">
        <v>57</v>
      </c>
      <c r="M32" s="20">
        <v>53</v>
      </c>
      <c r="N32" s="31">
        <f t="shared" si="2"/>
        <v>0.50900900900900903</v>
      </c>
    </row>
    <row r="33" spans="1:14" ht="14.25" customHeight="1">
      <c r="A33" s="8" t="s">
        <v>296</v>
      </c>
      <c r="B33" s="32"/>
      <c r="C33" s="33">
        <v>29558</v>
      </c>
      <c r="D33" s="33">
        <v>29674</v>
      </c>
      <c r="E33" s="33">
        <v>116</v>
      </c>
      <c r="F33" s="33">
        <v>15</v>
      </c>
      <c r="G33" s="33">
        <v>0</v>
      </c>
      <c r="H33" s="33">
        <v>15</v>
      </c>
      <c r="I33" s="34">
        <f t="shared" si="0"/>
        <v>1</v>
      </c>
      <c r="J33" s="35">
        <v>19</v>
      </c>
      <c r="K33" s="33">
        <v>35</v>
      </c>
      <c r="L33" s="33">
        <v>21</v>
      </c>
      <c r="M33" s="33">
        <v>42</v>
      </c>
      <c r="N33" s="36">
        <f t="shared" si="2"/>
        <v>0.34188034188034189</v>
      </c>
    </row>
    <row r="34" spans="1:14" ht="14.25" customHeight="1">
      <c r="A34" s="30"/>
      <c r="B34" s="29"/>
      <c r="C34" s="20"/>
      <c r="D34" s="20"/>
      <c r="E34" s="20"/>
      <c r="F34" s="20"/>
      <c r="G34" s="20"/>
      <c r="H34" s="20"/>
      <c r="I34" s="25"/>
      <c r="J34" s="30"/>
      <c r="K34" s="20"/>
      <c r="L34" s="20"/>
      <c r="M34" s="20"/>
      <c r="N34" s="29"/>
    </row>
    <row r="35" spans="1:14" ht="14.25" customHeight="1">
      <c r="A35" s="35" t="s">
        <v>297</v>
      </c>
      <c r="B35" s="32"/>
      <c r="C35" s="33"/>
      <c r="D35" s="33"/>
      <c r="E35" s="33">
        <f t="shared" ref="E35:F35" si="4">SUM(E3,E15,E21:E22,E24:E30,E33)</f>
        <v>29253</v>
      </c>
      <c r="F35" s="33">
        <f t="shared" si="4"/>
        <v>4125</v>
      </c>
      <c r="G35" s="33">
        <f>SUM(G15,G21:G30,G33)</f>
        <v>1204</v>
      </c>
      <c r="H35" s="33">
        <f>SUM(H3,H15,H21,H22,H24:H30,H33)</f>
        <v>2976</v>
      </c>
      <c r="I35" s="34">
        <f>H35/F35</f>
        <v>0.72145454545454546</v>
      </c>
      <c r="J35" s="35">
        <v>5863</v>
      </c>
      <c r="K35" s="33">
        <v>8952</v>
      </c>
      <c r="L35" s="33">
        <v>5492</v>
      </c>
      <c r="M35" s="33">
        <v>9594</v>
      </c>
      <c r="N35" s="36">
        <f>SUM(J35,L35)/SUM(J35:M35)</f>
        <v>0.37975318551219023</v>
      </c>
    </row>
    <row r="36" spans="1:14" ht="14.25" customHeight="1">
      <c r="A36" s="181" t="s">
        <v>298</v>
      </c>
      <c r="B36" s="171"/>
      <c r="C36" s="171"/>
      <c r="D36" s="171"/>
      <c r="E36" s="171"/>
      <c r="F36" s="171"/>
      <c r="G36" s="171"/>
      <c r="H36" s="171"/>
      <c r="I36" s="171"/>
      <c r="J36" s="20"/>
      <c r="K36" s="20"/>
      <c r="L36" s="20"/>
      <c r="M36" s="20"/>
      <c r="N36" s="20"/>
    </row>
    <row r="37" spans="1:14" ht="14.25" customHeight="1">
      <c r="A37" s="171"/>
      <c r="B37" s="171"/>
      <c r="C37" s="171"/>
      <c r="D37" s="171"/>
      <c r="E37" s="171"/>
      <c r="F37" s="171"/>
      <c r="G37" s="171"/>
      <c r="H37" s="171"/>
      <c r="I37" s="171"/>
      <c r="J37" s="37"/>
      <c r="K37" s="37"/>
      <c r="L37" s="37"/>
      <c r="M37" s="37"/>
      <c r="N37" s="20"/>
    </row>
    <row r="38" spans="1:14" ht="14.25" customHeight="1">
      <c r="A38" s="171"/>
      <c r="B38" s="171"/>
      <c r="C38" s="171"/>
      <c r="D38" s="171"/>
      <c r="E38" s="171"/>
      <c r="F38" s="171"/>
      <c r="G38" s="171"/>
      <c r="H38" s="171"/>
      <c r="I38" s="171"/>
      <c r="J38" s="20"/>
      <c r="K38" s="20"/>
      <c r="L38" s="20"/>
      <c r="M38" s="20"/>
      <c r="N38" s="20"/>
    </row>
    <row r="39" spans="1:14" ht="14.25" customHeight="1">
      <c r="A39" s="171"/>
      <c r="B39" s="171"/>
      <c r="C39" s="171"/>
      <c r="D39" s="171"/>
      <c r="E39" s="171"/>
      <c r="F39" s="171"/>
      <c r="G39" s="171"/>
      <c r="H39" s="171"/>
      <c r="I39" s="171"/>
      <c r="J39" s="20"/>
      <c r="K39" s="20"/>
      <c r="L39" s="20"/>
      <c r="M39" s="20"/>
      <c r="N39" s="20"/>
    </row>
    <row r="40" spans="1:14" ht="14.25" customHeight="1">
      <c r="A40" s="171"/>
      <c r="B40" s="171"/>
      <c r="C40" s="171"/>
      <c r="D40" s="171"/>
      <c r="E40" s="171"/>
      <c r="F40" s="171"/>
      <c r="G40" s="171"/>
      <c r="H40" s="171"/>
      <c r="I40" s="171"/>
      <c r="J40" s="20"/>
      <c r="K40" s="20"/>
      <c r="L40" s="20"/>
      <c r="M40" s="20"/>
      <c r="N40" s="20"/>
    </row>
    <row r="41" spans="1:14" ht="14.25" customHeight="1">
      <c r="A41" s="171"/>
      <c r="B41" s="171"/>
      <c r="C41" s="171"/>
      <c r="D41" s="171"/>
      <c r="E41" s="171"/>
      <c r="F41" s="171"/>
      <c r="G41" s="171"/>
      <c r="H41" s="171"/>
      <c r="I41" s="171"/>
      <c r="J41" s="20"/>
      <c r="K41" s="20"/>
      <c r="L41" s="20"/>
      <c r="M41" s="20"/>
      <c r="N41" s="20"/>
    </row>
    <row r="42" spans="1:14" ht="14.25" customHeight="1">
      <c r="A42" s="171"/>
      <c r="B42" s="171"/>
      <c r="C42" s="171"/>
      <c r="D42" s="171"/>
      <c r="E42" s="171"/>
      <c r="F42" s="171"/>
      <c r="G42" s="171"/>
      <c r="H42" s="171"/>
      <c r="I42" s="171"/>
      <c r="J42" s="20"/>
      <c r="K42" s="20"/>
      <c r="L42" s="20"/>
      <c r="M42" s="20"/>
      <c r="N42" s="20"/>
    </row>
    <row r="43" spans="1:14" ht="14.25" customHeight="1">
      <c r="A43" s="171"/>
      <c r="B43" s="171"/>
      <c r="C43" s="171"/>
      <c r="D43" s="171"/>
      <c r="E43" s="171"/>
      <c r="F43" s="171"/>
      <c r="G43" s="171"/>
      <c r="H43" s="171"/>
      <c r="I43" s="171"/>
      <c r="J43" s="20"/>
      <c r="K43" s="20"/>
      <c r="L43" s="20"/>
      <c r="M43" s="20"/>
      <c r="N43" s="20"/>
    </row>
    <row r="44" spans="1:14" ht="14.25" customHeight="1"/>
    <row r="45" spans="1:14" ht="14.25" customHeight="1"/>
    <row r="46" spans="1:14" ht="14.25" customHeight="1"/>
    <row r="47" spans="1:14" ht="14.25" customHeight="1"/>
    <row r="48" spans="1:14"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5">
    <mergeCell ref="A36:I43"/>
    <mergeCell ref="M1:M2"/>
    <mergeCell ref="N1:N2"/>
    <mergeCell ref="A1:A2"/>
    <mergeCell ref="B1:B2"/>
    <mergeCell ref="C1:C2"/>
    <mergeCell ref="D1:D2"/>
    <mergeCell ref="E1:E2"/>
    <mergeCell ref="F1:F2"/>
    <mergeCell ref="G1:G2"/>
    <mergeCell ref="H1:H2"/>
    <mergeCell ref="I1:I2"/>
    <mergeCell ref="J1:J2"/>
    <mergeCell ref="K1:K2"/>
    <mergeCell ref="L1:L2"/>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000"/>
  <sheetViews>
    <sheetView workbookViewId="0"/>
  </sheetViews>
  <sheetFormatPr defaultColWidth="12.6640625" defaultRowHeight="15" customHeight="1"/>
  <cols>
    <col min="1" max="1" width="9.88671875" customWidth="1"/>
    <col min="2" max="13" width="9.109375" customWidth="1"/>
    <col min="14" max="26" width="8.6640625" customWidth="1"/>
  </cols>
  <sheetData>
    <row r="1" spans="1:13" ht="14.25" customHeight="1">
      <c r="A1" s="38" t="s">
        <v>297</v>
      </c>
      <c r="B1" s="39"/>
      <c r="C1" s="39"/>
      <c r="D1" s="39"/>
      <c r="E1" s="39"/>
      <c r="F1" s="39"/>
      <c r="G1" s="39"/>
      <c r="H1" s="39"/>
      <c r="I1" s="39"/>
      <c r="J1" s="39"/>
      <c r="K1" s="39"/>
      <c r="L1" s="39"/>
      <c r="M1" s="39"/>
    </row>
    <row r="2" spans="1:13" ht="14.25" customHeight="1">
      <c r="A2" s="40"/>
      <c r="B2" s="40" t="s">
        <v>299</v>
      </c>
      <c r="C2" s="40" t="s">
        <v>300</v>
      </c>
      <c r="D2" s="40" t="s">
        <v>301</v>
      </c>
      <c r="E2" s="40" t="s">
        <v>302</v>
      </c>
      <c r="F2" s="40" t="s">
        <v>303</v>
      </c>
      <c r="G2" s="40" t="s">
        <v>304</v>
      </c>
      <c r="H2" s="40" t="s">
        <v>305</v>
      </c>
      <c r="I2" s="40" t="s">
        <v>306</v>
      </c>
      <c r="J2" s="40" t="s">
        <v>307</v>
      </c>
      <c r="K2" s="40" t="s">
        <v>308</v>
      </c>
      <c r="L2" s="40" t="s">
        <v>309</v>
      </c>
      <c r="M2" s="40" t="s">
        <v>310</v>
      </c>
    </row>
    <row r="3" spans="1:13" ht="14.25" customHeight="1">
      <c r="A3" s="40" t="s">
        <v>311</v>
      </c>
      <c r="B3" s="41">
        <v>4.33E-6</v>
      </c>
      <c r="C3" s="42">
        <v>4.6500000000000004E-6</v>
      </c>
      <c r="D3" s="42">
        <v>1.81E-6</v>
      </c>
      <c r="E3" s="42">
        <v>1.36E-5</v>
      </c>
      <c r="F3" s="42">
        <v>3.9500000000000003E-6</v>
      </c>
      <c r="G3" s="42">
        <v>7.3900000000000004E-6</v>
      </c>
      <c r="H3" s="42">
        <v>8.7000000000000001E-5</v>
      </c>
      <c r="I3" s="42">
        <v>6.2600000000000002E-6</v>
      </c>
      <c r="J3" s="42">
        <v>5.5500000000000002E-6</v>
      </c>
      <c r="K3" s="42">
        <v>4.0899999999999998E-6</v>
      </c>
      <c r="L3" s="42">
        <v>2.4300000000000001E-5</v>
      </c>
      <c r="M3" s="43">
        <v>3.0000000000000001E-6</v>
      </c>
    </row>
    <row r="4" spans="1:13" ht="14.25" customHeight="1">
      <c r="A4" s="40" t="s">
        <v>312</v>
      </c>
      <c r="B4" s="44">
        <v>5.9900000000000002E-6</v>
      </c>
      <c r="C4" s="45">
        <v>7.0299999999999996E-6</v>
      </c>
      <c r="D4" s="45">
        <v>9.1900000000000001E-6</v>
      </c>
      <c r="E4" s="45">
        <v>9.8500000000000006E-6</v>
      </c>
      <c r="F4" s="45">
        <v>2.39E-6</v>
      </c>
      <c r="G4" s="45">
        <v>1.06E-5</v>
      </c>
      <c r="H4" s="45">
        <v>1.5828500000000001E-4</v>
      </c>
      <c r="I4" s="45">
        <v>4.4599999999999996E-6</v>
      </c>
      <c r="J4" s="45">
        <v>8.3299999999999999E-6</v>
      </c>
      <c r="K4" s="45">
        <v>6.5200000000000003E-6</v>
      </c>
      <c r="L4" s="45">
        <v>1.5299999999999999E-5</v>
      </c>
      <c r="M4" s="46">
        <v>1.6500000000000001E-6</v>
      </c>
    </row>
    <row r="5" spans="1:13" ht="14.25" customHeight="1">
      <c r="A5" s="40" t="s">
        <v>313</v>
      </c>
      <c r="B5" s="44">
        <v>9.8099999999999992E-6</v>
      </c>
      <c r="C5" s="45">
        <v>1.29E-5</v>
      </c>
      <c r="D5" s="45">
        <v>3.8700000000000002E-6</v>
      </c>
      <c r="E5" s="45">
        <v>1.4E-5</v>
      </c>
      <c r="F5" s="45">
        <v>3.5700000000000001E-6</v>
      </c>
      <c r="G5" s="45">
        <v>7.17E-6</v>
      </c>
      <c r="H5" s="45">
        <v>8.0699999999999996E-5</v>
      </c>
      <c r="I5" s="45">
        <v>2.4700000000000001E-6</v>
      </c>
      <c r="J5" s="45">
        <v>5.49E-6</v>
      </c>
      <c r="K5" s="45">
        <v>2.17E-6</v>
      </c>
      <c r="L5" s="45">
        <v>1.45E-5</v>
      </c>
      <c r="M5" s="46">
        <v>1.22E-6</v>
      </c>
    </row>
    <row r="6" spans="1:13" ht="14.25" customHeight="1">
      <c r="A6" s="40" t="s">
        <v>314</v>
      </c>
      <c r="B6" s="44">
        <v>3.3699999999999999E-6</v>
      </c>
      <c r="C6" s="45">
        <v>7.8599999999999993E-6</v>
      </c>
      <c r="D6" s="45">
        <v>6.8199999999999999E-6</v>
      </c>
      <c r="E6" s="45">
        <v>9.6800000000000005E-6</v>
      </c>
      <c r="F6" s="45">
        <v>4.1099999999999996E-6</v>
      </c>
      <c r="G6" s="45">
        <v>7.7100000000000007E-6</v>
      </c>
      <c r="H6" s="45">
        <v>9.5199999999999997E-5</v>
      </c>
      <c r="I6" s="45">
        <v>7.3100000000000003E-6</v>
      </c>
      <c r="J6" s="45">
        <v>6.0800000000000002E-6</v>
      </c>
      <c r="K6" s="45">
        <v>5.5199999999999997E-6</v>
      </c>
      <c r="L6" s="45">
        <v>8.8300000000000002E-6</v>
      </c>
      <c r="M6" s="46">
        <v>1.3999999999999999E-6</v>
      </c>
    </row>
    <row r="7" spans="1:13" ht="14.25" customHeight="1">
      <c r="A7" s="40" t="s">
        <v>315</v>
      </c>
      <c r="B7" s="44">
        <v>9.1200000000000008E-6</v>
      </c>
      <c r="C7" s="45">
        <v>9.9599999999999995E-6</v>
      </c>
      <c r="D7" s="45">
        <v>4.2799999999999997E-6</v>
      </c>
      <c r="E7" s="45">
        <v>1.5099999999999999E-5</v>
      </c>
      <c r="F7" s="45">
        <v>8.6000000000000007E-6</v>
      </c>
      <c r="G7" s="45">
        <v>8.6899999999999998E-6</v>
      </c>
      <c r="H7" s="45">
        <v>7.75E-5</v>
      </c>
      <c r="I7" s="45">
        <v>4.4599999999999996E-6</v>
      </c>
      <c r="J7" s="45">
        <v>8.5099999999999998E-6</v>
      </c>
      <c r="K7" s="45">
        <v>5.9699999999999996E-6</v>
      </c>
      <c r="L7" s="45">
        <v>2.9E-5</v>
      </c>
      <c r="M7" s="46">
        <v>1.7099999999999999E-5</v>
      </c>
    </row>
    <row r="8" spans="1:13" ht="14.25" customHeight="1">
      <c r="A8" s="40" t="s">
        <v>316</v>
      </c>
      <c r="B8" s="44">
        <v>6.6599999999999998E-6</v>
      </c>
      <c r="C8" s="45">
        <v>1.45E-5</v>
      </c>
      <c r="D8" s="45">
        <v>9.8200000000000008E-6</v>
      </c>
      <c r="E8" s="45">
        <v>1.22E-5</v>
      </c>
      <c r="F8" s="45">
        <v>1.9400000000000001E-6</v>
      </c>
      <c r="G8" s="45">
        <v>1.0200000000000001E-5</v>
      </c>
      <c r="H8" s="45">
        <v>7.6600000000000005E-5</v>
      </c>
      <c r="I8" s="45">
        <v>4.1099999999999996E-6</v>
      </c>
      <c r="J8" s="45">
        <v>6.1600000000000003E-6</v>
      </c>
      <c r="K8" s="45">
        <v>9.5599999999999999E-6</v>
      </c>
      <c r="L8" s="45">
        <v>1.8199999999999999E-5</v>
      </c>
      <c r="M8" s="46">
        <v>2.5299999999999998E-5</v>
      </c>
    </row>
    <row r="9" spans="1:13" ht="14.25" customHeight="1">
      <c r="A9" s="40" t="s">
        <v>317</v>
      </c>
      <c r="B9" s="44">
        <v>8.5799999999999992E-6</v>
      </c>
      <c r="C9" s="45">
        <v>1.7600000000000001E-5</v>
      </c>
      <c r="D9" s="45">
        <v>2.0200000000000001E-6</v>
      </c>
      <c r="E9" s="45">
        <v>1.1800000000000001E-5</v>
      </c>
      <c r="F9" s="45">
        <v>3.7500000000000001E-6</v>
      </c>
      <c r="G9" s="45">
        <v>1.27E-5</v>
      </c>
      <c r="H9" s="45">
        <v>4.0000000000000003E-5</v>
      </c>
      <c r="I9" s="45">
        <v>3.63E-6</v>
      </c>
      <c r="J9" s="45">
        <v>3.4199999999999999E-6</v>
      </c>
      <c r="K9" s="45">
        <v>3.6799999999999999E-6</v>
      </c>
      <c r="L9" s="45">
        <v>1.3499999999999999E-5</v>
      </c>
      <c r="M9" s="46">
        <v>1.3200000000000001E-5</v>
      </c>
    </row>
    <row r="10" spans="1:13" ht="14.25" customHeight="1">
      <c r="A10" s="40" t="s">
        <v>318</v>
      </c>
      <c r="B10" s="44">
        <v>5.5099999999999998E-6</v>
      </c>
      <c r="C10" s="45">
        <v>1.3699999999999999E-5</v>
      </c>
      <c r="D10" s="45">
        <v>9.9199999999999999E-6</v>
      </c>
      <c r="E10" s="45">
        <v>6.2500000000000003E-6</v>
      </c>
      <c r="F10" s="45">
        <v>4.9599999999999999E-6</v>
      </c>
      <c r="G10" s="45">
        <v>1.19E-5</v>
      </c>
      <c r="H10" s="45">
        <v>6.3299999999999994E-5</v>
      </c>
      <c r="I10" s="45">
        <v>6.6800000000000004E-6</v>
      </c>
      <c r="J10" s="45">
        <v>6.9099999999999999E-6</v>
      </c>
      <c r="K10" s="45">
        <v>7.6000000000000001E-6</v>
      </c>
      <c r="L10" s="45">
        <v>9.1900000000000001E-6</v>
      </c>
      <c r="M10" s="46">
        <v>1.17E-5</v>
      </c>
    </row>
    <row r="11" spans="1:13" ht="14.25" customHeight="1">
      <c r="A11" s="40" t="s">
        <v>319</v>
      </c>
      <c r="B11" s="44">
        <v>5.6099999999999997E-6</v>
      </c>
      <c r="C11" s="45">
        <v>9.5599999999999999E-6</v>
      </c>
      <c r="D11" s="45">
        <v>3.5300000000000001E-6</v>
      </c>
      <c r="E11" s="45">
        <v>1.3200000000000001E-5</v>
      </c>
      <c r="F11" s="45">
        <v>8.1799999999999996E-6</v>
      </c>
      <c r="G11" s="45">
        <v>1.9000000000000001E-5</v>
      </c>
      <c r="H11" s="45">
        <v>6.4499999999999996E-5</v>
      </c>
      <c r="I11" s="45">
        <v>7.9500000000000001E-7</v>
      </c>
      <c r="J11" s="45">
        <v>7.6799999999999993E-6</v>
      </c>
      <c r="K11" s="45">
        <v>1.03E-5</v>
      </c>
      <c r="L11" s="45">
        <v>2.1399999999999998E-5</v>
      </c>
      <c r="M11" s="46">
        <v>6.8499999999999996E-6</v>
      </c>
    </row>
    <row r="12" spans="1:13" ht="14.25" customHeight="1">
      <c r="A12" s="40" t="s">
        <v>320</v>
      </c>
      <c r="B12" s="44">
        <v>6.2999999999999998E-6</v>
      </c>
      <c r="C12" s="45">
        <v>1.7900000000000001E-5</v>
      </c>
      <c r="D12" s="45">
        <v>1.38E-5</v>
      </c>
      <c r="E12" s="45">
        <v>1.5099999999999999E-5</v>
      </c>
      <c r="F12" s="45">
        <v>2.5000000000000002E-6</v>
      </c>
      <c r="G12" s="45">
        <v>1.9199999999999999E-5</v>
      </c>
      <c r="H12" s="45">
        <v>6.2299999999999996E-5</v>
      </c>
      <c r="I12" s="45">
        <v>1.7400000000000001E-6</v>
      </c>
      <c r="J12" s="45">
        <v>5.5199999999999997E-6</v>
      </c>
      <c r="K12" s="45">
        <v>1.5299999999999999E-5</v>
      </c>
      <c r="L12" s="45">
        <v>1.73E-5</v>
      </c>
      <c r="M12" s="46">
        <v>7.7400000000000004E-6</v>
      </c>
    </row>
    <row r="13" spans="1:13" ht="14.25" customHeight="1">
      <c r="A13" s="40" t="s">
        <v>321</v>
      </c>
      <c r="B13" s="44">
        <v>1.34E-5</v>
      </c>
      <c r="C13" s="45">
        <v>2.26E-5</v>
      </c>
      <c r="D13" s="45">
        <v>8.14E-6</v>
      </c>
      <c r="E13" s="45">
        <v>9.4499999999999993E-6</v>
      </c>
      <c r="F13" s="45">
        <v>2.8600000000000001E-6</v>
      </c>
      <c r="G13" s="45">
        <v>2.09E-5</v>
      </c>
      <c r="H13" s="45">
        <v>5.91E-5</v>
      </c>
      <c r="I13" s="45">
        <v>4.6E-6</v>
      </c>
      <c r="J13" s="45">
        <v>6.7599999999999997E-6</v>
      </c>
      <c r="K13" s="45">
        <v>2.65E-6</v>
      </c>
      <c r="L13" s="45">
        <v>1.2500000000000001E-5</v>
      </c>
      <c r="M13" s="46">
        <v>7.8399999999999995E-6</v>
      </c>
    </row>
    <row r="14" spans="1:13" ht="14.25" customHeight="1">
      <c r="A14" s="40" t="s">
        <v>322</v>
      </c>
      <c r="B14" s="44">
        <v>1.88E-6</v>
      </c>
      <c r="C14" s="45">
        <v>1.8899999999999999E-5</v>
      </c>
      <c r="D14" s="45">
        <v>5.7200000000000003E-6</v>
      </c>
      <c r="E14" s="45">
        <v>7.3699999999999997E-6</v>
      </c>
      <c r="F14" s="45">
        <v>8.2500000000000006E-6</v>
      </c>
      <c r="G14" s="45">
        <v>1.1199999999999999E-5</v>
      </c>
      <c r="H14" s="45">
        <v>6.9200000000000002E-5</v>
      </c>
      <c r="I14" s="45">
        <v>1.9099999999999999E-6</v>
      </c>
      <c r="J14" s="45">
        <v>9.4099999999999997E-6</v>
      </c>
      <c r="K14" s="45">
        <v>9.1600000000000004E-6</v>
      </c>
      <c r="L14" s="45">
        <v>6.8000000000000001E-6</v>
      </c>
      <c r="M14" s="46">
        <v>6.0599999999999996E-6</v>
      </c>
    </row>
    <row r="15" spans="1:13" ht="14.25" customHeight="1">
      <c r="A15" s="40" t="s">
        <v>323</v>
      </c>
      <c r="B15" s="44">
        <v>6.9299999999999997E-6</v>
      </c>
      <c r="C15" s="45">
        <v>1.8099999999999999E-5</v>
      </c>
      <c r="D15" s="45">
        <v>3.5899999999999999E-6</v>
      </c>
      <c r="E15" s="45">
        <v>1.7499999999999998E-5</v>
      </c>
      <c r="F15" s="45">
        <v>5.3900000000000001E-6</v>
      </c>
      <c r="G15" s="45">
        <v>1.2500000000000001E-5</v>
      </c>
      <c r="H15" s="45">
        <v>8.8399999999999994E-5</v>
      </c>
      <c r="I15" s="45">
        <v>2.2699999999999999E-6</v>
      </c>
      <c r="J15" s="45">
        <v>9.0299999999999999E-6</v>
      </c>
      <c r="K15" s="45">
        <v>4.69E-6</v>
      </c>
      <c r="L15" s="45">
        <v>1.6200000000000001E-5</v>
      </c>
      <c r="M15" s="46">
        <v>1.1E-5</v>
      </c>
    </row>
    <row r="16" spans="1:13" ht="14.25" customHeight="1">
      <c r="A16" s="40" t="s">
        <v>324</v>
      </c>
      <c r="B16" s="44">
        <v>5.66E-6</v>
      </c>
      <c r="C16" s="45">
        <v>2.19E-5</v>
      </c>
      <c r="D16" s="45">
        <v>8.7499999999999992E-6</v>
      </c>
      <c r="E16" s="45">
        <v>1.4800000000000001E-5</v>
      </c>
      <c r="F16" s="45">
        <v>1.19E-6</v>
      </c>
      <c r="G16" s="45">
        <v>1.7200000000000001E-5</v>
      </c>
      <c r="H16" s="45">
        <v>8.5599999999999994E-5</v>
      </c>
      <c r="I16" s="45">
        <v>3.1099999999999999E-6</v>
      </c>
      <c r="J16" s="45">
        <v>5.5999999999999997E-6</v>
      </c>
      <c r="K16" s="45">
        <v>5.31E-6</v>
      </c>
      <c r="L16" s="45">
        <v>1.5400000000000002E-5</v>
      </c>
      <c r="M16" s="46">
        <v>1.0699999999999999E-5</v>
      </c>
    </row>
    <row r="17" spans="1:13" ht="14.25" customHeight="1">
      <c r="A17" s="40" t="s">
        <v>325</v>
      </c>
      <c r="B17" s="44">
        <v>1.06E-5</v>
      </c>
      <c r="C17" s="45">
        <v>4.1999999999999998E-5</v>
      </c>
      <c r="D17" s="45">
        <v>4.9100000000000004E-6</v>
      </c>
      <c r="E17" s="45">
        <v>1.2999999999999999E-5</v>
      </c>
      <c r="F17" s="45">
        <v>4.2899999999999996E-6</v>
      </c>
      <c r="G17" s="45">
        <v>9.4199999999999996E-6</v>
      </c>
      <c r="H17" s="45">
        <v>5.9899999999999999E-5</v>
      </c>
      <c r="I17" s="45">
        <v>2.1799999999999999E-6</v>
      </c>
      <c r="J17" s="45">
        <v>7.5000000000000002E-6</v>
      </c>
      <c r="K17" s="45">
        <v>1.4500000000000001E-6</v>
      </c>
      <c r="L17" s="45">
        <v>7.8800000000000008E-6</v>
      </c>
      <c r="M17" s="46">
        <v>8.2900000000000002E-6</v>
      </c>
    </row>
    <row r="18" spans="1:13" ht="14.25" customHeight="1">
      <c r="A18" s="40" t="s">
        <v>326</v>
      </c>
      <c r="B18" s="47">
        <v>4.6099999999999999E-6</v>
      </c>
      <c r="C18" s="48">
        <v>3.3899999999999997E-5</v>
      </c>
      <c r="D18" s="48">
        <v>6.9099999999999999E-6</v>
      </c>
      <c r="E18" s="48">
        <v>7.1500000000000002E-6</v>
      </c>
      <c r="F18" s="48">
        <v>3.8199999999999998E-6</v>
      </c>
      <c r="G18" s="48">
        <v>1.0000000000000001E-5</v>
      </c>
      <c r="H18" s="48">
        <v>8.7600000000000002E-5</v>
      </c>
      <c r="I18" s="48">
        <v>4.4100000000000001E-6</v>
      </c>
      <c r="J18" s="48">
        <v>6.1700000000000002E-6</v>
      </c>
      <c r="K18" s="48">
        <v>2.83E-6</v>
      </c>
      <c r="L18" s="48">
        <v>7.7200000000000006E-6</v>
      </c>
      <c r="M18" s="49">
        <v>5.0499999999999999E-6</v>
      </c>
    </row>
    <row r="19" spans="1:13" ht="14.25" customHeight="1">
      <c r="A19" s="40"/>
      <c r="B19" s="20"/>
      <c r="C19" s="20"/>
      <c r="D19" s="20"/>
      <c r="E19" s="20"/>
      <c r="F19" s="20"/>
      <c r="G19" s="20"/>
      <c r="H19" s="20"/>
      <c r="I19" s="20"/>
      <c r="J19" s="20"/>
      <c r="K19" s="20"/>
      <c r="L19" s="20"/>
      <c r="M19" s="20"/>
    </row>
    <row r="20" spans="1:13" ht="14.25" customHeight="1">
      <c r="A20" s="38" t="s">
        <v>327</v>
      </c>
      <c r="B20" s="39"/>
      <c r="C20" s="39"/>
      <c r="D20" s="39"/>
      <c r="E20" s="39"/>
      <c r="F20" s="39"/>
      <c r="G20" s="39"/>
      <c r="H20" s="39"/>
      <c r="I20" s="39"/>
      <c r="J20" s="39"/>
      <c r="K20" s="39"/>
      <c r="L20" s="39"/>
      <c r="M20" s="39"/>
    </row>
    <row r="21" spans="1:13" ht="14.25" customHeight="1">
      <c r="A21" s="40"/>
      <c r="B21" s="40" t="s">
        <v>299</v>
      </c>
      <c r="C21" s="40" t="s">
        <v>300</v>
      </c>
      <c r="D21" s="40" t="s">
        <v>301</v>
      </c>
      <c r="E21" s="40" t="s">
        <v>302</v>
      </c>
      <c r="F21" s="40" t="s">
        <v>303</v>
      </c>
      <c r="G21" s="40" t="s">
        <v>304</v>
      </c>
      <c r="H21" s="40" t="s">
        <v>305</v>
      </c>
      <c r="I21" s="40" t="s">
        <v>306</v>
      </c>
      <c r="J21" s="40" t="s">
        <v>307</v>
      </c>
      <c r="K21" s="40" t="s">
        <v>308</v>
      </c>
      <c r="L21" s="40" t="s">
        <v>309</v>
      </c>
      <c r="M21" s="40" t="s">
        <v>310</v>
      </c>
    </row>
    <row r="22" spans="1:13" ht="14.25" customHeight="1">
      <c r="A22" s="40" t="s">
        <v>311</v>
      </c>
      <c r="B22" s="41">
        <v>3.9899999999999999E-6</v>
      </c>
      <c r="C22" s="42">
        <v>3.7799999999999998E-6</v>
      </c>
      <c r="D22" s="42">
        <v>1.7400000000000001E-6</v>
      </c>
      <c r="E22" s="42">
        <v>1.0699999999999999E-5</v>
      </c>
      <c r="F22" s="42">
        <v>3.1599999999999998E-6</v>
      </c>
      <c r="G22" s="42">
        <v>4.0999999999999997E-6</v>
      </c>
      <c r="H22" s="42">
        <v>7.4599999999999997E-5</v>
      </c>
      <c r="I22" s="42">
        <v>3.2399999999999999E-6</v>
      </c>
      <c r="J22" s="42">
        <v>4.25E-6</v>
      </c>
      <c r="K22" s="42">
        <v>3.23E-6</v>
      </c>
      <c r="L22" s="42">
        <v>1.42E-5</v>
      </c>
      <c r="M22" s="43">
        <v>4.0199999999999996E-6</v>
      </c>
    </row>
    <row r="23" spans="1:13" ht="14.25" customHeight="1">
      <c r="A23" s="40" t="s">
        <v>312</v>
      </c>
      <c r="B23" s="44">
        <v>3.8600000000000003E-6</v>
      </c>
      <c r="C23" s="45">
        <v>2.7999999999999999E-6</v>
      </c>
      <c r="D23" s="45">
        <v>5.7599999999999999E-6</v>
      </c>
      <c r="E23" s="45">
        <v>6.8600000000000004E-6</v>
      </c>
      <c r="F23" s="45">
        <v>2.7199999999999998E-6</v>
      </c>
      <c r="G23" s="45">
        <v>6.4099999999999996E-6</v>
      </c>
      <c r="H23" s="45">
        <v>1.1735600000000001E-4</v>
      </c>
      <c r="I23" s="45">
        <v>1.7600000000000001E-6</v>
      </c>
      <c r="J23" s="45">
        <v>3.8399999999999997E-6</v>
      </c>
      <c r="K23" s="45">
        <v>4.3699999999999997E-6</v>
      </c>
      <c r="L23" s="45">
        <v>1.0499999999999999E-5</v>
      </c>
      <c r="M23" s="46">
        <v>1.19E-6</v>
      </c>
    </row>
    <row r="24" spans="1:13" ht="14.25" customHeight="1">
      <c r="A24" s="40" t="s">
        <v>313</v>
      </c>
      <c r="B24" s="44">
        <v>6.4799999999999998E-6</v>
      </c>
      <c r="C24" s="45">
        <v>6.7000000000000002E-6</v>
      </c>
      <c r="D24" s="45">
        <v>2.8499999999999998E-6</v>
      </c>
      <c r="E24" s="45">
        <v>8.1499999999999999E-6</v>
      </c>
      <c r="F24" s="45">
        <v>2.2199999999999999E-6</v>
      </c>
      <c r="G24" s="45">
        <v>4.5000000000000001E-6</v>
      </c>
      <c r="H24" s="45">
        <v>5.94E-5</v>
      </c>
      <c r="I24" s="45">
        <v>3.0900000000000001E-6</v>
      </c>
      <c r="J24" s="45">
        <v>3.4000000000000001E-6</v>
      </c>
      <c r="K24" s="45">
        <v>3.1300000000000001E-6</v>
      </c>
      <c r="L24" s="45">
        <v>7.5299999999999999E-6</v>
      </c>
      <c r="M24" s="46">
        <v>9.0599999999999999E-7</v>
      </c>
    </row>
    <row r="25" spans="1:13" ht="14.25" customHeight="1">
      <c r="A25" s="40" t="s">
        <v>314</v>
      </c>
      <c r="B25" s="44">
        <v>2.83E-6</v>
      </c>
      <c r="C25" s="45">
        <v>6.0399999999999998E-6</v>
      </c>
      <c r="D25" s="45">
        <v>7.4100000000000002E-6</v>
      </c>
      <c r="E25" s="45">
        <v>7.9699999999999999E-6</v>
      </c>
      <c r="F25" s="45">
        <v>3.6799999999999999E-6</v>
      </c>
      <c r="G25" s="45">
        <v>5.2800000000000003E-6</v>
      </c>
      <c r="H25" s="45">
        <v>8.7000000000000001E-5</v>
      </c>
      <c r="I25" s="45">
        <v>4.6399999999999996E-6</v>
      </c>
      <c r="J25" s="45">
        <v>4.5600000000000004E-6</v>
      </c>
      <c r="K25" s="45">
        <v>2.79E-6</v>
      </c>
      <c r="L25" s="45">
        <v>4.1200000000000004E-6</v>
      </c>
      <c r="M25" s="46">
        <v>1.55E-6</v>
      </c>
    </row>
    <row r="26" spans="1:13" ht="14.25" customHeight="1">
      <c r="A26" s="40" t="s">
        <v>315</v>
      </c>
      <c r="B26" s="44">
        <v>6.0599999999999996E-6</v>
      </c>
      <c r="C26" s="45">
        <v>6.9999999999999999E-6</v>
      </c>
      <c r="D26" s="45">
        <v>2.7E-6</v>
      </c>
      <c r="E26" s="45">
        <v>1.04E-5</v>
      </c>
      <c r="F26" s="45">
        <v>1.47E-5</v>
      </c>
      <c r="G26" s="45">
        <v>7.3300000000000001E-6</v>
      </c>
      <c r="H26" s="45">
        <v>6.0999999999999999E-5</v>
      </c>
      <c r="I26" s="45">
        <v>5.1800000000000004E-6</v>
      </c>
      <c r="J26" s="45">
        <v>5.8300000000000001E-6</v>
      </c>
      <c r="K26" s="45">
        <v>7.0199999999999997E-6</v>
      </c>
      <c r="L26" s="45">
        <v>1.5500000000000001E-5</v>
      </c>
      <c r="M26" s="46">
        <v>1.47E-5</v>
      </c>
    </row>
    <row r="27" spans="1:13" ht="14.25" customHeight="1">
      <c r="A27" s="40" t="s">
        <v>316</v>
      </c>
      <c r="B27" s="44">
        <v>3.5499999999999999E-6</v>
      </c>
      <c r="C27" s="45">
        <v>9.3899999999999999E-6</v>
      </c>
      <c r="D27" s="45">
        <v>6.8000000000000001E-6</v>
      </c>
      <c r="E27" s="45">
        <v>3.8600000000000003E-6</v>
      </c>
      <c r="F27" s="45">
        <v>1.0699999999999999E-6</v>
      </c>
      <c r="G27" s="45">
        <v>6.9199999999999998E-6</v>
      </c>
      <c r="H27" s="45">
        <v>5.2500000000000002E-5</v>
      </c>
      <c r="I27" s="45">
        <v>1.1400000000000001E-6</v>
      </c>
      <c r="J27" s="45">
        <v>7.7100000000000007E-6</v>
      </c>
      <c r="K27" s="45">
        <v>9.0100000000000001E-6</v>
      </c>
      <c r="L27" s="45">
        <v>7.9999999999999996E-6</v>
      </c>
      <c r="M27" s="46">
        <v>1.1600000000000001E-5</v>
      </c>
    </row>
    <row r="28" spans="1:13" ht="14.25" customHeight="1">
      <c r="A28" s="40" t="s">
        <v>317</v>
      </c>
      <c r="B28" s="44">
        <v>5.75E-6</v>
      </c>
      <c r="C28" s="45">
        <v>8.1599999999999998E-6</v>
      </c>
      <c r="D28" s="45">
        <v>1.73E-6</v>
      </c>
      <c r="E28" s="45">
        <v>1.52E-5</v>
      </c>
      <c r="F28" s="45">
        <v>2.1399999999999998E-6</v>
      </c>
      <c r="G28" s="45">
        <v>5.7400000000000001E-6</v>
      </c>
      <c r="H28" s="45">
        <v>2.8799999999999999E-5</v>
      </c>
      <c r="I28" s="45">
        <v>1.6199999999999999E-6</v>
      </c>
      <c r="J28" s="45">
        <v>2.52E-6</v>
      </c>
      <c r="K28" s="45">
        <v>1.1999999999999999E-6</v>
      </c>
      <c r="L28" s="45">
        <v>7.6799999999999993E-6</v>
      </c>
      <c r="M28" s="46">
        <v>7.1099999999999997E-6</v>
      </c>
    </row>
    <row r="29" spans="1:13" ht="14.25" customHeight="1">
      <c r="A29" s="40" t="s">
        <v>318</v>
      </c>
      <c r="B29" s="44">
        <v>9.9699999999999994E-6</v>
      </c>
      <c r="C29" s="45">
        <v>9.7699999999999996E-6</v>
      </c>
      <c r="D29" s="45">
        <v>7.0299999999999996E-6</v>
      </c>
      <c r="E29" s="45">
        <v>4.6299999999999997E-6</v>
      </c>
      <c r="F29" s="45">
        <v>4.9400000000000001E-6</v>
      </c>
      <c r="G29" s="45">
        <v>8.7399999999999993E-6</v>
      </c>
      <c r="H29" s="45">
        <v>5.1499999999999998E-5</v>
      </c>
      <c r="I29" s="45">
        <v>1.88E-5</v>
      </c>
      <c r="J29" s="45">
        <v>8.7099999999999996E-6</v>
      </c>
      <c r="K29" s="45">
        <v>6.9999999999999999E-6</v>
      </c>
      <c r="L29" s="45">
        <v>8.8300000000000002E-6</v>
      </c>
      <c r="M29" s="46">
        <v>5.6899999999999997E-6</v>
      </c>
    </row>
    <row r="30" spans="1:13" ht="14.25" customHeight="1">
      <c r="A30" s="40" t="s">
        <v>319</v>
      </c>
      <c r="B30" s="44">
        <v>4.6199999999999998E-6</v>
      </c>
      <c r="C30" s="45">
        <v>5.75E-6</v>
      </c>
      <c r="D30" s="45">
        <v>1.88E-6</v>
      </c>
      <c r="E30" s="45">
        <v>7.7300000000000005E-6</v>
      </c>
      <c r="F30" s="45">
        <v>2.83E-6</v>
      </c>
      <c r="G30" s="45">
        <v>1.29E-5</v>
      </c>
      <c r="H30" s="45">
        <v>5.3499999999999999E-5</v>
      </c>
      <c r="I30" s="45">
        <v>8.4399999999999999E-7</v>
      </c>
      <c r="J30" s="45">
        <v>5.3499999999999996E-6</v>
      </c>
      <c r="K30" s="45">
        <v>4.1699999999999999E-6</v>
      </c>
      <c r="L30" s="45">
        <v>1.04E-5</v>
      </c>
      <c r="M30" s="46">
        <v>4.6E-6</v>
      </c>
    </row>
    <row r="31" spans="1:13" ht="14.25" customHeight="1">
      <c r="A31" s="40" t="s">
        <v>320</v>
      </c>
      <c r="B31" s="44">
        <v>4.3100000000000002E-6</v>
      </c>
      <c r="C31" s="45">
        <v>8.8100000000000004E-6</v>
      </c>
      <c r="D31" s="45">
        <v>7.4100000000000002E-6</v>
      </c>
      <c r="E31" s="45">
        <v>9.3500000000000003E-6</v>
      </c>
      <c r="F31" s="45">
        <v>4.7700000000000005E-7</v>
      </c>
      <c r="G31" s="45">
        <v>1.1399999999999999E-5</v>
      </c>
      <c r="H31" s="45">
        <v>3.9700000000000003E-5</v>
      </c>
      <c r="I31" s="45">
        <v>3.0599999999999999E-6</v>
      </c>
      <c r="J31" s="45">
        <v>5.0799999999999996E-6</v>
      </c>
      <c r="K31" s="45">
        <v>9.3100000000000006E-6</v>
      </c>
      <c r="L31" s="45">
        <v>7.8099999999999998E-6</v>
      </c>
      <c r="M31" s="46">
        <v>5.2599999999999996E-6</v>
      </c>
    </row>
    <row r="32" spans="1:13" ht="14.25" customHeight="1">
      <c r="A32" s="40" t="s">
        <v>321</v>
      </c>
      <c r="B32" s="44">
        <v>7.1999999999999997E-6</v>
      </c>
      <c r="C32" s="45">
        <v>1.24E-5</v>
      </c>
      <c r="D32" s="45">
        <v>5.3399999999999997E-6</v>
      </c>
      <c r="E32" s="45">
        <v>1.27E-5</v>
      </c>
      <c r="F32" s="45">
        <v>9.1699999999999997E-7</v>
      </c>
      <c r="G32" s="45">
        <v>8.6200000000000005E-6</v>
      </c>
      <c r="H32" s="45">
        <v>3.7499999999999997E-5</v>
      </c>
      <c r="I32" s="45">
        <v>2.52E-6</v>
      </c>
      <c r="J32" s="45">
        <v>2.4399999999999999E-6</v>
      </c>
      <c r="K32" s="45">
        <v>2.6299999999999998E-6</v>
      </c>
      <c r="L32" s="45">
        <v>6.0299999999999999E-6</v>
      </c>
      <c r="M32" s="46">
        <v>7.1600000000000001E-6</v>
      </c>
    </row>
    <row r="33" spans="1:13" ht="14.25" customHeight="1">
      <c r="A33" s="40" t="s">
        <v>322</v>
      </c>
      <c r="B33" s="44">
        <v>1.0699999999999999E-6</v>
      </c>
      <c r="C33" s="45">
        <v>1.0000000000000001E-5</v>
      </c>
      <c r="D33" s="45">
        <v>3.6600000000000001E-6</v>
      </c>
      <c r="E33" s="45">
        <v>3.4199999999999999E-6</v>
      </c>
      <c r="F33" s="45">
        <v>1.7400000000000001E-6</v>
      </c>
      <c r="G33" s="45">
        <v>5.93E-6</v>
      </c>
      <c r="H33" s="45">
        <v>5.5600000000000003E-5</v>
      </c>
      <c r="I33" s="45">
        <v>2.3E-6</v>
      </c>
      <c r="J33" s="45">
        <v>6.9099999999999999E-6</v>
      </c>
      <c r="K33" s="45">
        <v>5.0699999999999997E-6</v>
      </c>
      <c r="L33" s="45">
        <v>3.8500000000000004E-6</v>
      </c>
      <c r="M33" s="46">
        <v>4.1200000000000004E-6</v>
      </c>
    </row>
    <row r="34" spans="1:13" ht="14.25" customHeight="1">
      <c r="A34" s="40" t="s">
        <v>323</v>
      </c>
      <c r="B34" s="44">
        <v>3.58E-6</v>
      </c>
      <c r="C34" s="45">
        <v>9.9699999999999994E-6</v>
      </c>
      <c r="D34" s="45">
        <v>2.6900000000000001E-6</v>
      </c>
      <c r="E34" s="45">
        <v>9.4399999999999994E-6</v>
      </c>
      <c r="F34" s="45">
        <v>2.5900000000000002E-6</v>
      </c>
      <c r="G34" s="45">
        <v>4.5700000000000003E-6</v>
      </c>
      <c r="H34" s="45">
        <v>7.0099999999999996E-5</v>
      </c>
      <c r="I34" s="45">
        <v>2.1100000000000001E-6</v>
      </c>
      <c r="J34" s="45">
        <v>3.9099999999999998E-6</v>
      </c>
      <c r="K34" s="45">
        <v>3.1099999999999999E-6</v>
      </c>
      <c r="L34" s="45">
        <v>8.0099999999999995E-6</v>
      </c>
      <c r="M34" s="46">
        <v>6.7399999999999998E-6</v>
      </c>
    </row>
    <row r="35" spans="1:13" ht="14.25" customHeight="1">
      <c r="A35" s="40" t="s">
        <v>324</v>
      </c>
      <c r="B35" s="44">
        <v>3.6500000000000002E-6</v>
      </c>
      <c r="C35" s="45">
        <v>1.0699999999999999E-5</v>
      </c>
      <c r="D35" s="45">
        <v>8.2400000000000007E-6</v>
      </c>
      <c r="E35" s="45">
        <v>8.6100000000000006E-6</v>
      </c>
      <c r="F35" s="45">
        <v>7.4499999999999996E-7</v>
      </c>
      <c r="G35" s="45">
        <v>3.9500000000000003E-6</v>
      </c>
      <c r="H35" s="45">
        <v>7.3800000000000005E-5</v>
      </c>
      <c r="I35" s="45">
        <v>1.8899999999999999E-6</v>
      </c>
      <c r="J35" s="45">
        <v>3.7000000000000002E-6</v>
      </c>
      <c r="K35" s="45">
        <v>3.3500000000000001E-6</v>
      </c>
      <c r="L35" s="45">
        <v>9.6399999999999992E-6</v>
      </c>
      <c r="M35" s="46">
        <v>6.8499999999999996E-6</v>
      </c>
    </row>
    <row r="36" spans="1:13" ht="14.25" customHeight="1">
      <c r="A36" s="40" t="s">
        <v>325</v>
      </c>
      <c r="B36" s="44">
        <v>8.3599999999999996E-6</v>
      </c>
      <c r="C36" s="45">
        <v>2.4300000000000001E-5</v>
      </c>
      <c r="D36" s="45">
        <v>2.7999999999999999E-6</v>
      </c>
      <c r="E36" s="45">
        <v>9.4900000000000006E-6</v>
      </c>
      <c r="F36" s="45">
        <v>1.7400000000000001E-6</v>
      </c>
      <c r="G36" s="45">
        <v>8.0900000000000005E-6</v>
      </c>
      <c r="H36" s="45">
        <v>4.5800000000000002E-5</v>
      </c>
      <c r="I36" s="45">
        <v>2.0099999999999998E-6</v>
      </c>
      <c r="J36" s="45">
        <v>5.4700000000000001E-6</v>
      </c>
      <c r="K36" s="45">
        <v>9.2699999999999998E-7</v>
      </c>
      <c r="L36" s="45">
        <v>5.57E-6</v>
      </c>
      <c r="M36" s="46">
        <v>5.3499999999999996E-6</v>
      </c>
    </row>
    <row r="37" spans="1:13" ht="14.25" customHeight="1">
      <c r="A37" s="40" t="s">
        <v>326</v>
      </c>
      <c r="B37" s="47">
        <v>2.0600000000000002E-6</v>
      </c>
      <c r="C37" s="48">
        <v>1.84E-5</v>
      </c>
      <c r="D37" s="48">
        <v>3.9400000000000004E-6</v>
      </c>
      <c r="E37" s="48">
        <v>4.9699999999999998E-6</v>
      </c>
      <c r="F37" s="48">
        <v>3.7799999999999998E-6</v>
      </c>
      <c r="G37" s="48">
        <v>6.5100000000000004E-6</v>
      </c>
      <c r="H37" s="48">
        <v>6.9200000000000002E-5</v>
      </c>
      <c r="I37" s="48">
        <v>2.6000000000000001E-6</v>
      </c>
      <c r="J37" s="48">
        <v>4.6800000000000001E-6</v>
      </c>
      <c r="K37" s="48">
        <v>2.08E-6</v>
      </c>
      <c r="L37" s="48">
        <v>4.1999999999999996E-6</v>
      </c>
      <c r="M37" s="49">
        <v>2.74E-6</v>
      </c>
    </row>
    <row r="38" spans="1:13" ht="14.25" customHeight="1">
      <c r="A38" s="40"/>
      <c r="B38" s="45"/>
      <c r="C38" s="45"/>
      <c r="D38" s="45"/>
      <c r="E38" s="45"/>
      <c r="F38" s="45"/>
      <c r="G38" s="45"/>
      <c r="H38" s="45"/>
      <c r="I38" s="45"/>
      <c r="J38" s="45"/>
      <c r="K38" s="45"/>
      <c r="L38" s="45"/>
      <c r="M38" s="45"/>
    </row>
    <row r="39" spans="1:13" ht="14.25" customHeight="1">
      <c r="A39" s="38" t="s">
        <v>328</v>
      </c>
      <c r="B39" s="39"/>
      <c r="C39" s="39"/>
      <c r="D39" s="39"/>
      <c r="E39" s="39"/>
      <c r="F39" s="39"/>
      <c r="G39" s="39"/>
      <c r="H39" s="39"/>
      <c r="I39" s="39"/>
      <c r="J39" s="39"/>
      <c r="K39" s="39"/>
      <c r="L39" s="39"/>
      <c r="M39" s="39"/>
    </row>
    <row r="40" spans="1:13" ht="14.25" customHeight="1">
      <c r="A40" s="40"/>
      <c r="B40" s="40" t="s">
        <v>299</v>
      </c>
      <c r="C40" s="40" t="s">
        <v>300</v>
      </c>
      <c r="D40" s="40" t="s">
        <v>301</v>
      </c>
      <c r="E40" s="40" t="s">
        <v>302</v>
      </c>
      <c r="F40" s="40" t="s">
        <v>303</v>
      </c>
      <c r="G40" s="40" t="s">
        <v>304</v>
      </c>
      <c r="H40" s="40" t="s">
        <v>305</v>
      </c>
      <c r="I40" s="40" t="s">
        <v>306</v>
      </c>
      <c r="J40" s="40" t="s">
        <v>307</v>
      </c>
      <c r="K40" s="40" t="s">
        <v>308</v>
      </c>
      <c r="L40" s="40" t="s">
        <v>309</v>
      </c>
      <c r="M40" s="40" t="s">
        <v>310</v>
      </c>
    </row>
    <row r="41" spans="1:13" ht="14.25" customHeight="1">
      <c r="A41" s="40" t="s">
        <v>311</v>
      </c>
      <c r="B41" s="41">
        <v>4.8799999999999999E-6</v>
      </c>
      <c r="C41" s="42">
        <v>3.41E-6</v>
      </c>
      <c r="D41" s="42">
        <v>2.1399999999999998E-6</v>
      </c>
      <c r="E41" s="42">
        <v>1.2500000000000001E-5</v>
      </c>
      <c r="F41" s="42">
        <v>3.5700000000000001E-6</v>
      </c>
      <c r="G41" s="42">
        <v>7.3499999999999999E-6</v>
      </c>
      <c r="H41" s="42">
        <v>5.8499999999999999E-5</v>
      </c>
      <c r="I41" s="42">
        <v>7.79E-6</v>
      </c>
      <c r="J41" s="42">
        <v>5.7799999999999997E-6</v>
      </c>
      <c r="K41" s="42">
        <v>4.25E-6</v>
      </c>
      <c r="L41" s="42">
        <v>1.13E-5</v>
      </c>
      <c r="M41" s="43">
        <v>4.0500000000000002E-6</v>
      </c>
    </row>
    <row r="42" spans="1:13" ht="14.25" customHeight="1">
      <c r="A42" s="40" t="s">
        <v>312</v>
      </c>
      <c r="B42" s="44">
        <v>2.5399999999999998E-6</v>
      </c>
      <c r="C42" s="45">
        <v>1.39E-6</v>
      </c>
      <c r="D42" s="45">
        <v>9.4700000000000008E-6</v>
      </c>
      <c r="E42" s="45">
        <v>4.8199999999999996E-6</v>
      </c>
      <c r="F42" s="45">
        <v>7.2599999999999999E-6</v>
      </c>
      <c r="G42" s="45">
        <v>9.0899999999999994E-6</v>
      </c>
      <c r="H42" s="45">
        <v>8.8800000000000004E-5</v>
      </c>
      <c r="I42" s="45">
        <v>4.1400000000000002E-6</v>
      </c>
      <c r="J42" s="45">
        <v>6.6000000000000003E-6</v>
      </c>
      <c r="K42" s="45">
        <v>9.3999999999999998E-6</v>
      </c>
      <c r="L42" s="45">
        <v>9.2299999999999997E-6</v>
      </c>
      <c r="M42" s="46">
        <v>1.1799999999999999E-6</v>
      </c>
    </row>
    <row r="43" spans="1:13" ht="14.25" customHeight="1">
      <c r="A43" s="40" t="s">
        <v>313</v>
      </c>
      <c r="B43" s="44">
        <v>5.8599999999999998E-6</v>
      </c>
      <c r="C43" s="45">
        <v>8.7800000000000006E-6</v>
      </c>
      <c r="D43" s="45">
        <v>5.75E-6</v>
      </c>
      <c r="E43" s="45">
        <v>7.2200000000000003E-6</v>
      </c>
      <c r="F43" s="45">
        <v>1.39E-6</v>
      </c>
      <c r="G43" s="45">
        <v>5.2700000000000004E-6</v>
      </c>
      <c r="H43" s="45">
        <v>4.5500000000000001E-5</v>
      </c>
      <c r="I43" s="45">
        <v>7.3300000000000001E-6</v>
      </c>
      <c r="J43" s="45">
        <v>3.41E-6</v>
      </c>
      <c r="K43" s="45">
        <v>1.8899999999999999E-6</v>
      </c>
      <c r="L43" s="45">
        <v>7.9500000000000001E-6</v>
      </c>
      <c r="M43" s="46">
        <v>1.9E-6</v>
      </c>
    </row>
    <row r="44" spans="1:13" ht="14.25" customHeight="1">
      <c r="A44" s="40" t="s">
        <v>314</v>
      </c>
      <c r="B44" s="44">
        <v>1.63E-5</v>
      </c>
      <c r="C44" s="45">
        <v>6.6699999999999997E-6</v>
      </c>
      <c r="D44" s="45">
        <v>9.6299999999999993E-6</v>
      </c>
      <c r="E44" s="45">
        <v>8.32E-6</v>
      </c>
      <c r="F44" s="45">
        <v>6.5300000000000002E-6</v>
      </c>
      <c r="G44" s="45">
        <v>8.7900000000000005E-6</v>
      </c>
      <c r="H44" s="45">
        <v>5.5000000000000002E-5</v>
      </c>
      <c r="I44" s="45">
        <v>8.6799999999999999E-6</v>
      </c>
      <c r="J44" s="45">
        <v>6.9600000000000003E-6</v>
      </c>
      <c r="K44" s="45">
        <v>4.3599999999999998E-6</v>
      </c>
      <c r="L44" s="45">
        <v>6.0800000000000002E-6</v>
      </c>
      <c r="M44" s="46">
        <v>2.9299999999999999E-6</v>
      </c>
    </row>
    <row r="45" spans="1:13" ht="14.25" customHeight="1">
      <c r="A45" s="40" t="s">
        <v>315</v>
      </c>
      <c r="B45" s="44">
        <v>9.2099999999999999E-6</v>
      </c>
      <c r="C45" s="45">
        <v>7.9400000000000002E-6</v>
      </c>
      <c r="D45" s="45">
        <v>4.7700000000000001E-6</v>
      </c>
      <c r="E45" s="45">
        <v>1.04E-5</v>
      </c>
      <c r="F45" s="45">
        <v>4.5700000000000003E-6</v>
      </c>
      <c r="G45" s="45">
        <v>7.9999999999999996E-6</v>
      </c>
      <c r="H45" s="45">
        <v>4.8699999999999998E-5</v>
      </c>
      <c r="I45" s="45">
        <v>1.72E-6</v>
      </c>
      <c r="J45" s="45">
        <v>8.0399999999999993E-6</v>
      </c>
      <c r="K45" s="45">
        <v>4.2400000000000001E-6</v>
      </c>
      <c r="L45" s="45">
        <v>1.3900000000000001E-5</v>
      </c>
      <c r="M45" s="46">
        <v>1.03E-5</v>
      </c>
    </row>
    <row r="46" spans="1:13" ht="14.25" customHeight="1">
      <c r="A46" s="40" t="s">
        <v>316</v>
      </c>
      <c r="B46" s="44">
        <v>9.3300000000000005E-6</v>
      </c>
      <c r="C46" s="45">
        <v>9.7699999999999996E-6</v>
      </c>
      <c r="D46" s="45">
        <v>1.04E-5</v>
      </c>
      <c r="E46" s="45">
        <v>1.8499999999999999E-5</v>
      </c>
      <c r="F46" s="45">
        <v>4.3499999999999999E-6</v>
      </c>
      <c r="G46" s="45">
        <v>2.37E-5</v>
      </c>
      <c r="H46" s="45">
        <v>3.3899999999999997E-5</v>
      </c>
      <c r="I46" s="45">
        <v>9.1299999999999998E-7</v>
      </c>
      <c r="J46" s="45">
        <v>6.4999999999999996E-6</v>
      </c>
      <c r="K46" s="45">
        <v>1.42E-5</v>
      </c>
      <c r="L46" s="45">
        <v>1.17E-5</v>
      </c>
      <c r="M46" s="46">
        <v>1.2799999999999999E-5</v>
      </c>
    </row>
    <row r="47" spans="1:13" ht="14.25" customHeight="1">
      <c r="A47" s="40" t="s">
        <v>317</v>
      </c>
      <c r="B47" s="44">
        <v>4.95E-6</v>
      </c>
      <c r="C47" s="45">
        <v>1.38E-5</v>
      </c>
      <c r="D47" s="45">
        <v>1.19E-6</v>
      </c>
      <c r="E47" s="45">
        <v>1.04E-5</v>
      </c>
      <c r="F47" s="45">
        <v>4.34E-6</v>
      </c>
      <c r="G47" s="45">
        <v>5.5999999999999997E-6</v>
      </c>
      <c r="H47" s="45">
        <v>3.65E-5</v>
      </c>
      <c r="I47" s="45">
        <v>1.01E-5</v>
      </c>
      <c r="J47" s="45">
        <v>5.9599999999999997E-6</v>
      </c>
      <c r="K47" s="45">
        <v>2.7E-6</v>
      </c>
      <c r="L47" s="45">
        <v>1.31E-5</v>
      </c>
      <c r="M47" s="46">
        <v>7.3499999999999999E-6</v>
      </c>
    </row>
    <row r="48" spans="1:13" ht="14.25" customHeight="1">
      <c r="A48" s="40" t="s">
        <v>318</v>
      </c>
      <c r="B48" s="44">
        <v>9.3899999999999999E-6</v>
      </c>
      <c r="C48" s="45">
        <v>7.8800000000000008E-6</v>
      </c>
      <c r="D48" s="45">
        <v>1.5699999999999999E-5</v>
      </c>
      <c r="E48" s="45">
        <v>9.0899999999999994E-6</v>
      </c>
      <c r="F48" s="45">
        <v>5.7400000000000001E-6</v>
      </c>
      <c r="G48" s="45">
        <v>1.26E-5</v>
      </c>
      <c r="H48" s="45">
        <v>3.7299999999999999E-5</v>
      </c>
      <c r="I48" s="45">
        <v>1.1399999999999999E-5</v>
      </c>
      <c r="J48" s="45">
        <v>5.6899999999999997E-6</v>
      </c>
      <c r="K48" s="45">
        <v>4.5600000000000004E-6</v>
      </c>
      <c r="L48" s="45">
        <v>8.2500000000000006E-6</v>
      </c>
      <c r="M48" s="46">
        <v>8.1499999999999999E-6</v>
      </c>
    </row>
    <row r="49" spans="1:13" ht="14.25" customHeight="1">
      <c r="A49" s="40" t="s">
        <v>319</v>
      </c>
      <c r="B49" s="44">
        <v>4.07E-6</v>
      </c>
      <c r="C49" s="45">
        <v>5.3700000000000003E-6</v>
      </c>
      <c r="D49" s="45">
        <v>5.0300000000000001E-6</v>
      </c>
      <c r="E49" s="45">
        <v>9.0399999999999998E-6</v>
      </c>
      <c r="F49" s="45">
        <v>6.9800000000000003E-7</v>
      </c>
      <c r="G49" s="45">
        <v>1.36E-5</v>
      </c>
      <c r="H49" s="45">
        <v>4.1999999999999998E-5</v>
      </c>
      <c r="I49" s="45">
        <v>2.1400000000000001E-7</v>
      </c>
      <c r="J49" s="45">
        <v>6.3400000000000003E-6</v>
      </c>
      <c r="K49" s="45">
        <v>4.9799999999999998E-6</v>
      </c>
      <c r="L49" s="45">
        <v>9.2499999999999995E-6</v>
      </c>
      <c r="M49" s="46">
        <v>6.0700000000000003E-6</v>
      </c>
    </row>
    <row r="50" spans="1:13" ht="14.25" customHeight="1">
      <c r="A50" s="40" t="s">
        <v>320</v>
      </c>
      <c r="B50" s="44">
        <v>4.0199999999999996E-6</v>
      </c>
      <c r="C50" s="45">
        <v>1.01E-5</v>
      </c>
      <c r="D50" s="45">
        <v>1.4E-5</v>
      </c>
      <c r="E50" s="45">
        <v>1.9599999999999999E-5</v>
      </c>
      <c r="F50" s="45">
        <v>5.7000000000000005E-7</v>
      </c>
      <c r="G50" s="45">
        <v>8.4300000000000006E-6</v>
      </c>
      <c r="H50" s="45">
        <v>6.2100000000000005E-5</v>
      </c>
      <c r="I50" s="45">
        <v>2.2500000000000001E-6</v>
      </c>
      <c r="J50" s="45">
        <v>1.9299999999999999E-7</v>
      </c>
      <c r="K50" s="45">
        <v>1.3900000000000001E-5</v>
      </c>
      <c r="L50" s="45">
        <v>1.0699999999999999E-5</v>
      </c>
      <c r="M50" s="46">
        <v>8.4700000000000002E-6</v>
      </c>
    </row>
    <row r="51" spans="1:13" ht="14.25" customHeight="1">
      <c r="A51" s="40" t="s">
        <v>321</v>
      </c>
      <c r="B51" s="44">
        <v>1.3200000000000001E-5</v>
      </c>
      <c r="C51" s="45">
        <v>2.76E-5</v>
      </c>
      <c r="D51" s="45">
        <v>8.2700000000000004E-6</v>
      </c>
      <c r="E51" s="45">
        <v>1.8499999999999999E-5</v>
      </c>
      <c r="F51" s="45">
        <v>1.1399999999999999E-5</v>
      </c>
      <c r="G51" s="45">
        <v>1.03E-5</v>
      </c>
      <c r="H51" s="45">
        <v>4.3600000000000003E-5</v>
      </c>
      <c r="I51" s="45">
        <v>8.1400000000000001E-8</v>
      </c>
      <c r="J51" s="45">
        <v>9.2E-6</v>
      </c>
      <c r="K51" s="45">
        <v>2.7199999999999998E-6</v>
      </c>
      <c r="L51" s="45">
        <v>4.4700000000000004E-6</v>
      </c>
      <c r="M51" s="46">
        <v>5.8699999999999997E-6</v>
      </c>
    </row>
    <row r="52" spans="1:13" ht="14.25" customHeight="1">
      <c r="A52" s="40" t="s">
        <v>322</v>
      </c>
      <c r="B52" s="44">
        <v>5.6899999999999997E-6</v>
      </c>
      <c r="C52" s="45">
        <v>1.49E-5</v>
      </c>
      <c r="D52" s="45">
        <v>1.15E-5</v>
      </c>
      <c r="E52" s="45">
        <v>4.7400000000000004E-6</v>
      </c>
      <c r="F52" s="45">
        <v>7.4000000000000003E-6</v>
      </c>
      <c r="G52" s="45">
        <v>2.3E-5</v>
      </c>
      <c r="H52" s="45">
        <v>4.49E-5</v>
      </c>
      <c r="I52" s="45">
        <v>1.3E-6</v>
      </c>
      <c r="J52" s="45">
        <v>7.9000000000000006E-6</v>
      </c>
      <c r="K52" s="45">
        <v>1.45E-5</v>
      </c>
      <c r="L52" s="45">
        <v>5.2700000000000004E-6</v>
      </c>
      <c r="M52" s="46">
        <v>3.6899999999999998E-6</v>
      </c>
    </row>
    <row r="53" spans="1:13" ht="14.25" customHeight="1">
      <c r="A53" s="40" t="s">
        <v>323</v>
      </c>
      <c r="B53" s="44">
        <v>4.7700000000000001E-6</v>
      </c>
      <c r="C53" s="45">
        <v>1.31E-5</v>
      </c>
      <c r="D53" s="45">
        <v>7.2200000000000003E-6</v>
      </c>
      <c r="E53" s="45">
        <v>1.0699999999999999E-5</v>
      </c>
      <c r="F53" s="45">
        <v>6.28E-6</v>
      </c>
      <c r="G53" s="45">
        <v>1.11E-5</v>
      </c>
      <c r="H53" s="45">
        <v>5.4500000000000003E-5</v>
      </c>
      <c r="I53" s="45">
        <v>5.1100000000000002E-6</v>
      </c>
      <c r="J53" s="45">
        <v>9.2E-6</v>
      </c>
      <c r="K53" s="45">
        <v>2.79E-6</v>
      </c>
      <c r="L53" s="45">
        <v>1.17E-5</v>
      </c>
      <c r="M53" s="46">
        <v>7.6499999999999996E-6</v>
      </c>
    </row>
    <row r="54" spans="1:13" ht="14.25" customHeight="1">
      <c r="A54" s="40" t="s">
        <v>324</v>
      </c>
      <c r="B54" s="44">
        <v>6.8800000000000002E-6</v>
      </c>
      <c r="C54" s="45">
        <v>1.6699999999999999E-5</v>
      </c>
      <c r="D54" s="45">
        <v>1.03E-5</v>
      </c>
      <c r="E54" s="45">
        <v>1.2500000000000001E-5</v>
      </c>
      <c r="F54" s="45">
        <v>3.1300000000000001E-6</v>
      </c>
      <c r="G54" s="45">
        <v>1.15E-5</v>
      </c>
      <c r="H54" s="45">
        <v>5.94E-5</v>
      </c>
      <c r="I54" s="45">
        <v>7.8900000000000007E-6</v>
      </c>
      <c r="J54" s="45">
        <v>2.3199999999999998E-6</v>
      </c>
      <c r="K54" s="45">
        <v>6.4500000000000001E-6</v>
      </c>
      <c r="L54" s="45">
        <v>1.3200000000000001E-5</v>
      </c>
      <c r="M54" s="46">
        <v>1.03E-5</v>
      </c>
    </row>
    <row r="55" spans="1:13" ht="14.25" customHeight="1">
      <c r="A55" s="40" t="s">
        <v>325</v>
      </c>
      <c r="B55" s="44">
        <v>1.26E-5</v>
      </c>
      <c r="C55" s="45">
        <v>3.3300000000000003E-5</v>
      </c>
      <c r="D55" s="45">
        <v>4.6199999999999998E-6</v>
      </c>
      <c r="E55" s="45">
        <v>8.5599999999999994E-6</v>
      </c>
      <c r="F55" s="45">
        <v>8.4500000000000004E-6</v>
      </c>
      <c r="G55" s="45">
        <v>5.6699999999999999E-6</v>
      </c>
      <c r="H55" s="45">
        <v>3.15E-5</v>
      </c>
      <c r="I55" s="45">
        <v>5.1200000000000001E-6</v>
      </c>
      <c r="J55" s="45">
        <v>5.1599999999999997E-6</v>
      </c>
      <c r="K55" s="45">
        <v>3.49E-6</v>
      </c>
      <c r="L55" s="45">
        <v>9.3999999999999998E-6</v>
      </c>
      <c r="M55" s="46">
        <v>7.1400000000000002E-6</v>
      </c>
    </row>
    <row r="56" spans="1:13" ht="14.25" customHeight="1">
      <c r="A56" s="40" t="s">
        <v>326</v>
      </c>
      <c r="B56" s="47">
        <v>6.6800000000000004E-6</v>
      </c>
      <c r="C56" s="48">
        <v>2.2799999999999999E-5</v>
      </c>
      <c r="D56" s="48">
        <v>7.3499999999999999E-6</v>
      </c>
      <c r="E56" s="48">
        <v>5.7599999999999999E-6</v>
      </c>
      <c r="F56" s="48">
        <v>6.55E-6</v>
      </c>
      <c r="G56" s="48">
        <v>1.03E-5</v>
      </c>
      <c r="H56" s="48">
        <v>5.1900000000000001E-5</v>
      </c>
      <c r="I56" s="48">
        <v>5.6400000000000002E-6</v>
      </c>
      <c r="J56" s="48">
        <v>9.6800000000000005E-6</v>
      </c>
      <c r="K56" s="48">
        <v>2.5900000000000002E-6</v>
      </c>
      <c r="L56" s="48">
        <v>5.4199999999999998E-6</v>
      </c>
      <c r="M56" s="49">
        <v>3.9400000000000004E-6</v>
      </c>
    </row>
    <row r="57" spans="1:13" ht="14.25" customHeight="1">
      <c r="A57" s="40"/>
      <c r="B57" s="45"/>
      <c r="C57" s="45"/>
      <c r="D57" s="45"/>
      <c r="E57" s="45"/>
      <c r="F57" s="45"/>
      <c r="G57" s="45"/>
      <c r="H57" s="45"/>
      <c r="I57" s="45"/>
      <c r="J57" s="45"/>
      <c r="K57" s="45"/>
      <c r="L57" s="45"/>
      <c r="M57" s="45"/>
    </row>
    <row r="58" spans="1:13" ht="14.25" customHeight="1">
      <c r="A58" s="38" t="s">
        <v>329</v>
      </c>
      <c r="B58" s="39"/>
      <c r="C58" s="39"/>
      <c r="D58" s="39"/>
      <c r="E58" s="39"/>
      <c r="F58" s="39"/>
      <c r="G58" s="39"/>
      <c r="H58" s="39"/>
      <c r="I58" s="39"/>
      <c r="J58" s="39"/>
      <c r="K58" s="39"/>
      <c r="L58" s="39"/>
      <c r="M58" s="39"/>
    </row>
    <row r="59" spans="1:13" ht="14.25" customHeight="1">
      <c r="A59" s="40"/>
      <c r="B59" s="40" t="s">
        <v>299</v>
      </c>
      <c r="C59" s="40" t="s">
        <v>300</v>
      </c>
      <c r="D59" s="40" t="s">
        <v>301</v>
      </c>
      <c r="E59" s="40" t="s">
        <v>302</v>
      </c>
      <c r="F59" s="40" t="s">
        <v>303</v>
      </c>
      <c r="G59" s="40" t="s">
        <v>304</v>
      </c>
      <c r="H59" s="40" t="s">
        <v>305</v>
      </c>
      <c r="I59" s="40" t="s">
        <v>306</v>
      </c>
      <c r="J59" s="40" t="s">
        <v>307</v>
      </c>
      <c r="K59" s="40" t="s">
        <v>308</v>
      </c>
      <c r="L59" s="40" t="s">
        <v>309</v>
      </c>
      <c r="M59" s="40" t="s">
        <v>310</v>
      </c>
    </row>
    <row r="60" spans="1:13" ht="14.25" customHeight="1">
      <c r="A60" s="40" t="s">
        <v>311</v>
      </c>
      <c r="B60" s="41">
        <v>3.72E-6</v>
      </c>
      <c r="C60" s="42">
        <v>4.8500000000000002E-6</v>
      </c>
      <c r="D60" s="42">
        <v>1.7600000000000001E-6</v>
      </c>
      <c r="E60" s="42">
        <v>1.52E-5</v>
      </c>
      <c r="F60" s="42">
        <v>2.9100000000000001E-6</v>
      </c>
      <c r="G60" s="42">
        <v>8.1699999999999997E-6</v>
      </c>
      <c r="H60" s="42">
        <v>8.8200000000000003E-5</v>
      </c>
      <c r="I60" s="42">
        <v>6.9500000000000004E-6</v>
      </c>
      <c r="J60" s="42">
        <v>5.8100000000000003E-6</v>
      </c>
      <c r="K60" s="42">
        <v>4.5600000000000004E-6</v>
      </c>
      <c r="L60" s="42">
        <v>2.5000000000000001E-5</v>
      </c>
      <c r="M60" s="43">
        <v>2.7700000000000002E-6</v>
      </c>
    </row>
    <row r="61" spans="1:13" ht="14.25" customHeight="1">
      <c r="A61" s="40" t="s">
        <v>312</v>
      </c>
      <c r="B61" s="44">
        <v>5.9599999999999997E-6</v>
      </c>
      <c r="C61" s="45">
        <v>7.6599999999999995E-6</v>
      </c>
      <c r="D61" s="45">
        <v>8.67E-6</v>
      </c>
      <c r="E61" s="45">
        <v>1.0499999999999999E-5</v>
      </c>
      <c r="F61" s="45">
        <v>2.39E-6</v>
      </c>
      <c r="G61" s="45">
        <v>1.01E-5</v>
      </c>
      <c r="H61" s="45">
        <v>1.4040299999999999E-4</v>
      </c>
      <c r="I61" s="45">
        <v>4.4499999999999997E-6</v>
      </c>
      <c r="J61" s="45">
        <v>9.2399999999999996E-6</v>
      </c>
      <c r="K61" s="45">
        <v>6.1099999999999999E-6</v>
      </c>
      <c r="L61" s="45">
        <v>1.9000000000000001E-5</v>
      </c>
      <c r="M61" s="46">
        <v>1.6700000000000001E-6</v>
      </c>
    </row>
    <row r="62" spans="1:13" ht="14.25" customHeight="1">
      <c r="A62" s="40" t="s">
        <v>313</v>
      </c>
      <c r="B62" s="44">
        <v>9.0000000000000002E-6</v>
      </c>
      <c r="C62" s="45">
        <v>9.1800000000000002E-6</v>
      </c>
      <c r="D62" s="45">
        <v>4.0600000000000001E-6</v>
      </c>
      <c r="E62" s="45">
        <v>1.45E-5</v>
      </c>
      <c r="F62" s="45">
        <v>4.2799999999999997E-6</v>
      </c>
      <c r="G62" s="45">
        <v>5.5600000000000001E-6</v>
      </c>
      <c r="H62" s="45">
        <v>6.9800000000000003E-5</v>
      </c>
      <c r="I62" s="45">
        <v>2.6800000000000002E-6</v>
      </c>
      <c r="J62" s="45">
        <v>6.2899999999999999E-6</v>
      </c>
      <c r="K62" s="45">
        <v>2.1900000000000002E-6</v>
      </c>
      <c r="L62" s="45">
        <v>1.5400000000000002E-5</v>
      </c>
      <c r="M62" s="46">
        <v>1.66E-6</v>
      </c>
    </row>
    <row r="63" spans="1:13" ht="14.25" customHeight="1">
      <c r="A63" s="40" t="s">
        <v>314</v>
      </c>
      <c r="B63" s="44">
        <v>3.89E-6</v>
      </c>
      <c r="C63" s="45">
        <v>7.0899999999999999E-6</v>
      </c>
      <c r="D63" s="45">
        <v>7.9999999999999996E-6</v>
      </c>
      <c r="E63" s="45">
        <v>9.7000000000000003E-6</v>
      </c>
      <c r="F63" s="45">
        <v>4.1200000000000004E-6</v>
      </c>
      <c r="G63" s="45">
        <v>7.8699999999999992E-6</v>
      </c>
      <c r="H63" s="45">
        <v>9.2200000000000005E-5</v>
      </c>
      <c r="I63" s="45">
        <v>6.6599999999999998E-6</v>
      </c>
      <c r="J63" s="45">
        <v>6.7399999999999998E-6</v>
      </c>
      <c r="K63" s="45">
        <v>4.4599999999999996E-6</v>
      </c>
      <c r="L63" s="45">
        <v>6.6100000000000002E-6</v>
      </c>
      <c r="M63" s="46">
        <v>1.4300000000000001E-6</v>
      </c>
    </row>
    <row r="64" spans="1:13" ht="14.25" customHeight="1">
      <c r="A64" s="40" t="s">
        <v>315</v>
      </c>
      <c r="B64" s="44">
        <v>1.0900000000000001E-5</v>
      </c>
      <c r="C64" s="45">
        <v>9.8700000000000004E-6</v>
      </c>
      <c r="D64" s="45">
        <v>2.9000000000000002E-6</v>
      </c>
      <c r="E64" s="45">
        <v>1.5999999999999999E-5</v>
      </c>
      <c r="F64" s="45">
        <v>4.6199999999999998E-6</v>
      </c>
      <c r="G64" s="45">
        <v>9.0599999999999997E-6</v>
      </c>
      <c r="H64" s="45">
        <v>7.9699999999999999E-5</v>
      </c>
      <c r="I64" s="45">
        <v>3.4300000000000002E-6</v>
      </c>
      <c r="J64" s="45">
        <v>9.2699999999999993E-6</v>
      </c>
      <c r="K64" s="45">
        <v>6.3899999999999998E-6</v>
      </c>
      <c r="L64" s="45">
        <v>2.6699999999999998E-5</v>
      </c>
      <c r="M64" s="46">
        <v>1.47E-5</v>
      </c>
    </row>
    <row r="65" spans="1:13" ht="14.25" customHeight="1">
      <c r="A65" s="40" t="s">
        <v>316</v>
      </c>
      <c r="B65" s="44">
        <v>5.4199999999999998E-6</v>
      </c>
      <c r="C65" s="45">
        <v>1.5E-5</v>
      </c>
      <c r="D65" s="45">
        <v>9.9799999999999993E-6</v>
      </c>
      <c r="E65" s="45">
        <v>8.5199999999999997E-6</v>
      </c>
      <c r="F65" s="45">
        <v>1.06E-6</v>
      </c>
      <c r="G65" s="45">
        <v>7.6899999999999992E-6</v>
      </c>
      <c r="H65" s="45">
        <v>7.9599999999999997E-5</v>
      </c>
      <c r="I65" s="45">
        <v>5.5899999999999998E-6</v>
      </c>
      <c r="J65" s="45">
        <v>6.1E-6</v>
      </c>
      <c r="K65" s="45">
        <v>1.0200000000000001E-5</v>
      </c>
      <c r="L65" s="45">
        <v>2.05E-5</v>
      </c>
      <c r="M65" s="46">
        <v>2.16E-5</v>
      </c>
    </row>
    <row r="66" spans="1:13" ht="14.25" customHeight="1">
      <c r="A66" s="40" t="s">
        <v>317</v>
      </c>
      <c r="B66" s="44">
        <v>7.9699999999999999E-6</v>
      </c>
      <c r="C66" s="45">
        <v>1.8600000000000001E-5</v>
      </c>
      <c r="D66" s="45">
        <v>1.9700000000000002E-6</v>
      </c>
      <c r="E66" s="45">
        <v>1.15E-5</v>
      </c>
      <c r="F66" s="45">
        <v>4.2899999999999996E-6</v>
      </c>
      <c r="G66" s="45">
        <v>1.08E-5</v>
      </c>
      <c r="H66" s="45">
        <v>4.0299999999999997E-5</v>
      </c>
      <c r="I66" s="45">
        <v>4.07E-6</v>
      </c>
      <c r="J66" s="45">
        <v>3.6399999999999999E-6</v>
      </c>
      <c r="K66" s="45">
        <v>3.3799999999999998E-6</v>
      </c>
      <c r="L66" s="45">
        <v>1.22E-5</v>
      </c>
      <c r="M66" s="46">
        <v>1.4100000000000001E-5</v>
      </c>
    </row>
    <row r="67" spans="1:13" ht="14.25" customHeight="1">
      <c r="A67" s="40" t="s">
        <v>318</v>
      </c>
      <c r="B67" s="44">
        <v>4.8799999999999999E-6</v>
      </c>
      <c r="C67" s="45">
        <v>1.34E-5</v>
      </c>
      <c r="D67" s="45">
        <v>1.0200000000000001E-5</v>
      </c>
      <c r="E67" s="45">
        <v>6.5599999999999999E-6</v>
      </c>
      <c r="F67" s="45">
        <v>4.87E-6</v>
      </c>
      <c r="G67" s="45">
        <v>9.4299999999999995E-6</v>
      </c>
      <c r="H67" s="45">
        <v>6.2100000000000005E-5</v>
      </c>
      <c r="I67" s="45">
        <v>6.4099999999999996E-6</v>
      </c>
      <c r="J67" s="45">
        <v>6.7900000000000002E-6</v>
      </c>
      <c r="K67" s="45">
        <v>8.3899999999999993E-6</v>
      </c>
      <c r="L67" s="45">
        <v>9.3400000000000004E-6</v>
      </c>
      <c r="M67" s="46">
        <v>1.06E-5</v>
      </c>
    </row>
    <row r="68" spans="1:13" ht="14.25" customHeight="1">
      <c r="A68" s="40" t="s">
        <v>319</v>
      </c>
      <c r="B68" s="44">
        <v>5.2800000000000003E-6</v>
      </c>
      <c r="C68" s="45">
        <v>1.1399999999999999E-5</v>
      </c>
      <c r="D68" s="45">
        <v>3.2100000000000002E-6</v>
      </c>
      <c r="E68" s="45">
        <v>1.5299999999999999E-5</v>
      </c>
      <c r="F68" s="45">
        <v>4.2200000000000003E-6</v>
      </c>
      <c r="G68" s="45">
        <v>1.8199999999999999E-5</v>
      </c>
      <c r="H68" s="45">
        <v>5.9599999999999999E-5</v>
      </c>
      <c r="I68" s="45">
        <v>8.5700000000000001E-7</v>
      </c>
      <c r="J68" s="45">
        <v>7.9899999999999997E-6</v>
      </c>
      <c r="K68" s="45">
        <v>1.2E-5</v>
      </c>
      <c r="L68" s="45">
        <v>2.41E-5</v>
      </c>
      <c r="M68" s="46">
        <v>6.28E-6</v>
      </c>
    </row>
    <row r="69" spans="1:13" ht="14.25" customHeight="1">
      <c r="A69" s="40" t="s">
        <v>320</v>
      </c>
      <c r="B69" s="44">
        <v>5.8699999999999997E-6</v>
      </c>
      <c r="C69" s="45">
        <v>1.9599999999999999E-5</v>
      </c>
      <c r="D69" s="45">
        <v>1.4100000000000001E-5</v>
      </c>
      <c r="E69" s="45">
        <v>1.7099999999999999E-5</v>
      </c>
      <c r="F69" s="45">
        <v>3.1200000000000002E-6</v>
      </c>
      <c r="G69" s="45">
        <v>2.3799999999999999E-5</v>
      </c>
      <c r="H69" s="45">
        <v>6.0900000000000003E-5</v>
      </c>
      <c r="I69" s="45">
        <v>1.1200000000000001E-6</v>
      </c>
      <c r="J69" s="45">
        <v>4.3699999999999997E-6</v>
      </c>
      <c r="K69" s="45">
        <v>1.43E-5</v>
      </c>
      <c r="L69" s="45">
        <v>1.7399999999999999E-5</v>
      </c>
      <c r="M69" s="46">
        <v>8.32E-6</v>
      </c>
    </row>
    <row r="70" spans="1:13" ht="14.25" customHeight="1">
      <c r="A70" s="40" t="s">
        <v>321</v>
      </c>
      <c r="B70" s="44">
        <v>1.2999999999999999E-5</v>
      </c>
      <c r="C70" s="45">
        <v>2.4300000000000001E-5</v>
      </c>
      <c r="D70" s="45">
        <v>6.6800000000000004E-6</v>
      </c>
      <c r="E70" s="45">
        <v>9.6700000000000006E-6</v>
      </c>
      <c r="F70" s="45">
        <v>3.18E-6</v>
      </c>
      <c r="G70" s="45">
        <v>2.0800000000000001E-5</v>
      </c>
      <c r="H70" s="45">
        <v>5.4500000000000003E-5</v>
      </c>
      <c r="I70" s="45">
        <v>4.6600000000000003E-6</v>
      </c>
      <c r="J70" s="45">
        <v>6.2400000000000004E-6</v>
      </c>
      <c r="K70" s="45">
        <v>2.39E-6</v>
      </c>
      <c r="L70" s="45">
        <v>1.2799999999999999E-5</v>
      </c>
      <c r="M70" s="46">
        <v>6.8199999999999999E-6</v>
      </c>
    </row>
    <row r="71" spans="1:13" ht="14.25" customHeight="1">
      <c r="A71" s="40" t="s">
        <v>322</v>
      </c>
      <c r="B71" s="44">
        <v>1.7799999999999999E-6</v>
      </c>
      <c r="C71" s="45">
        <v>2.0000000000000002E-5</v>
      </c>
      <c r="D71" s="45">
        <v>5.3900000000000001E-6</v>
      </c>
      <c r="E71" s="45">
        <v>7.2699999999999999E-6</v>
      </c>
      <c r="F71" s="45">
        <v>1.0499999999999999E-5</v>
      </c>
      <c r="G71" s="45">
        <v>1.3499999999999999E-5</v>
      </c>
      <c r="H71" s="45">
        <v>6.8499999999999998E-5</v>
      </c>
      <c r="I71" s="45">
        <v>1.8199999999999999E-6</v>
      </c>
      <c r="J71" s="45">
        <v>9.0499999999999997E-6</v>
      </c>
      <c r="K71" s="45">
        <v>1.0200000000000001E-5</v>
      </c>
      <c r="L71" s="45">
        <v>7.0299999999999996E-6</v>
      </c>
      <c r="M71" s="46">
        <v>6.8600000000000004E-6</v>
      </c>
    </row>
    <row r="72" spans="1:13" ht="14.25" customHeight="1">
      <c r="A72" s="40" t="s">
        <v>323</v>
      </c>
      <c r="B72" s="44">
        <v>7.5900000000000002E-6</v>
      </c>
      <c r="C72" s="45">
        <v>1.47E-5</v>
      </c>
      <c r="D72" s="45">
        <v>3.1300000000000001E-6</v>
      </c>
      <c r="E72" s="45">
        <v>1.7499999999999998E-5</v>
      </c>
      <c r="F72" s="45">
        <v>6.0100000000000001E-6</v>
      </c>
      <c r="G72" s="45">
        <v>1.1800000000000001E-5</v>
      </c>
      <c r="H72" s="45">
        <v>8.5199999999999997E-5</v>
      </c>
      <c r="I72" s="45">
        <v>2.3599999999999999E-6</v>
      </c>
      <c r="J72" s="45">
        <v>7.3599999999999998E-6</v>
      </c>
      <c r="K72" s="45">
        <v>5.3000000000000001E-6</v>
      </c>
      <c r="L72" s="45">
        <v>1.6500000000000001E-5</v>
      </c>
      <c r="M72" s="46">
        <v>1.15E-5</v>
      </c>
    </row>
    <row r="73" spans="1:13" ht="14.25" customHeight="1">
      <c r="A73" s="40" t="s">
        <v>324</v>
      </c>
      <c r="B73" s="44">
        <v>5.7799999999999997E-6</v>
      </c>
      <c r="C73" s="45">
        <v>2.37E-5</v>
      </c>
      <c r="D73" s="45">
        <v>8.1200000000000002E-6</v>
      </c>
      <c r="E73" s="45">
        <v>1.6699999999999999E-5</v>
      </c>
      <c r="F73" s="45">
        <v>1.31E-6</v>
      </c>
      <c r="G73" s="45">
        <v>1.22E-5</v>
      </c>
      <c r="H73" s="45">
        <v>8.4599999999999996E-5</v>
      </c>
      <c r="I73" s="45">
        <v>3.4599999999999999E-6</v>
      </c>
      <c r="J73" s="45">
        <v>5.7799999999999997E-6</v>
      </c>
      <c r="K73" s="45">
        <v>6.0299999999999999E-6</v>
      </c>
      <c r="L73" s="45">
        <v>1.3200000000000001E-5</v>
      </c>
      <c r="M73" s="46">
        <v>1.13E-5</v>
      </c>
    </row>
    <row r="74" spans="1:13" ht="14.25" customHeight="1">
      <c r="A74" s="40" t="s">
        <v>325</v>
      </c>
      <c r="B74" s="44">
        <v>9.6299999999999993E-6</v>
      </c>
      <c r="C74" s="45">
        <v>4.0299999999999997E-5</v>
      </c>
      <c r="D74" s="45">
        <v>3.8600000000000003E-6</v>
      </c>
      <c r="E74" s="45">
        <v>1.2500000000000001E-5</v>
      </c>
      <c r="F74" s="45">
        <v>4.42E-6</v>
      </c>
      <c r="G74" s="45">
        <v>9.4599999999999992E-6</v>
      </c>
      <c r="H74" s="45">
        <v>5.8100000000000003E-5</v>
      </c>
      <c r="I74" s="45">
        <v>2.3E-6</v>
      </c>
      <c r="J74" s="45">
        <v>7.8399999999999995E-6</v>
      </c>
      <c r="K74" s="45">
        <v>1.57E-6</v>
      </c>
      <c r="L74" s="45">
        <v>7.9999999999999996E-6</v>
      </c>
      <c r="M74" s="46">
        <v>8.3799999999999994E-6</v>
      </c>
    </row>
    <row r="75" spans="1:13" ht="14.25" customHeight="1">
      <c r="A75" s="40" t="s">
        <v>326</v>
      </c>
      <c r="B75" s="47">
        <v>5.0699999999999997E-6</v>
      </c>
      <c r="C75" s="48">
        <v>3.5899999999999998E-5</v>
      </c>
      <c r="D75" s="48">
        <v>7.2699999999999999E-6</v>
      </c>
      <c r="E75" s="48">
        <v>9.1800000000000002E-6</v>
      </c>
      <c r="F75" s="48">
        <v>3.9299999999999996E-6</v>
      </c>
      <c r="G75" s="48">
        <v>8.6400000000000003E-6</v>
      </c>
      <c r="H75" s="48">
        <v>8.3200000000000003E-5</v>
      </c>
      <c r="I75" s="48">
        <v>3.3299999999999999E-6</v>
      </c>
      <c r="J75" s="48">
        <v>6.2099999999999998E-6</v>
      </c>
      <c r="K75" s="48">
        <v>3.0000000000000001E-6</v>
      </c>
      <c r="L75" s="48">
        <v>7.34E-6</v>
      </c>
      <c r="M75" s="49">
        <v>4.6999999999999999E-6</v>
      </c>
    </row>
    <row r="76" spans="1:13" ht="14.25" customHeight="1">
      <c r="A76" s="40"/>
      <c r="B76" s="45"/>
      <c r="C76" s="45"/>
      <c r="D76" s="45"/>
      <c r="E76" s="45"/>
      <c r="F76" s="45"/>
      <c r="G76" s="45"/>
      <c r="H76" s="45"/>
      <c r="I76" s="45"/>
      <c r="J76" s="45"/>
      <c r="K76" s="45"/>
      <c r="L76" s="45"/>
      <c r="M76" s="45"/>
    </row>
    <row r="77" spans="1:13" ht="14.25" customHeight="1">
      <c r="A77" s="38" t="s">
        <v>330</v>
      </c>
      <c r="B77" s="39"/>
      <c r="C77" s="39"/>
      <c r="D77" s="39"/>
      <c r="E77" s="39"/>
      <c r="F77" s="39"/>
      <c r="G77" s="39"/>
      <c r="H77" s="39"/>
      <c r="I77" s="39"/>
      <c r="J77" s="39"/>
      <c r="K77" s="39"/>
      <c r="L77" s="39"/>
      <c r="M77" s="39"/>
    </row>
    <row r="78" spans="1:13" ht="14.25" customHeight="1">
      <c r="A78" s="40"/>
      <c r="B78" s="40" t="s">
        <v>299</v>
      </c>
      <c r="C78" s="40" t="s">
        <v>300</v>
      </c>
      <c r="D78" s="40" t="s">
        <v>301</v>
      </c>
      <c r="E78" s="40" t="s">
        <v>302</v>
      </c>
      <c r="F78" s="40" t="s">
        <v>303</v>
      </c>
      <c r="G78" s="40" t="s">
        <v>304</v>
      </c>
      <c r="H78" s="40" t="s">
        <v>305</v>
      </c>
      <c r="I78" s="40" t="s">
        <v>306</v>
      </c>
      <c r="J78" s="40" t="s">
        <v>307</v>
      </c>
      <c r="K78" s="40" t="s">
        <v>308</v>
      </c>
      <c r="L78" s="40" t="s">
        <v>309</v>
      </c>
      <c r="M78" s="40" t="s">
        <v>310</v>
      </c>
    </row>
    <row r="79" spans="1:13" ht="14.25" customHeight="1">
      <c r="A79" s="40" t="s">
        <v>311</v>
      </c>
      <c r="B79" s="41">
        <v>3.7699999999999999E-6</v>
      </c>
      <c r="C79" s="42">
        <v>2.8600000000000001E-6</v>
      </c>
      <c r="D79" s="42">
        <v>1.9199999999999998E-6</v>
      </c>
      <c r="E79" s="42">
        <v>8.5099999999999998E-6</v>
      </c>
      <c r="F79" s="42">
        <v>3.2399999999999999E-6</v>
      </c>
      <c r="G79" s="42">
        <v>1.9E-6</v>
      </c>
      <c r="H79" s="42">
        <v>4.1699999999999997E-5</v>
      </c>
      <c r="I79" s="42">
        <v>4.0799999999999999E-6</v>
      </c>
      <c r="J79" s="42">
        <v>5.0799999999999996E-6</v>
      </c>
      <c r="K79" s="42">
        <v>2.92E-6</v>
      </c>
      <c r="L79" s="42">
        <v>8.7900000000000005E-6</v>
      </c>
      <c r="M79" s="43">
        <v>6.75E-7</v>
      </c>
    </row>
    <row r="80" spans="1:13" ht="14.25" customHeight="1">
      <c r="A80" s="40" t="s">
        <v>312</v>
      </c>
      <c r="B80" s="44">
        <v>8.2699999999999998E-7</v>
      </c>
      <c r="C80" s="45">
        <v>6.3199999999999996E-6</v>
      </c>
      <c r="D80" s="45">
        <v>6.37E-6</v>
      </c>
      <c r="E80" s="45">
        <v>7.2099999999999996E-6</v>
      </c>
      <c r="F80" s="45">
        <v>4.7399999999999998E-7</v>
      </c>
      <c r="G80" s="45">
        <v>1.43E-5</v>
      </c>
      <c r="H80" s="45">
        <v>4.9700000000000002E-5</v>
      </c>
      <c r="I80" s="45">
        <v>0</v>
      </c>
      <c r="J80" s="45">
        <v>1.73E-5</v>
      </c>
      <c r="K80" s="45">
        <v>8.2099999999999993E-6</v>
      </c>
      <c r="L80" s="45">
        <v>3.8700000000000002E-6</v>
      </c>
      <c r="M80" s="46">
        <v>5.1399999999999999E-6</v>
      </c>
    </row>
    <row r="81" spans="1:13" ht="14.25" customHeight="1">
      <c r="A81" s="40" t="s">
        <v>313</v>
      </c>
      <c r="B81" s="44">
        <v>5.4E-6</v>
      </c>
      <c r="C81" s="45">
        <v>9.9399999999999997E-6</v>
      </c>
      <c r="D81" s="45">
        <v>7.4499999999999998E-6</v>
      </c>
      <c r="E81" s="45">
        <v>1.2300000000000001E-6</v>
      </c>
      <c r="F81" s="45">
        <v>0</v>
      </c>
      <c r="G81" s="45">
        <v>8.2400000000000007E-6</v>
      </c>
      <c r="H81" s="45">
        <v>2.3499999999999999E-5</v>
      </c>
      <c r="I81" s="45">
        <v>0</v>
      </c>
      <c r="J81" s="45">
        <v>4.8600000000000001E-6</v>
      </c>
      <c r="K81" s="45">
        <v>2.6599999999999999E-6</v>
      </c>
      <c r="L81" s="45">
        <v>3.45E-6</v>
      </c>
      <c r="M81" s="46">
        <v>2.03E-6</v>
      </c>
    </row>
    <row r="82" spans="1:13" ht="14.25" customHeight="1">
      <c r="A82" s="40" t="s">
        <v>314</v>
      </c>
      <c r="B82" s="44">
        <v>1.0699999999999999E-5</v>
      </c>
      <c r="C82" s="45">
        <v>5.66E-6</v>
      </c>
      <c r="D82" s="45">
        <v>4.2699999999999998E-6</v>
      </c>
      <c r="E82" s="45">
        <v>3.2200000000000001E-6</v>
      </c>
      <c r="F82" s="45">
        <v>6.9800000000000003E-7</v>
      </c>
      <c r="G82" s="45">
        <v>7.8199999999999997E-6</v>
      </c>
      <c r="H82" s="45">
        <v>5.9299999999999998E-5</v>
      </c>
      <c r="I82" s="45">
        <v>3.1499999999999999E-6</v>
      </c>
      <c r="J82" s="45">
        <v>3.0000000000000001E-6</v>
      </c>
      <c r="K82" s="45">
        <v>2.7700000000000002E-6</v>
      </c>
      <c r="L82" s="45">
        <v>7.5499999999999997E-6</v>
      </c>
      <c r="M82" s="46">
        <v>2.8000000000000002E-7</v>
      </c>
    </row>
    <row r="83" spans="1:13" ht="14.25" customHeight="1">
      <c r="A83" s="40" t="s">
        <v>315</v>
      </c>
      <c r="B83" s="44">
        <v>8.8100000000000004E-6</v>
      </c>
      <c r="C83" s="45">
        <v>5.0100000000000003E-6</v>
      </c>
      <c r="D83" s="45">
        <v>3.7500000000000001E-6</v>
      </c>
      <c r="E83" s="45">
        <v>5.4E-6</v>
      </c>
      <c r="F83" s="45">
        <v>4.2699999999999998E-6</v>
      </c>
      <c r="G83" s="45">
        <v>1.38E-5</v>
      </c>
      <c r="H83" s="45">
        <v>2.5400000000000001E-5</v>
      </c>
      <c r="I83" s="45">
        <v>2.4200000000000001E-6</v>
      </c>
      <c r="J83" s="45">
        <v>7.1400000000000002E-6</v>
      </c>
      <c r="K83" s="45">
        <v>4.3800000000000004E-6</v>
      </c>
      <c r="L83" s="45">
        <v>1.1199999999999999E-5</v>
      </c>
      <c r="M83" s="46">
        <v>1.29E-5</v>
      </c>
    </row>
    <row r="84" spans="1:13" ht="14.25" customHeight="1">
      <c r="A84" s="40" t="s">
        <v>316</v>
      </c>
      <c r="B84" s="44">
        <v>3.9700000000000001E-6</v>
      </c>
      <c r="C84" s="45">
        <v>5.8000000000000004E-6</v>
      </c>
      <c r="D84" s="45">
        <v>6.8000000000000001E-6</v>
      </c>
      <c r="E84" s="45">
        <v>0</v>
      </c>
      <c r="F84" s="45">
        <v>0</v>
      </c>
      <c r="G84" s="45">
        <v>3.2499999999999997E-5</v>
      </c>
      <c r="H84" s="45">
        <v>7.1199999999999996E-6</v>
      </c>
      <c r="I84" s="45">
        <v>0</v>
      </c>
      <c r="J84" s="45">
        <v>1.08E-5</v>
      </c>
      <c r="K84" s="45">
        <v>1.11E-5</v>
      </c>
      <c r="L84" s="45">
        <v>6.8800000000000002E-6</v>
      </c>
      <c r="M84" s="46">
        <v>8.2900000000000002E-6</v>
      </c>
    </row>
    <row r="85" spans="1:13" ht="14.25" customHeight="1">
      <c r="A85" s="40" t="s">
        <v>317</v>
      </c>
      <c r="B85" s="44">
        <v>5.3399999999999997E-6</v>
      </c>
      <c r="C85" s="45">
        <v>4.1500000000000001E-6</v>
      </c>
      <c r="D85" s="45">
        <v>2.1100000000000001E-6</v>
      </c>
      <c r="E85" s="45">
        <v>7.3799999999999996E-6</v>
      </c>
      <c r="F85" s="45">
        <v>0</v>
      </c>
      <c r="G85" s="45">
        <v>5.6799999999999998E-6</v>
      </c>
      <c r="H85" s="45">
        <v>3.2499999999999997E-5</v>
      </c>
      <c r="I85" s="45">
        <v>1.1E-5</v>
      </c>
      <c r="J85" s="45">
        <v>3.3000000000000002E-6</v>
      </c>
      <c r="K85" s="45">
        <v>5.1499999999999998E-6</v>
      </c>
      <c r="L85" s="45">
        <v>2.6400000000000001E-6</v>
      </c>
      <c r="M85" s="46">
        <v>6.4799999999999998E-6</v>
      </c>
    </row>
    <row r="86" spans="1:13" ht="14.25" customHeight="1">
      <c r="A86" s="40" t="s">
        <v>318</v>
      </c>
      <c r="B86" s="44">
        <v>3.5999999999999999E-7</v>
      </c>
      <c r="C86" s="45">
        <v>4.7500000000000003E-6</v>
      </c>
      <c r="D86" s="45">
        <v>1.6200000000000001E-5</v>
      </c>
      <c r="E86" s="45">
        <v>2.79E-6</v>
      </c>
      <c r="F86" s="45">
        <v>7.9300000000000003E-6</v>
      </c>
      <c r="G86" s="45">
        <v>4.4499999999999997E-6</v>
      </c>
      <c r="H86" s="45">
        <v>2.6299999999999999E-5</v>
      </c>
      <c r="I86" s="45">
        <v>1.03E-5</v>
      </c>
      <c r="J86" s="45">
        <v>8.5499999999999995E-6</v>
      </c>
      <c r="K86" s="45">
        <v>5.8900000000000004E-6</v>
      </c>
      <c r="L86" s="45">
        <v>3.01E-6</v>
      </c>
      <c r="M86" s="46">
        <v>3.9500000000000003E-6</v>
      </c>
    </row>
    <row r="87" spans="1:13" ht="14.25" customHeight="1">
      <c r="A87" s="40" t="s">
        <v>319</v>
      </c>
      <c r="B87" s="44">
        <v>4.5000000000000001E-6</v>
      </c>
      <c r="C87" s="45">
        <v>4.5299999999999998E-6</v>
      </c>
      <c r="D87" s="45">
        <v>2.8700000000000001E-6</v>
      </c>
      <c r="E87" s="45">
        <v>9.6700000000000006E-6</v>
      </c>
      <c r="F87" s="45">
        <v>4.5199999999999999E-6</v>
      </c>
      <c r="G87" s="45">
        <v>1.2E-5</v>
      </c>
      <c r="H87" s="45">
        <v>2.1399999999999998E-5</v>
      </c>
      <c r="I87" s="45">
        <v>5.6000000000000004E-7</v>
      </c>
      <c r="J87" s="45">
        <v>5.5899999999999998E-6</v>
      </c>
      <c r="K87" s="45">
        <v>1.06E-5</v>
      </c>
      <c r="L87" s="45">
        <v>1.19E-5</v>
      </c>
      <c r="M87" s="46">
        <v>2.2299999999999998E-6</v>
      </c>
    </row>
    <row r="88" spans="1:13" ht="14.25" customHeight="1">
      <c r="A88" s="40" t="s">
        <v>320</v>
      </c>
      <c r="B88" s="44">
        <v>4.6800000000000001E-6</v>
      </c>
      <c r="C88" s="45">
        <v>7.3200000000000002E-6</v>
      </c>
      <c r="D88" s="45">
        <v>8.49E-6</v>
      </c>
      <c r="E88" s="45">
        <v>3.3099999999999998E-5</v>
      </c>
      <c r="F88" s="45">
        <v>0</v>
      </c>
      <c r="G88" s="45">
        <v>1.7799999999999999E-5</v>
      </c>
      <c r="H88" s="45">
        <v>2.8900000000000001E-5</v>
      </c>
      <c r="I88" s="45">
        <v>0</v>
      </c>
      <c r="J88" s="45">
        <v>8.1799999999999996E-6</v>
      </c>
      <c r="K88" s="45">
        <v>1.49E-5</v>
      </c>
      <c r="L88" s="45">
        <v>7.1199999999999996E-6</v>
      </c>
      <c r="M88" s="46">
        <v>1.37E-6</v>
      </c>
    </row>
    <row r="89" spans="1:13" ht="14.25" customHeight="1">
      <c r="A89" s="40" t="s">
        <v>321</v>
      </c>
      <c r="B89" s="44">
        <v>9.9399999999999997E-6</v>
      </c>
      <c r="C89" s="45">
        <v>9.4399999999999994E-6</v>
      </c>
      <c r="D89" s="45">
        <v>6.46E-6</v>
      </c>
      <c r="E89" s="45">
        <v>2.09E-5</v>
      </c>
      <c r="F89" s="45">
        <v>0</v>
      </c>
      <c r="G89" s="45">
        <v>9.7200000000000001E-6</v>
      </c>
      <c r="H89" s="45">
        <v>2.8E-5</v>
      </c>
      <c r="I89" s="45">
        <v>1.26E-5</v>
      </c>
      <c r="J89" s="45">
        <v>0</v>
      </c>
      <c r="K89" s="45">
        <v>1.75E-6</v>
      </c>
      <c r="L89" s="45">
        <v>5.5600000000000001E-6</v>
      </c>
      <c r="M89" s="46">
        <v>0</v>
      </c>
    </row>
    <row r="90" spans="1:13" ht="14.25" customHeight="1">
      <c r="A90" s="40" t="s">
        <v>322</v>
      </c>
      <c r="B90" s="44">
        <v>8.0299999999999994E-6</v>
      </c>
      <c r="C90" s="45">
        <v>5.9599999999999997E-6</v>
      </c>
      <c r="D90" s="45">
        <v>1.5999999999999999E-5</v>
      </c>
      <c r="E90" s="45">
        <v>9.9599999999999995E-6</v>
      </c>
      <c r="F90" s="45">
        <v>6.6699999999999997E-6</v>
      </c>
      <c r="G90" s="45">
        <v>3.8600000000000003E-6</v>
      </c>
      <c r="H90" s="45">
        <v>4.3900000000000003E-5</v>
      </c>
      <c r="I90" s="45">
        <v>2.4700000000000001E-6</v>
      </c>
      <c r="J90" s="45">
        <v>6.3400000000000003E-6</v>
      </c>
      <c r="K90" s="45">
        <v>6.1399999999999997E-6</v>
      </c>
      <c r="L90" s="45">
        <v>2.96E-6</v>
      </c>
      <c r="M90" s="46">
        <v>8.5499999999999997E-7</v>
      </c>
    </row>
    <row r="91" spans="1:13" ht="14.25" customHeight="1">
      <c r="A91" s="40" t="s">
        <v>323</v>
      </c>
      <c r="B91" s="44">
        <v>1.79E-6</v>
      </c>
      <c r="C91" s="45">
        <v>1.27E-5</v>
      </c>
      <c r="D91" s="45">
        <v>4.8500000000000002E-6</v>
      </c>
      <c r="E91" s="45">
        <v>1.5E-5</v>
      </c>
      <c r="F91" s="45">
        <v>6.2400000000000004E-6</v>
      </c>
      <c r="G91" s="45">
        <v>5.7799999999999997E-6</v>
      </c>
      <c r="H91" s="45">
        <v>4.0099999999999999E-5</v>
      </c>
      <c r="I91" s="45">
        <v>7.3699999999999997E-6</v>
      </c>
      <c r="J91" s="45">
        <v>7.9000000000000006E-6</v>
      </c>
      <c r="K91" s="45">
        <v>4.69E-6</v>
      </c>
      <c r="L91" s="45">
        <v>2.5100000000000001E-6</v>
      </c>
      <c r="M91" s="46">
        <v>1.2099999999999999E-5</v>
      </c>
    </row>
    <row r="92" spans="1:13" ht="14.25" customHeight="1">
      <c r="A92" s="40" t="s">
        <v>324</v>
      </c>
      <c r="B92" s="44">
        <v>4.1300000000000003E-6</v>
      </c>
      <c r="C92" s="45">
        <v>7.8099999999999998E-6</v>
      </c>
      <c r="D92" s="45">
        <v>1.03E-5</v>
      </c>
      <c r="E92" s="45">
        <v>7.8599999999999993E-6</v>
      </c>
      <c r="F92" s="45">
        <v>5.6999999999999996E-6</v>
      </c>
      <c r="G92" s="45">
        <v>5.8200000000000002E-6</v>
      </c>
      <c r="H92" s="45">
        <v>3.43E-5</v>
      </c>
      <c r="I92" s="45">
        <v>1.64E-6</v>
      </c>
      <c r="J92" s="45">
        <v>6.6800000000000004E-6</v>
      </c>
      <c r="K92" s="45">
        <v>4.9200000000000003E-6</v>
      </c>
      <c r="L92" s="45">
        <v>7.4699999999999996E-6</v>
      </c>
      <c r="M92" s="46">
        <v>8.9299999999999992E-6</v>
      </c>
    </row>
    <row r="93" spans="1:13" ht="14.25" customHeight="1">
      <c r="A93" s="40" t="s">
        <v>325</v>
      </c>
      <c r="B93" s="44">
        <v>3.9199999999999997E-6</v>
      </c>
      <c r="C93" s="45">
        <v>1.95E-5</v>
      </c>
      <c r="D93" s="45">
        <v>9.5699999999999999E-6</v>
      </c>
      <c r="E93" s="45">
        <v>6.1800000000000001E-6</v>
      </c>
      <c r="F93" s="45">
        <v>4.7899999999999999E-6</v>
      </c>
      <c r="G93" s="45">
        <v>1.6900000000000001E-5</v>
      </c>
      <c r="H93" s="45">
        <v>2.51E-5</v>
      </c>
      <c r="I93" s="45">
        <v>1.0499999999999999E-6</v>
      </c>
      <c r="J93" s="45">
        <v>3.5899999999999999E-6</v>
      </c>
      <c r="K93" s="45">
        <v>4.7700000000000001E-6</v>
      </c>
      <c r="L93" s="45">
        <v>3.8099999999999999E-6</v>
      </c>
      <c r="M93" s="46">
        <v>2.08E-6</v>
      </c>
    </row>
    <row r="94" spans="1:13" ht="14.25" customHeight="1">
      <c r="A94" s="40" t="s">
        <v>326</v>
      </c>
      <c r="B94" s="47">
        <v>7.1900000000000002E-7</v>
      </c>
      <c r="C94" s="48">
        <v>2.3600000000000001E-5</v>
      </c>
      <c r="D94" s="48">
        <v>4.6E-6</v>
      </c>
      <c r="E94" s="48">
        <v>2.1500000000000002E-6</v>
      </c>
      <c r="F94" s="48">
        <v>6.02E-6</v>
      </c>
      <c r="G94" s="48">
        <v>8.1899999999999995E-6</v>
      </c>
      <c r="H94" s="48">
        <v>4.46E-5</v>
      </c>
      <c r="I94" s="48">
        <v>1.9999999999999999E-6</v>
      </c>
      <c r="J94" s="48">
        <v>3.8399999999999997E-6</v>
      </c>
      <c r="K94" s="48">
        <v>6.5899999999999996E-7</v>
      </c>
      <c r="L94" s="48">
        <v>3.05E-6</v>
      </c>
      <c r="M94" s="49">
        <v>4.4099999999999999E-7</v>
      </c>
    </row>
    <row r="95" spans="1:13" ht="14.25" customHeight="1">
      <c r="A95" s="40"/>
      <c r="B95" s="45"/>
      <c r="C95" s="45"/>
      <c r="D95" s="45"/>
      <c r="E95" s="45"/>
      <c r="F95" s="45"/>
      <c r="G95" s="45"/>
      <c r="H95" s="45"/>
      <c r="I95" s="45"/>
      <c r="J95" s="45"/>
      <c r="K95" s="45"/>
      <c r="L95" s="45"/>
      <c r="M95" s="45"/>
    </row>
    <row r="96" spans="1:13" ht="14.25" customHeight="1">
      <c r="A96" s="38" t="s">
        <v>331</v>
      </c>
      <c r="B96" s="39"/>
      <c r="C96" s="39"/>
      <c r="D96" s="39"/>
      <c r="E96" s="39"/>
      <c r="F96" s="39"/>
      <c r="G96" s="39"/>
      <c r="H96" s="39"/>
      <c r="I96" s="39"/>
      <c r="J96" s="39"/>
      <c r="K96" s="39"/>
      <c r="L96" s="39"/>
      <c r="M96" s="39"/>
    </row>
    <row r="97" spans="1:13" ht="14.25" customHeight="1">
      <c r="A97" s="40"/>
      <c r="B97" s="40" t="s">
        <v>299</v>
      </c>
      <c r="C97" s="40" t="s">
        <v>300</v>
      </c>
      <c r="D97" s="40" t="s">
        <v>301</v>
      </c>
      <c r="E97" s="40" t="s">
        <v>302</v>
      </c>
      <c r="F97" s="40" t="s">
        <v>303</v>
      </c>
      <c r="G97" s="40" t="s">
        <v>304</v>
      </c>
      <c r="H97" s="40" t="s">
        <v>305</v>
      </c>
      <c r="I97" s="40" t="s">
        <v>306</v>
      </c>
      <c r="J97" s="40" t="s">
        <v>307</v>
      </c>
      <c r="K97" s="40" t="s">
        <v>308</v>
      </c>
      <c r="L97" s="40" t="s">
        <v>309</v>
      </c>
      <c r="M97" s="40" t="s">
        <v>310</v>
      </c>
    </row>
    <row r="98" spans="1:13" ht="14.25" customHeight="1">
      <c r="A98" s="40" t="s">
        <v>311</v>
      </c>
      <c r="B98" s="41">
        <v>3.14E-6</v>
      </c>
      <c r="C98" s="42">
        <v>2.7999999999999999E-6</v>
      </c>
      <c r="D98" s="42">
        <v>2.0600000000000002E-6</v>
      </c>
      <c r="E98" s="42">
        <v>1.0200000000000001E-5</v>
      </c>
      <c r="F98" s="42">
        <v>3.6399999999999999E-6</v>
      </c>
      <c r="G98" s="42">
        <v>3.89E-6</v>
      </c>
      <c r="H98" s="42">
        <v>5.8E-5</v>
      </c>
      <c r="I98" s="42">
        <v>2.05E-5</v>
      </c>
      <c r="J98" s="42">
        <v>5.13E-6</v>
      </c>
      <c r="K98" s="42">
        <v>2.2699999999999999E-6</v>
      </c>
      <c r="L98" s="42">
        <v>9.3700000000000001E-6</v>
      </c>
      <c r="M98" s="43">
        <v>1.02E-6</v>
      </c>
    </row>
    <row r="99" spans="1:13" ht="14.25" customHeight="1">
      <c r="A99" s="40" t="s">
        <v>312</v>
      </c>
      <c r="B99" s="44">
        <v>6.2899999999999999E-6</v>
      </c>
      <c r="C99" s="45">
        <v>2.26E-6</v>
      </c>
      <c r="D99" s="45">
        <v>6.8700000000000003E-6</v>
      </c>
      <c r="E99" s="45">
        <v>4.5800000000000002E-6</v>
      </c>
      <c r="F99" s="45">
        <v>6.99E-7</v>
      </c>
      <c r="G99" s="45">
        <v>4.6700000000000002E-6</v>
      </c>
      <c r="H99" s="45">
        <v>7.2899999999999997E-5</v>
      </c>
      <c r="I99" s="45">
        <v>3.6100000000000002E-6</v>
      </c>
      <c r="J99" s="45">
        <v>4.01E-7</v>
      </c>
      <c r="K99" s="45">
        <v>8.5299999999999996E-6</v>
      </c>
      <c r="L99" s="45">
        <v>8.1499999999999999E-6</v>
      </c>
      <c r="M99" s="46">
        <v>0</v>
      </c>
    </row>
    <row r="100" spans="1:13" ht="14.25" customHeight="1">
      <c r="A100" s="40" t="s">
        <v>313</v>
      </c>
      <c r="B100" s="44">
        <v>5.2299999999999999E-6</v>
      </c>
      <c r="C100" s="45">
        <v>1.08E-5</v>
      </c>
      <c r="D100" s="45">
        <v>6.7999999999999995E-7</v>
      </c>
      <c r="E100" s="45">
        <v>7.0500000000000003E-6</v>
      </c>
      <c r="F100" s="45">
        <v>1.53E-6</v>
      </c>
      <c r="G100" s="45">
        <v>5.6999999999999996E-6</v>
      </c>
      <c r="H100" s="45">
        <v>4.35E-5</v>
      </c>
      <c r="I100" s="45">
        <v>6.5200000000000003E-6</v>
      </c>
      <c r="J100" s="45">
        <v>3.6200000000000001E-6</v>
      </c>
      <c r="K100" s="45">
        <v>1.08E-6</v>
      </c>
      <c r="L100" s="45">
        <v>4.7400000000000004E-6</v>
      </c>
      <c r="M100" s="46">
        <v>1.2699999999999999E-6</v>
      </c>
    </row>
    <row r="101" spans="1:13" ht="14.25" customHeight="1">
      <c r="A101" s="40" t="s">
        <v>314</v>
      </c>
      <c r="B101" s="44">
        <v>2.92E-6</v>
      </c>
      <c r="C101" s="45">
        <v>4.2100000000000003E-6</v>
      </c>
      <c r="D101" s="45">
        <v>3.4000000000000001E-6</v>
      </c>
      <c r="E101" s="45">
        <v>2.9900000000000002E-6</v>
      </c>
      <c r="F101" s="45">
        <v>2.4600000000000002E-6</v>
      </c>
      <c r="G101" s="45">
        <v>4.8400000000000002E-6</v>
      </c>
      <c r="H101" s="45">
        <v>5.7299999999999997E-5</v>
      </c>
      <c r="I101" s="45">
        <v>5.6799999999999998E-6</v>
      </c>
      <c r="J101" s="45">
        <v>6.0000000000000002E-6</v>
      </c>
      <c r="K101" s="45">
        <v>3.9400000000000004E-6</v>
      </c>
      <c r="L101" s="45">
        <v>5.9399999999999999E-6</v>
      </c>
      <c r="M101" s="46">
        <v>1.72E-6</v>
      </c>
    </row>
    <row r="102" spans="1:13" ht="14.25" customHeight="1">
      <c r="A102" s="40" t="s">
        <v>315</v>
      </c>
      <c r="B102" s="44">
        <v>7.8900000000000007E-6</v>
      </c>
      <c r="C102" s="45">
        <v>5.0200000000000002E-6</v>
      </c>
      <c r="D102" s="45">
        <v>2.2900000000000001E-5</v>
      </c>
      <c r="E102" s="45">
        <v>9.3700000000000001E-6</v>
      </c>
      <c r="F102" s="45">
        <v>3.45E-6</v>
      </c>
      <c r="G102" s="45">
        <v>6.6800000000000004E-6</v>
      </c>
      <c r="H102" s="45">
        <v>4.0399999999999999E-5</v>
      </c>
      <c r="I102" s="45">
        <v>4.4000000000000002E-6</v>
      </c>
      <c r="J102" s="45">
        <v>4.6E-6</v>
      </c>
      <c r="K102" s="45">
        <v>2.5399999999999998E-6</v>
      </c>
      <c r="L102" s="45">
        <v>1.2999999999999999E-5</v>
      </c>
      <c r="M102" s="46">
        <v>5.5600000000000001E-6</v>
      </c>
    </row>
    <row r="103" spans="1:13" ht="14.25" customHeight="1">
      <c r="A103" s="40" t="s">
        <v>316</v>
      </c>
      <c r="B103" s="44">
        <v>4.3499999999999999E-6</v>
      </c>
      <c r="C103" s="45">
        <v>1.03E-5</v>
      </c>
      <c r="D103" s="45">
        <v>1.0699999999999999E-5</v>
      </c>
      <c r="E103" s="45">
        <v>7.2400000000000001E-6</v>
      </c>
      <c r="F103" s="45">
        <v>0</v>
      </c>
      <c r="G103" s="45">
        <v>8.5199999999999997E-6</v>
      </c>
      <c r="H103" s="45">
        <v>4.9799999999999998E-5</v>
      </c>
      <c r="I103" s="45">
        <v>4.7100000000000002E-7</v>
      </c>
      <c r="J103" s="45">
        <v>2.37E-5</v>
      </c>
      <c r="K103" s="45">
        <v>3.41E-6</v>
      </c>
      <c r="L103" s="45">
        <v>1.88E-5</v>
      </c>
      <c r="M103" s="46">
        <v>6.8000000000000001E-6</v>
      </c>
    </row>
    <row r="104" spans="1:13" ht="14.25" customHeight="1">
      <c r="A104" s="40" t="s">
        <v>317</v>
      </c>
      <c r="B104" s="44">
        <v>1.0000000000000001E-5</v>
      </c>
      <c r="C104" s="45">
        <v>1.42E-5</v>
      </c>
      <c r="D104" s="45">
        <v>2.17E-6</v>
      </c>
      <c r="E104" s="45">
        <v>1.4E-5</v>
      </c>
      <c r="F104" s="45">
        <v>8.3099999999999996E-7</v>
      </c>
      <c r="G104" s="45">
        <v>9.0599999999999997E-6</v>
      </c>
      <c r="H104" s="45">
        <v>2.9899999999999998E-5</v>
      </c>
      <c r="I104" s="45">
        <v>2.92E-6</v>
      </c>
      <c r="J104" s="45">
        <v>4.7999999999999998E-6</v>
      </c>
      <c r="K104" s="45">
        <v>1.5099999999999999E-6</v>
      </c>
      <c r="L104" s="45">
        <v>8.9900000000000003E-6</v>
      </c>
      <c r="M104" s="46">
        <v>3.7299999999999999E-6</v>
      </c>
    </row>
    <row r="105" spans="1:13" ht="14.25" customHeight="1">
      <c r="A105" s="40" t="s">
        <v>318</v>
      </c>
      <c r="B105" s="44">
        <v>4.2100000000000003E-6</v>
      </c>
      <c r="C105" s="45">
        <v>1.06E-5</v>
      </c>
      <c r="D105" s="45">
        <v>9.0399999999999998E-6</v>
      </c>
      <c r="E105" s="45">
        <v>2.65E-6</v>
      </c>
      <c r="F105" s="45">
        <v>2.9799999999999998E-6</v>
      </c>
      <c r="G105" s="45">
        <v>6.5799999999999997E-6</v>
      </c>
      <c r="H105" s="45">
        <v>4.4299999999999999E-5</v>
      </c>
      <c r="I105" s="45">
        <v>9.73E-6</v>
      </c>
      <c r="J105" s="45">
        <v>5.0000000000000004E-6</v>
      </c>
      <c r="K105" s="45">
        <v>2.3700000000000002E-6</v>
      </c>
      <c r="L105" s="45">
        <v>2.61E-6</v>
      </c>
      <c r="M105" s="46">
        <v>7.2699999999999999E-6</v>
      </c>
    </row>
    <row r="106" spans="1:13" ht="14.25" customHeight="1">
      <c r="A106" s="40" t="s">
        <v>319</v>
      </c>
      <c r="B106" s="44">
        <v>2.5900000000000002E-6</v>
      </c>
      <c r="C106" s="45">
        <v>5.4E-6</v>
      </c>
      <c r="D106" s="45">
        <v>2.6199999999999999E-6</v>
      </c>
      <c r="E106" s="45">
        <v>1.06E-5</v>
      </c>
      <c r="F106" s="45">
        <v>3.46E-7</v>
      </c>
      <c r="G106" s="45">
        <v>3.4000000000000001E-6</v>
      </c>
      <c r="H106" s="45">
        <v>2.8399999999999999E-5</v>
      </c>
      <c r="I106" s="45">
        <v>1.5200000000000001E-6</v>
      </c>
      <c r="J106" s="45">
        <v>1.4899999999999999E-6</v>
      </c>
      <c r="K106" s="45">
        <v>6.9199999999999998E-6</v>
      </c>
      <c r="L106" s="45">
        <v>1.03E-5</v>
      </c>
      <c r="M106" s="46">
        <v>4.5499999999999996E-6</v>
      </c>
    </row>
    <row r="107" spans="1:13" ht="14.25" customHeight="1">
      <c r="A107" s="40" t="s">
        <v>320</v>
      </c>
      <c r="B107" s="44">
        <v>2.5399999999999998E-6</v>
      </c>
      <c r="C107" s="45">
        <v>1.1E-5</v>
      </c>
      <c r="D107" s="45">
        <v>7.2200000000000003E-6</v>
      </c>
      <c r="E107" s="45">
        <v>4.8199999999999996E-6</v>
      </c>
      <c r="F107" s="45">
        <v>7.3499999999999995E-7</v>
      </c>
      <c r="G107" s="45">
        <v>6.6800000000000004E-6</v>
      </c>
      <c r="H107" s="45">
        <v>2.2200000000000001E-5</v>
      </c>
      <c r="I107" s="45">
        <v>3.5600000000000001E-7</v>
      </c>
      <c r="J107" s="45">
        <v>3.1699999999999999E-7</v>
      </c>
      <c r="K107" s="45">
        <v>7.7500000000000003E-6</v>
      </c>
      <c r="L107" s="45">
        <v>1.01E-5</v>
      </c>
      <c r="M107" s="46">
        <v>4.2100000000000003E-6</v>
      </c>
    </row>
    <row r="108" spans="1:13" ht="14.25" customHeight="1">
      <c r="A108" s="40" t="s">
        <v>321</v>
      </c>
      <c r="B108" s="44">
        <v>1.03E-5</v>
      </c>
      <c r="C108" s="45">
        <v>1.63E-5</v>
      </c>
      <c r="D108" s="45">
        <v>5.3299999999999998E-6</v>
      </c>
      <c r="E108" s="45">
        <v>1.4399999999999999E-5</v>
      </c>
      <c r="F108" s="45">
        <v>0</v>
      </c>
      <c r="G108" s="45">
        <v>6.2899999999999999E-6</v>
      </c>
      <c r="H108" s="45">
        <v>3.5099999999999999E-5</v>
      </c>
      <c r="I108" s="45">
        <v>1.44E-6</v>
      </c>
      <c r="J108" s="45">
        <v>2.4900000000000002E-7</v>
      </c>
      <c r="K108" s="45">
        <v>4.1500000000000001E-8</v>
      </c>
      <c r="L108" s="45">
        <v>9.1600000000000004E-6</v>
      </c>
      <c r="M108" s="46">
        <v>1.26E-6</v>
      </c>
    </row>
    <row r="109" spans="1:13" ht="14.25" customHeight="1">
      <c r="A109" s="40" t="s">
        <v>322</v>
      </c>
      <c r="B109" s="44">
        <v>2.0999999999999998E-6</v>
      </c>
      <c r="C109" s="45">
        <v>1.2099999999999999E-5</v>
      </c>
      <c r="D109" s="45">
        <v>5.84E-6</v>
      </c>
      <c r="E109" s="45">
        <v>5.6300000000000003E-6</v>
      </c>
      <c r="F109" s="45">
        <v>1.22E-6</v>
      </c>
      <c r="G109" s="45">
        <v>3.2899999999999998E-6</v>
      </c>
      <c r="H109" s="45">
        <v>3.9900000000000001E-5</v>
      </c>
      <c r="I109" s="45">
        <v>1.4899999999999999E-6</v>
      </c>
      <c r="J109" s="45">
        <v>3.6799999999999999E-6</v>
      </c>
      <c r="K109" s="45">
        <v>7.5000000000000002E-6</v>
      </c>
      <c r="L109" s="45">
        <v>3.6399999999999999E-6</v>
      </c>
      <c r="M109" s="46">
        <v>6.3400000000000003E-6</v>
      </c>
    </row>
    <row r="110" spans="1:13" ht="14.25" customHeight="1">
      <c r="A110" s="40" t="s">
        <v>323</v>
      </c>
      <c r="B110" s="44">
        <v>4.8500000000000002E-6</v>
      </c>
      <c r="C110" s="45">
        <v>1.2099999999999999E-5</v>
      </c>
      <c r="D110" s="45">
        <v>5.3000000000000001E-6</v>
      </c>
      <c r="E110" s="45">
        <v>1.2300000000000001E-5</v>
      </c>
      <c r="F110" s="45">
        <v>7.17E-6</v>
      </c>
      <c r="G110" s="45">
        <v>6.3600000000000001E-6</v>
      </c>
      <c r="H110" s="45">
        <v>4.8600000000000002E-5</v>
      </c>
      <c r="I110" s="45">
        <v>2.1100000000000001E-6</v>
      </c>
      <c r="J110" s="45">
        <v>6.46E-6</v>
      </c>
      <c r="K110" s="45">
        <v>3.27E-6</v>
      </c>
      <c r="L110" s="45">
        <v>9.9799999999999993E-6</v>
      </c>
      <c r="M110" s="46">
        <v>4.8300000000000003E-6</v>
      </c>
    </row>
    <row r="111" spans="1:13" ht="14.25" customHeight="1">
      <c r="A111" s="40" t="s">
        <v>324</v>
      </c>
      <c r="B111" s="44">
        <v>5.0300000000000001E-6</v>
      </c>
      <c r="C111" s="45">
        <v>9.8600000000000005E-6</v>
      </c>
      <c r="D111" s="45">
        <v>9.7100000000000002E-6</v>
      </c>
      <c r="E111" s="45">
        <v>5.2100000000000001E-6</v>
      </c>
      <c r="F111" s="45">
        <v>1.9800000000000001E-6</v>
      </c>
      <c r="G111" s="45">
        <v>1.04E-5</v>
      </c>
      <c r="H111" s="45">
        <v>5.4700000000000001E-5</v>
      </c>
      <c r="I111" s="45">
        <v>2.88E-6</v>
      </c>
      <c r="J111" s="45">
        <v>2.7300000000000001E-6</v>
      </c>
      <c r="K111" s="45">
        <v>4.5199999999999999E-6</v>
      </c>
      <c r="L111" s="45">
        <v>1.5500000000000001E-5</v>
      </c>
      <c r="M111" s="46">
        <v>3.3400000000000002E-6</v>
      </c>
    </row>
    <row r="112" spans="1:13" ht="14.25" customHeight="1">
      <c r="A112" s="40" t="s">
        <v>325</v>
      </c>
      <c r="B112" s="44">
        <v>1.0699999999999999E-5</v>
      </c>
      <c r="C112" s="45">
        <v>3.8600000000000003E-5</v>
      </c>
      <c r="D112" s="45">
        <v>4.2599999999999999E-6</v>
      </c>
      <c r="E112" s="45">
        <v>6.9399999999999996E-6</v>
      </c>
      <c r="F112" s="45">
        <v>1.37E-6</v>
      </c>
      <c r="G112" s="45">
        <v>1.8600000000000001E-5</v>
      </c>
      <c r="H112" s="45">
        <v>3.3800000000000002E-5</v>
      </c>
      <c r="I112" s="45">
        <v>1.2500000000000001E-6</v>
      </c>
      <c r="J112" s="45">
        <v>8.6799999999999999E-6</v>
      </c>
      <c r="K112" s="45">
        <v>9.9099999999999991E-7</v>
      </c>
      <c r="L112" s="45">
        <v>2.5900000000000002E-6</v>
      </c>
      <c r="M112" s="46">
        <v>4.1500000000000001E-6</v>
      </c>
    </row>
    <row r="113" spans="1:13" ht="14.25" customHeight="1">
      <c r="A113" s="40" t="s">
        <v>326</v>
      </c>
      <c r="B113" s="47">
        <v>3.2399999999999999E-6</v>
      </c>
      <c r="C113" s="48">
        <v>2.6400000000000001E-5</v>
      </c>
      <c r="D113" s="48">
        <v>5.3199999999999999E-6</v>
      </c>
      <c r="E113" s="48">
        <v>4.0799999999999999E-6</v>
      </c>
      <c r="F113" s="48">
        <v>5.3600000000000004E-6</v>
      </c>
      <c r="G113" s="48">
        <v>7.2400000000000001E-6</v>
      </c>
      <c r="H113" s="48">
        <v>4.6400000000000003E-5</v>
      </c>
      <c r="I113" s="48">
        <v>5.1900000000000003E-6</v>
      </c>
      <c r="J113" s="48">
        <v>4.6700000000000002E-6</v>
      </c>
      <c r="K113" s="48">
        <v>1.6199999999999999E-6</v>
      </c>
      <c r="L113" s="48">
        <v>2.5399999999999998E-6</v>
      </c>
      <c r="M113" s="49">
        <v>2.6599999999999999E-6</v>
      </c>
    </row>
    <row r="114" spans="1:13" ht="14.25" customHeight="1">
      <c r="A114" s="40"/>
      <c r="B114" s="45"/>
      <c r="C114" s="45"/>
      <c r="D114" s="45"/>
      <c r="E114" s="45"/>
      <c r="F114" s="45"/>
      <c r="G114" s="45"/>
      <c r="H114" s="45"/>
      <c r="I114" s="45"/>
      <c r="J114" s="45"/>
      <c r="K114" s="45"/>
      <c r="L114" s="45"/>
      <c r="M114" s="45"/>
    </row>
    <row r="115" spans="1:13" ht="14.25" customHeight="1">
      <c r="A115" s="38" t="s">
        <v>332</v>
      </c>
      <c r="B115" s="39"/>
      <c r="C115" s="39"/>
      <c r="D115" s="39"/>
      <c r="E115" s="39"/>
      <c r="F115" s="39"/>
      <c r="G115" s="39"/>
      <c r="H115" s="39"/>
      <c r="I115" s="39"/>
      <c r="J115" s="39"/>
      <c r="K115" s="39"/>
      <c r="L115" s="39"/>
      <c r="M115" s="39"/>
    </row>
    <row r="116" spans="1:13" ht="14.25" customHeight="1">
      <c r="A116" s="40"/>
      <c r="B116" s="40" t="s">
        <v>299</v>
      </c>
      <c r="C116" s="40" t="s">
        <v>300</v>
      </c>
      <c r="D116" s="40" t="s">
        <v>301</v>
      </c>
      <c r="E116" s="40" t="s">
        <v>302</v>
      </c>
      <c r="F116" s="40" t="s">
        <v>303</v>
      </c>
      <c r="G116" s="40" t="s">
        <v>304</v>
      </c>
      <c r="H116" s="40" t="s">
        <v>305</v>
      </c>
      <c r="I116" s="40" t="s">
        <v>306</v>
      </c>
      <c r="J116" s="40" t="s">
        <v>307</v>
      </c>
      <c r="K116" s="40" t="s">
        <v>308</v>
      </c>
      <c r="L116" s="40" t="s">
        <v>309</v>
      </c>
      <c r="M116" s="40" t="s">
        <v>310</v>
      </c>
    </row>
    <row r="117" spans="1:13" ht="14.25" customHeight="1">
      <c r="A117" s="40" t="s">
        <v>311</v>
      </c>
      <c r="B117" s="41">
        <v>4.4700000000000004E-6</v>
      </c>
      <c r="C117" s="42">
        <v>4.2400000000000001E-6</v>
      </c>
      <c r="D117" s="42">
        <v>1.81E-6</v>
      </c>
      <c r="E117" s="42">
        <v>9.8600000000000005E-6</v>
      </c>
      <c r="F117" s="42">
        <v>5.04E-6</v>
      </c>
      <c r="G117" s="42">
        <v>6.5400000000000001E-6</v>
      </c>
      <c r="H117" s="42">
        <v>9.6199999999999994E-5</v>
      </c>
      <c r="I117" s="42">
        <v>4.7600000000000002E-6</v>
      </c>
      <c r="J117" s="42">
        <v>4.8799999999999999E-6</v>
      </c>
      <c r="K117" s="42">
        <v>3.2799999999999999E-6</v>
      </c>
      <c r="L117" s="42">
        <v>1.8700000000000001E-5</v>
      </c>
      <c r="M117" s="43">
        <v>4.0300000000000004E-6</v>
      </c>
    </row>
    <row r="118" spans="1:13" ht="14.25" customHeight="1">
      <c r="A118" s="40" t="s">
        <v>312</v>
      </c>
      <c r="B118" s="44">
        <v>4.07E-6</v>
      </c>
      <c r="C118" s="45">
        <v>5.3199999999999999E-6</v>
      </c>
      <c r="D118" s="45">
        <v>1.1E-5</v>
      </c>
      <c r="E118" s="45">
        <v>8.85E-6</v>
      </c>
      <c r="F118" s="45">
        <v>1.88E-6</v>
      </c>
      <c r="G118" s="45">
        <v>7.5800000000000003E-6</v>
      </c>
      <c r="H118" s="45">
        <v>1.59696E-4</v>
      </c>
      <c r="I118" s="45">
        <v>2.79E-6</v>
      </c>
      <c r="J118" s="45">
        <v>6.99E-6</v>
      </c>
      <c r="K118" s="45">
        <v>3.7500000000000001E-6</v>
      </c>
      <c r="L118" s="45">
        <v>9.6399999999999992E-6</v>
      </c>
      <c r="M118" s="46">
        <v>1.59E-6</v>
      </c>
    </row>
    <row r="119" spans="1:13" ht="14.25" customHeight="1">
      <c r="A119" s="40" t="s">
        <v>313</v>
      </c>
      <c r="B119" s="44">
        <v>7.9500000000000001E-6</v>
      </c>
      <c r="C119" s="45">
        <v>1.26E-5</v>
      </c>
      <c r="D119" s="45">
        <v>3.3799999999999998E-6</v>
      </c>
      <c r="E119" s="45">
        <v>1.0499999999999999E-5</v>
      </c>
      <c r="F119" s="45">
        <v>1.3799999999999999E-6</v>
      </c>
      <c r="G119" s="45">
        <v>5.1599999999999997E-6</v>
      </c>
      <c r="H119" s="45">
        <v>8.4300000000000003E-5</v>
      </c>
      <c r="I119" s="45">
        <v>1.8500000000000001E-6</v>
      </c>
      <c r="J119" s="45">
        <v>2.5100000000000001E-6</v>
      </c>
      <c r="K119" s="45">
        <v>1.5799999999999999E-6</v>
      </c>
      <c r="L119" s="45">
        <v>9.4800000000000007E-6</v>
      </c>
      <c r="M119" s="46">
        <v>1.4899999999999999E-6</v>
      </c>
    </row>
    <row r="120" spans="1:13" ht="14.25" customHeight="1">
      <c r="A120" s="40" t="s">
        <v>314</v>
      </c>
      <c r="B120" s="44">
        <v>2.2699999999999999E-6</v>
      </c>
      <c r="C120" s="45">
        <v>7.1799999999999999E-6</v>
      </c>
      <c r="D120" s="45">
        <v>6.0100000000000001E-6</v>
      </c>
      <c r="E120" s="45">
        <v>6.3500000000000002E-6</v>
      </c>
      <c r="F120" s="45">
        <v>4.34E-6</v>
      </c>
      <c r="G120" s="45">
        <v>6.7000000000000002E-6</v>
      </c>
      <c r="H120" s="45">
        <v>1.0338199999999999E-4</v>
      </c>
      <c r="I120" s="45">
        <v>5.13E-6</v>
      </c>
      <c r="J120" s="45">
        <v>4.9400000000000001E-6</v>
      </c>
      <c r="K120" s="45">
        <v>3.3299999999999999E-6</v>
      </c>
      <c r="L120" s="45">
        <v>4.5399999999999997E-6</v>
      </c>
      <c r="M120" s="46">
        <v>1.2500000000000001E-6</v>
      </c>
    </row>
    <row r="121" spans="1:13" ht="14.25" customHeight="1">
      <c r="A121" s="40" t="s">
        <v>315</v>
      </c>
      <c r="B121" s="44">
        <v>9.0000000000000002E-6</v>
      </c>
      <c r="C121" s="45">
        <v>1.3499999999999999E-5</v>
      </c>
      <c r="D121" s="45">
        <v>2.12E-6</v>
      </c>
      <c r="E121" s="45">
        <v>1.1399999999999999E-5</v>
      </c>
      <c r="F121" s="45">
        <v>3.72E-6</v>
      </c>
      <c r="G121" s="45">
        <v>9.5999999999999996E-6</v>
      </c>
      <c r="H121" s="45">
        <v>8.0900000000000001E-5</v>
      </c>
      <c r="I121" s="45">
        <v>2.6199999999999999E-6</v>
      </c>
      <c r="J121" s="45">
        <v>6.0700000000000003E-6</v>
      </c>
      <c r="K121" s="45">
        <v>3.6899999999999998E-6</v>
      </c>
      <c r="L121" s="45">
        <v>1.7600000000000001E-5</v>
      </c>
      <c r="M121" s="46">
        <v>1.2500000000000001E-5</v>
      </c>
    </row>
    <row r="122" spans="1:13" ht="14.25" customHeight="1">
      <c r="A122" s="40" t="s">
        <v>316</v>
      </c>
      <c r="B122" s="44">
        <v>4.69E-6</v>
      </c>
      <c r="C122" s="45">
        <v>1.42E-5</v>
      </c>
      <c r="D122" s="45">
        <v>9.3899999999999999E-6</v>
      </c>
      <c r="E122" s="45">
        <v>5.6099999999999997E-6</v>
      </c>
      <c r="F122" s="45">
        <v>6.0000000000000002E-6</v>
      </c>
      <c r="G122" s="45">
        <v>1.9000000000000001E-5</v>
      </c>
      <c r="H122" s="45">
        <v>6.2600000000000004E-5</v>
      </c>
      <c r="I122" s="45">
        <v>1.0100000000000001E-6</v>
      </c>
      <c r="J122" s="45">
        <v>4.9400000000000001E-6</v>
      </c>
      <c r="K122" s="45">
        <v>7.6199999999999999E-6</v>
      </c>
      <c r="L122" s="45">
        <v>1.6099999999999998E-5</v>
      </c>
      <c r="M122" s="46">
        <v>1.7E-5</v>
      </c>
    </row>
    <row r="123" spans="1:13" ht="14.25" customHeight="1">
      <c r="A123" s="40" t="s">
        <v>317</v>
      </c>
      <c r="B123" s="44">
        <v>1.4399999999999999E-5</v>
      </c>
      <c r="C123" s="45">
        <v>1.5099999999999999E-5</v>
      </c>
      <c r="D123" s="45">
        <v>2.21E-6</v>
      </c>
      <c r="E123" s="45">
        <v>1.17E-5</v>
      </c>
      <c r="F123" s="45">
        <v>1.61E-6</v>
      </c>
      <c r="G123" s="45">
        <v>1.19E-5</v>
      </c>
      <c r="H123" s="45">
        <v>4.74E-5</v>
      </c>
      <c r="I123" s="45">
        <v>1.64E-6</v>
      </c>
      <c r="J123" s="45">
        <v>3.01E-6</v>
      </c>
      <c r="K123" s="45">
        <v>1.1400000000000001E-6</v>
      </c>
      <c r="L123" s="45">
        <v>1.5E-5</v>
      </c>
      <c r="M123" s="46">
        <v>1.1800000000000001E-5</v>
      </c>
    </row>
    <row r="124" spans="1:13" ht="14.25" customHeight="1">
      <c r="A124" s="40" t="s">
        <v>318</v>
      </c>
      <c r="B124" s="44">
        <v>4.2100000000000003E-6</v>
      </c>
      <c r="C124" s="45">
        <v>1.1199999999999999E-5</v>
      </c>
      <c r="D124" s="45">
        <v>7.9400000000000002E-6</v>
      </c>
      <c r="E124" s="45">
        <v>5.4E-6</v>
      </c>
      <c r="F124" s="45">
        <v>6.3400000000000003E-6</v>
      </c>
      <c r="G124" s="45">
        <v>1.24E-5</v>
      </c>
      <c r="H124" s="45">
        <v>6.4399999999999993E-5</v>
      </c>
      <c r="I124" s="45">
        <v>5.3499999999999996E-6</v>
      </c>
      <c r="J124" s="45">
        <v>6.46E-6</v>
      </c>
      <c r="K124" s="45">
        <v>3.8999999999999999E-6</v>
      </c>
      <c r="L124" s="45">
        <v>9.2399999999999996E-6</v>
      </c>
      <c r="M124" s="46">
        <v>8.67E-6</v>
      </c>
    </row>
    <row r="125" spans="1:13" ht="14.25" customHeight="1">
      <c r="A125" s="40" t="s">
        <v>319</v>
      </c>
      <c r="B125" s="44">
        <v>7.6599999999999995E-6</v>
      </c>
      <c r="C125" s="45">
        <v>9.6700000000000006E-6</v>
      </c>
      <c r="D125" s="45">
        <v>2.3300000000000001E-6</v>
      </c>
      <c r="E125" s="45">
        <v>9.2099999999999999E-6</v>
      </c>
      <c r="F125" s="45">
        <v>3.7500000000000001E-6</v>
      </c>
      <c r="G125" s="45">
        <v>1.1199999999999999E-5</v>
      </c>
      <c r="H125" s="45">
        <v>6.9900000000000005E-5</v>
      </c>
      <c r="I125" s="45">
        <v>4.6499999999999999E-7</v>
      </c>
      <c r="J125" s="45">
        <v>6.2199999999999997E-6</v>
      </c>
      <c r="K125" s="45">
        <v>4.5299999999999998E-6</v>
      </c>
      <c r="L125" s="45">
        <v>1.56E-5</v>
      </c>
      <c r="M125" s="46">
        <v>3.7799999999999998E-6</v>
      </c>
    </row>
    <row r="126" spans="1:13" ht="14.25" customHeight="1">
      <c r="A126" s="40" t="s">
        <v>320</v>
      </c>
      <c r="B126" s="44">
        <v>7.7400000000000004E-6</v>
      </c>
      <c r="C126" s="45">
        <v>1.5E-5</v>
      </c>
      <c r="D126" s="45">
        <v>1.6699999999999999E-5</v>
      </c>
      <c r="E126" s="45">
        <v>4.4900000000000002E-6</v>
      </c>
      <c r="F126" s="45">
        <v>1.84E-6</v>
      </c>
      <c r="G126" s="45">
        <v>1.9400000000000001E-5</v>
      </c>
      <c r="H126" s="45">
        <v>6.3999999999999997E-5</v>
      </c>
      <c r="I126" s="45">
        <v>8.5199999999999995E-7</v>
      </c>
      <c r="J126" s="45">
        <v>1.31E-5</v>
      </c>
      <c r="K126" s="45">
        <v>9.6500000000000008E-6</v>
      </c>
      <c r="L126" s="45">
        <v>1.47E-5</v>
      </c>
      <c r="M126" s="46">
        <v>5.6999999999999996E-6</v>
      </c>
    </row>
    <row r="127" spans="1:13" ht="14.25" customHeight="1">
      <c r="A127" s="40" t="s">
        <v>321</v>
      </c>
      <c r="B127" s="44">
        <v>1.49E-5</v>
      </c>
      <c r="C127" s="45">
        <v>1.9899999999999999E-5</v>
      </c>
      <c r="D127" s="45">
        <v>5.7100000000000004E-6</v>
      </c>
      <c r="E127" s="45">
        <v>8.9900000000000003E-6</v>
      </c>
      <c r="F127" s="45">
        <v>1.5E-6</v>
      </c>
      <c r="G127" s="45">
        <v>2.8200000000000001E-5</v>
      </c>
      <c r="H127" s="45">
        <v>4.1499999999999999E-5</v>
      </c>
      <c r="I127" s="45">
        <v>4.6199999999999998E-6</v>
      </c>
      <c r="J127" s="45">
        <v>3.3900000000000002E-6</v>
      </c>
      <c r="K127" s="45">
        <v>2.8600000000000001E-6</v>
      </c>
      <c r="L127" s="45">
        <v>1.4E-5</v>
      </c>
      <c r="M127" s="46">
        <v>6.1E-6</v>
      </c>
    </row>
    <row r="128" spans="1:13" ht="14.25" customHeight="1">
      <c r="A128" s="40" t="s">
        <v>322</v>
      </c>
      <c r="B128" s="44">
        <v>2.4200000000000001E-6</v>
      </c>
      <c r="C128" s="45">
        <v>1.2E-5</v>
      </c>
      <c r="D128" s="45">
        <v>8.1300000000000001E-6</v>
      </c>
      <c r="E128" s="45">
        <v>1.1199999999999999E-5</v>
      </c>
      <c r="F128" s="45">
        <v>4.1799999999999998E-6</v>
      </c>
      <c r="G128" s="45">
        <v>1.03E-5</v>
      </c>
      <c r="H128" s="45">
        <v>6.86E-5</v>
      </c>
      <c r="I128" s="45">
        <v>2.7199999999999998E-6</v>
      </c>
      <c r="J128" s="45">
        <v>1.03E-5</v>
      </c>
      <c r="K128" s="45">
        <v>8.4200000000000007E-6</v>
      </c>
      <c r="L128" s="45">
        <v>5.5600000000000001E-6</v>
      </c>
      <c r="M128" s="46">
        <v>3.3799999999999998E-6</v>
      </c>
    </row>
    <row r="129" spans="1:13" ht="14.25" customHeight="1">
      <c r="A129" s="40" t="s">
        <v>323</v>
      </c>
      <c r="B129" s="44">
        <v>7.43E-6</v>
      </c>
      <c r="C129" s="45">
        <v>1.5E-5</v>
      </c>
      <c r="D129" s="45">
        <v>2.4899999999999999E-6</v>
      </c>
      <c r="E129" s="45">
        <v>1.2E-5</v>
      </c>
      <c r="F129" s="45">
        <v>3.5999999999999998E-6</v>
      </c>
      <c r="G129" s="45">
        <v>6.9800000000000001E-6</v>
      </c>
      <c r="H129" s="45">
        <v>9.4400000000000004E-5</v>
      </c>
      <c r="I129" s="45">
        <v>1.9300000000000002E-6</v>
      </c>
      <c r="J129" s="45">
        <v>6.6499999999999999E-6</v>
      </c>
      <c r="K129" s="45">
        <v>2.3300000000000001E-6</v>
      </c>
      <c r="L129" s="45">
        <v>1.33E-5</v>
      </c>
      <c r="M129" s="46">
        <v>8.8899999999999996E-6</v>
      </c>
    </row>
    <row r="130" spans="1:13" ht="14.25" customHeight="1">
      <c r="A130" s="40" t="s">
        <v>324</v>
      </c>
      <c r="B130" s="44">
        <v>4.8899999999999998E-6</v>
      </c>
      <c r="C130" s="45">
        <v>1.9400000000000001E-5</v>
      </c>
      <c r="D130" s="45">
        <v>9.0799999999999995E-6</v>
      </c>
      <c r="E130" s="45">
        <v>8.8699999999999998E-6</v>
      </c>
      <c r="F130" s="45">
        <v>6.7000000000000004E-7</v>
      </c>
      <c r="G130" s="45">
        <v>1.31E-5</v>
      </c>
      <c r="H130" s="45">
        <v>8.9099999999999997E-5</v>
      </c>
      <c r="I130" s="45">
        <v>1.8199999999999999E-6</v>
      </c>
      <c r="J130" s="45">
        <v>5.2499999999999997E-6</v>
      </c>
      <c r="K130" s="45">
        <v>3.8700000000000002E-6</v>
      </c>
      <c r="L130" s="45">
        <v>1.5999999999999999E-5</v>
      </c>
      <c r="M130" s="46">
        <v>7.6499999999999996E-6</v>
      </c>
    </row>
    <row r="131" spans="1:13" ht="14.25" customHeight="1">
      <c r="A131" s="40" t="s">
        <v>325</v>
      </c>
      <c r="B131" s="44">
        <v>1.29E-5</v>
      </c>
      <c r="C131" s="45">
        <v>4.5200000000000001E-5</v>
      </c>
      <c r="D131" s="45">
        <v>4.7999999999999998E-6</v>
      </c>
      <c r="E131" s="45">
        <v>1.01E-5</v>
      </c>
      <c r="F131" s="45">
        <v>4.8400000000000002E-6</v>
      </c>
      <c r="G131" s="45">
        <v>8.2099999999999993E-6</v>
      </c>
      <c r="H131" s="45">
        <v>6.2500000000000001E-5</v>
      </c>
      <c r="I131" s="45">
        <v>1.4300000000000001E-6</v>
      </c>
      <c r="J131" s="45">
        <v>7.5000000000000002E-6</v>
      </c>
      <c r="K131" s="45">
        <v>1.11E-6</v>
      </c>
      <c r="L131" s="45">
        <v>9.4199999999999996E-6</v>
      </c>
      <c r="M131" s="46">
        <v>1.01E-5</v>
      </c>
    </row>
    <row r="132" spans="1:13" ht="14.25" customHeight="1">
      <c r="A132" s="40" t="s">
        <v>326</v>
      </c>
      <c r="B132" s="47">
        <v>3.19E-6</v>
      </c>
      <c r="C132" s="48">
        <v>3.4199999999999998E-5</v>
      </c>
      <c r="D132" s="48">
        <v>4.1099999999999996E-6</v>
      </c>
      <c r="E132" s="48">
        <v>7.0299999999999996E-6</v>
      </c>
      <c r="F132" s="48">
        <v>4.2599999999999999E-6</v>
      </c>
      <c r="G132" s="48">
        <v>7.5499999999999997E-6</v>
      </c>
      <c r="H132" s="48">
        <v>8.8499999999999996E-5</v>
      </c>
      <c r="I132" s="48">
        <v>3.1999999999999999E-6</v>
      </c>
      <c r="J132" s="48">
        <v>4.5299999999999998E-6</v>
      </c>
      <c r="K132" s="48">
        <v>2.4399999999999999E-6</v>
      </c>
      <c r="L132" s="48">
        <v>5.4700000000000001E-6</v>
      </c>
      <c r="M132" s="49">
        <v>3.2899999999999998E-6</v>
      </c>
    </row>
    <row r="133" spans="1:13" ht="14.25" customHeight="1">
      <c r="A133" s="40"/>
      <c r="B133" s="20"/>
      <c r="C133" s="20"/>
      <c r="D133" s="20"/>
      <c r="E133" s="20"/>
      <c r="F133" s="20"/>
      <c r="G133" s="20"/>
      <c r="H133" s="20"/>
      <c r="I133" s="20"/>
      <c r="J133" s="20"/>
      <c r="K133" s="20"/>
      <c r="L133" s="20"/>
      <c r="M133" s="20"/>
    </row>
    <row r="134" spans="1:13" ht="14.25" customHeight="1">
      <c r="A134" s="182" t="s">
        <v>333</v>
      </c>
      <c r="B134" s="171"/>
      <c r="C134" s="171"/>
      <c r="D134" s="171"/>
      <c r="E134" s="171"/>
      <c r="F134" s="171"/>
      <c r="G134" s="171"/>
      <c r="H134" s="171"/>
      <c r="I134" s="171"/>
      <c r="J134" s="171"/>
      <c r="K134" s="171"/>
      <c r="L134" s="171"/>
      <c r="M134" s="171"/>
    </row>
    <row r="135" spans="1:13" ht="14.25" customHeight="1">
      <c r="A135" s="171"/>
      <c r="B135" s="171"/>
      <c r="C135" s="171"/>
      <c r="D135" s="171"/>
      <c r="E135" s="171"/>
      <c r="F135" s="171"/>
      <c r="G135" s="171"/>
      <c r="H135" s="171"/>
      <c r="I135" s="171"/>
      <c r="J135" s="171"/>
      <c r="K135" s="171"/>
      <c r="L135" s="171"/>
      <c r="M135" s="171"/>
    </row>
    <row r="136" spans="1:13" ht="14.25" customHeight="1">
      <c r="A136" s="171"/>
      <c r="B136" s="171"/>
      <c r="C136" s="171"/>
      <c r="D136" s="171"/>
      <c r="E136" s="171"/>
      <c r="F136" s="171"/>
      <c r="G136" s="171"/>
      <c r="H136" s="171"/>
      <c r="I136" s="171"/>
      <c r="J136" s="171"/>
      <c r="K136" s="171"/>
      <c r="L136" s="171"/>
      <c r="M136" s="171"/>
    </row>
    <row r="137" spans="1:13" ht="14.25" customHeight="1">
      <c r="A137" s="171"/>
      <c r="B137" s="171"/>
      <c r="C137" s="171"/>
      <c r="D137" s="171"/>
      <c r="E137" s="171"/>
      <c r="F137" s="171"/>
      <c r="G137" s="171"/>
      <c r="H137" s="171"/>
      <c r="I137" s="171"/>
      <c r="J137" s="171"/>
      <c r="K137" s="171"/>
      <c r="L137" s="171"/>
      <c r="M137" s="171"/>
    </row>
    <row r="138" spans="1:13" ht="14.25" customHeight="1">
      <c r="A138" s="22"/>
      <c r="B138" s="22"/>
      <c r="C138" s="22"/>
      <c r="D138" s="22"/>
      <c r="E138" s="22"/>
      <c r="F138" s="22"/>
      <c r="G138" s="22"/>
      <c r="H138" s="22"/>
      <c r="I138" s="22"/>
      <c r="J138" s="22"/>
      <c r="K138" s="22"/>
      <c r="L138" s="22"/>
      <c r="M138" s="22"/>
    </row>
    <row r="139" spans="1:13" ht="14.25" customHeight="1"/>
    <row r="140" spans="1:13" ht="14.25" customHeight="1"/>
    <row r="141" spans="1:13" ht="14.25" customHeight="1"/>
    <row r="142" spans="1:13" ht="14.25" customHeight="1"/>
    <row r="143" spans="1:13" ht="14.25" customHeight="1"/>
    <row r="144" spans="1:13"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A134:M137"/>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000"/>
  <sheetViews>
    <sheetView workbookViewId="0"/>
  </sheetViews>
  <sheetFormatPr defaultColWidth="12.6640625" defaultRowHeight="15" customHeight="1"/>
  <cols>
    <col min="1" max="1" width="9.33203125" customWidth="1"/>
    <col min="2" max="26" width="8.6640625" customWidth="1"/>
  </cols>
  <sheetData>
    <row r="1" spans="1:13" ht="14.25" customHeight="1">
      <c r="A1" s="38" t="s">
        <v>334</v>
      </c>
      <c r="B1" s="39"/>
      <c r="C1" s="39"/>
      <c r="D1" s="39"/>
      <c r="E1" s="39"/>
      <c r="F1" s="39"/>
      <c r="G1" s="39"/>
      <c r="H1" s="39"/>
      <c r="I1" s="39"/>
      <c r="J1" s="39"/>
      <c r="K1" s="39"/>
      <c r="L1" s="39"/>
      <c r="M1" s="39"/>
    </row>
    <row r="2" spans="1:13" ht="14.25" customHeight="1">
      <c r="A2" s="40"/>
      <c r="B2" s="40" t="s">
        <v>299</v>
      </c>
      <c r="C2" s="40" t="s">
        <v>300</v>
      </c>
      <c r="D2" s="40" t="s">
        <v>301</v>
      </c>
      <c r="E2" s="40" t="s">
        <v>302</v>
      </c>
      <c r="F2" s="40" t="s">
        <v>303</v>
      </c>
      <c r="G2" s="40" t="s">
        <v>304</v>
      </c>
      <c r="H2" s="40" t="s">
        <v>305</v>
      </c>
      <c r="I2" s="40" t="s">
        <v>306</v>
      </c>
      <c r="J2" s="40" t="s">
        <v>307</v>
      </c>
      <c r="K2" s="40" t="s">
        <v>308</v>
      </c>
      <c r="L2" s="40" t="s">
        <v>309</v>
      </c>
      <c r="M2" s="40" t="s">
        <v>310</v>
      </c>
    </row>
    <row r="3" spans="1:13" ht="14.25" customHeight="1">
      <c r="A3" s="40" t="s">
        <v>311</v>
      </c>
      <c r="B3" s="50">
        <v>1.77E-2</v>
      </c>
      <c r="C3" s="51">
        <v>0.35399999999999998</v>
      </c>
      <c r="D3" s="52">
        <v>5.3100000000000001E-2</v>
      </c>
      <c r="E3" s="51">
        <v>0.81479999999999997</v>
      </c>
      <c r="F3" s="53">
        <v>3.6999999999999998E-2</v>
      </c>
      <c r="G3" s="52">
        <v>0.81479999999999997</v>
      </c>
      <c r="H3" s="51">
        <v>0.95120000000000005</v>
      </c>
      <c r="I3" s="51">
        <v>4.8800000000000003E-2</v>
      </c>
      <c r="J3" s="52">
        <v>0.14630000000000001</v>
      </c>
      <c r="K3" s="51">
        <v>5.5599999999999997E-2</v>
      </c>
      <c r="L3" s="51">
        <v>0.77780000000000005</v>
      </c>
      <c r="M3" s="54">
        <v>0</v>
      </c>
    </row>
    <row r="4" spans="1:13" ht="14.25" customHeight="1">
      <c r="A4" s="40" t="s">
        <v>312</v>
      </c>
      <c r="B4" s="55">
        <v>1.8200000000000001E-2</v>
      </c>
      <c r="C4" s="56">
        <v>0.39389999999999997</v>
      </c>
      <c r="D4" s="57">
        <v>9.7000000000000003E-2</v>
      </c>
      <c r="E4" s="56">
        <v>0.73529999999999995</v>
      </c>
      <c r="F4" s="56">
        <v>0</v>
      </c>
      <c r="G4" s="57">
        <v>0.85289999999999999</v>
      </c>
      <c r="H4" s="58">
        <v>1</v>
      </c>
      <c r="I4" s="56">
        <v>0</v>
      </c>
      <c r="J4" s="57">
        <v>0.1875</v>
      </c>
      <c r="K4" s="56">
        <v>8.2199999999999995E-2</v>
      </c>
      <c r="L4" s="56">
        <v>0.54790000000000005</v>
      </c>
      <c r="M4" s="59">
        <v>0</v>
      </c>
    </row>
    <row r="5" spans="1:13" ht="14.25" customHeight="1">
      <c r="A5" s="40" t="s">
        <v>313</v>
      </c>
      <c r="B5" s="55">
        <v>5.1700000000000003E-2</v>
      </c>
      <c r="C5" s="56">
        <v>0.48280000000000001</v>
      </c>
      <c r="D5" s="57">
        <v>5.1700000000000003E-2</v>
      </c>
      <c r="E5" s="56">
        <v>0.68179999999999996</v>
      </c>
      <c r="F5" s="56">
        <v>4.5499999999999999E-2</v>
      </c>
      <c r="G5" s="57">
        <v>0.5</v>
      </c>
      <c r="H5" s="56">
        <v>1</v>
      </c>
      <c r="I5" s="56">
        <v>0</v>
      </c>
      <c r="J5" s="57">
        <v>0.16669999999999999</v>
      </c>
      <c r="K5" s="56">
        <v>2.0799999999999999E-2</v>
      </c>
      <c r="L5" s="56">
        <v>0.29170000000000001</v>
      </c>
      <c r="M5" s="59">
        <v>2.0799999999999999E-2</v>
      </c>
    </row>
    <row r="6" spans="1:13" ht="14.25" customHeight="1">
      <c r="A6" s="40" t="s">
        <v>314</v>
      </c>
      <c r="B6" s="60">
        <v>6.7999999999999996E-3</v>
      </c>
      <c r="C6" s="56">
        <v>0.34010000000000001</v>
      </c>
      <c r="D6" s="57">
        <v>4.7600000000000003E-2</v>
      </c>
      <c r="E6" s="56">
        <v>0.8276</v>
      </c>
      <c r="F6" s="56">
        <v>0.1724</v>
      </c>
      <c r="G6" s="57">
        <v>0.1724</v>
      </c>
      <c r="H6" s="56">
        <v>0.94830000000000003</v>
      </c>
      <c r="I6" s="56">
        <v>3.4500000000000003E-2</v>
      </c>
      <c r="J6" s="57">
        <v>0.1207</v>
      </c>
      <c r="K6" s="56">
        <v>4.5499999999999999E-2</v>
      </c>
      <c r="L6" s="56">
        <v>0.31819999999999998</v>
      </c>
      <c r="M6" s="59">
        <v>0</v>
      </c>
    </row>
    <row r="7" spans="1:13" ht="14.25" customHeight="1">
      <c r="A7" s="40" t="s">
        <v>315</v>
      </c>
      <c r="B7" s="55">
        <v>1.6400000000000001E-2</v>
      </c>
      <c r="C7" s="56">
        <v>0.29509999999999997</v>
      </c>
      <c r="D7" s="57">
        <v>0</v>
      </c>
      <c r="E7" s="56">
        <v>0.33329999999999999</v>
      </c>
      <c r="F7" s="56">
        <v>0</v>
      </c>
      <c r="G7" s="57">
        <v>0.33329999999999999</v>
      </c>
      <c r="H7" s="56">
        <v>1</v>
      </c>
      <c r="I7" s="56">
        <v>0</v>
      </c>
      <c r="J7" s="57">
        <v>0</v>
      </c>
      <c r="K7" s="56">
        <v>0</v>
      </c>
      <c r="L7" s="58">
        <v>1</v>
      </c>
      <c r="M7" s="59">
        <v>9.0899999999999995E-2</v>
      </c>
    </row>
    <row r="8" spans="1:13" ht="14.25" customHeight="1">
      <c r="A8" s="40" t="s">
        <v>316</v>
      </c>
      <c r="B8" s="55">
        <v>0</v>
      </c>
      <c r="C8" s="56">
        <v>0.25580000000000003</v>
      </c>
      <c r="D8" s="57">
        <v>1.55E-2</v>
      </c>
      <c r="E8" s="58">
        <v>1</v>
      </c>
      <c r="F8" s="56">
        <v>0</v>
      </c>
      <c r="G8" s="57">
        <v>1</v>
      </c>
      <c r="H8" s="56">
        <v>1</v>
      </c>
      <c r="I8" s="56">
        <v>0</v>
      </c>
      <c r="J8" s="57">
        <v>8.3299999999999999E-2</v>
      </c>
      <c r="K8" s="56">
        <v>7.4099999999999999E-2</v>
      </c>
      <c r="L8" s="56">
        <v>0.40739999999999998</v>
      </c>
      <c r="M8" s="59">
        <v>0.1111</v>
      </c>
    </row>
    <row r="9" spans="1:13" ht="14.25" customHeight="1">
      <c r="A9" s="40" t="s">
        <v>317</v>
      </c>
      <c r="B9" s="55">
        <v>5.5599999999999997E-2</v>
      </c>
      <c r="C9" s="58">
        <v>0.72219999999999995</v>
      </c>
      <c r="D9" s="57">
        <v>0</v>
      </c>
      <c r="E9" s="56">
        <v>1</v>
      </c>
      <c r="F9" s="56">
        <v>0</v>
      </c>
      <c r="G9" s="57">
        <v>1</v>
      </c>
      <c r="H9" s="56">
        <v>1</v>
      </c>
      <c r="I9" s="56">
        <v>0</v>
      </c>
      <c r="J9" s="57">
        <v>0.25</v>
      </c>
      <c r="K9" s="56">
        <v>0</v>
      </c>
      <c r="L9" s="56">
        <v>0.1905</v>
      </c>
      <c r="M9" s="59">
        <v>0</v>
      </c>
    </row>
    <row r="10" spans="1:13" ht="14.25" customHeight="1">
      <c r="A10" s="40" t="s">
        <v>318</v>
      </c>
      <c r="B10" s="55">
        <v>2.4400000000000002E-2</v>
      </c>
      <c r="C10" s="56">
        <v>0.20730000000000001</v>
      </c>
      <c r="D10" s="57">
        <v>0</v>
      </c>
      <c r="E10" s="56">
        <v>0</v>
      </c>
      <c r="F10" s="56">
        <v>0</v>
      </c>
      <c r="G10" s="57">
        <v>1</v>
      </c>
      <c r="H10" s="56">
        <v>0.92110000000000003</v>
      </c>
      <c r="I10" s="56">
        <v>0</v>
      </c>
      <c r="J10" s="57">
        <v>7.8899999999999998E-2</v>
      </c>
      <c r="K10" s="56">
        <v>3.4500000000000003E-2</v>
      </c>
      <c r="L10" s="56">
        <v>0.31030000000000002</v>
      </c>
      <c r="M10" s="59">
        <v>0.1724</v>
      </c>
    </row>
    <row r="11" spans="1:13" ht="14.25" customHeight="1">
      <c r="A11" s="40" t="s">
        <v>319</v>
      </c>
      <c r="B11" s="55">
        <v>6.83E-2</v>
      </c>
      <c r="C11" s="56">
        <v>0.32679999999999998</v>
      </c>
      <c r="D11" s="57">
        <v>9.7999999999999997E-3</v>
      </c>
      <c r="E11" s="56">
        <v>0.95</v>
      </c>
      <c r="F11" s="56">
        <v>0.15</v>
      </c>
      <c r="G11" s="57">
        <v>0.95</v>
      </c>
      <c r="H11" s="56">
        <v>1</v>
      </c>
      <c r="I11" s="56">
        <v>0.05</v>
      </c>
      <c r="J11" s="57">
        <v>0.4</v>
      </c>
      <c r="K11" s="56">
        <v>0.13270000000000001</v>
      </c>
      <c r="L11" s="56">
        <v>0.71679999999999999</v>
      </c>
      <c r="M11" s="59">
        <v>4.4200000000000003E-2</v>
      </c>
    </row>
    <row r="12" spans="1:13" ht="14.25" customHeight="1">
      <c r="A12" s="40" t="s">
        <v>320</v>
      </c>
      <c r="B12" s="55">
        <v>1.21E-2</v>
      </c>
      <c r="C12" s="56">
        <v>0.53039999999999998</v>
      </c>
      <c r="D12" s="57">
        <v>0.1457</v>
      </c>
      <c r="E12" s="56">
        <v>1</v>
      </c>
      <c r="F12" s="56">
        <v>7.6899999999999996E-2</v>
      </c>
      <c r="G12" s="57">
        <v>1</v>
      </c>
      <c r="H12" s="56">
        <v>1</v>
      </c>
      <c r="I12" s="56">
        <v>0</v>
      </c>
      <c r="J12" s="57">
        <v>0.17649999999999999</v>
      </c>
      <c r="K12" s="56">
        <v>0.16880000000000001</v>
      </c>
      <c r="L12" s="56">
        <v>0.53129999999999999</v>
      </c>
      <c r="M12" s="59">
        <v>2.5000000000000001E-2</v>
      </c>
    </row>
    <row r="13" spans="1:13" ht="14.25" customHeight="1">
      <c r="A13" s="40" t="s">
        <v>321</v>
      </c>
      <c r="B13" s="55">
        <v>7.6899999999999996E-2</v>
      </c>
      <c r="C13" s="56">
        <v>0.65380000000000005</v>
      </c>
      <c r="D13" s="57">
        <v>2.5600000000000001E-2</v>
      </c>
      <c r="E13" s="56">
        <v>0.94740000000000002</v>
      </c>
      <c r="F13" s="56">
        <v>0</v>
      </c>
      <c r="G13" s="57">
        <v>0.94740000000000002</v>
      </c>
      <c r="H13" s="56">
        <v>1</v>
      </c>
      <c r="I13" s="56">
        <v>0.05</v>
      </c>
      <c r="J13" s="57">
        <v>0.2</v>
      </c>
      <c r="K13" s="56">
        <v>5.5899999999999998E-2</v>
      </c>
      <c r="L13" s="56">
        <v>0.25169999999999998</v>
      </c>
      <c r="M13" s="59">
        <v>2.1000000000000001E-2</v>
      </c>
    </row>
    <row r="14" spans="1:13" ht="14.25" customHeight="1">
      <c r="A14" s="40" t="s">
        <v>322</v>
      </c>
      <c r="B14" s="61">
        <v>2.12E-2</v>
      </c>
      <c r="C14" s="62">
        <v>0.46610000000000001</v>
      </c>
      <c r="D14" s="63">
        <v>8.5000000000000006E-3</v>
      </c>
      <c r="E14" s="62">
        <v>1</v>
      </c>
      <c r="F14" s="62">
        <v>0.2</v>
      </c>
      <c r="G14" s="63">
        <v>0.8</v>
      </c>
      <c r="H14" s="62">
        <v>1</v>
      </c>
      <c r="I14" s="64">
        <v>1.2200000000000001E-2</v>
      </c>
      <c r="J14" s="63">
        <v>0.1951</v>
      </c>
      <c r="K14" s="62">
        <v>0.1973</v>
      </c>
      <c r="L14" s="62">
        <v>0.2041</v>
      </c>
      <c r="M14" s="65">
        <v>1.3599999999999999E-2</v>
      </c>
    </row>
    <row r="15" spans="1:13" ht="14.25" customHeight="1">
      <c r="A15" s="40"/>
      <c r="B15" s="20"/>
      <c r="C15" s="20"/>
      <c r="D15" s="20"/>
      <c r="E15" s="20"/>
      <c r="F15" s="20"/>
      <c r="G15" s="20"/>
      <c r="H15" s="20"/>
      <c r="I15" s="20"/>
      <c r="J15" s="20"/>
      <c r="K15" s="20"/>
      <c r="L15" s="20"/>
      <c r="M15" s="20"/>
    </row>
    <row r="16" spans="1:13" ht="14.25" customHeight="1">
      <c r="A16" s="38" t="s">
        <v>335</v>
      </c>
      <c r="B16" s="20"/>
      <c r="C16" s="20"/>
      <c r="D16" s="20"/>
      <c r="E16" s="20"/>
      <c r="F16" s="20"/>
      <c r="G16" s="20"/>
      <c r="H16" s="20"/>
      <c r="I16" s="20"/>
      <c r="J16" s="20"/>
      <c r="K16" s="20"/>
      <c r="L16" s="20"/>
      <c r="M16" s="20"/>
    </row>
    <row r="17" spans="1:13" ht="14.25" customHeight="1">
      <c r="A17" s="40"/>
      <c r="B17" s="40" t="s">
        <v>299</v>
      </c>
      <c r="C17" s="40" t="s">
        <v>300</v>
      </c>
      <c r="D17" s="40" t="s">
        <v>301</v>
      </c>
      <c r="E17" s="40" t="s">
        <v>302</v>
      </c>
      <c r="F17" s="40" t="s">
        <v>303</v>
      </c>
      <c r="G17" s="40" t="s">
        <v>304</v>
      </c>
      <c r="H17" s="40" t="s">
        <v>305</v>
      </c>
      <c r="I17" s="40" t="s">
        <v>306</v>
      </c>
      <c r="J17" s="40" t="s">
        <v>307</v>
      </c>
      <c r="K17" s="40" t="s">
        <v>308</v>
      </c>
      <c r="L17" s="40" t="s">
        <v>309</v>
      </c>
      <c r="M17" s="40" t="s">
        <v>310</v>
      </c>
    </row>
    <row r="18" spans="1:13" ht="14.25" customHeight="1">
      <c r="A18" s="40" t="s">
        <v>311</v>
      </c>
      <c r="B18" s="50">
        <v>1.77E-2</v>
      </c>
      <c r="C18" s="51">
        <v>0.34510000000000002</v>
      </c>
      <c r="D18" s="51">
        <v>4.4200000000000003E-2</v>
      </c>
      <c r="E18" s="51">
        <v>0.81479999999999997</v>
      </c>
      <c r="F18" s="51">
        <v>0</v>
      </c>
      <c r="G18" s="51">
        <v>0.81479999999999997</v>
      </c>
      <c r="H18" s="51">
        <v>0.95120000000000005</v>
      </c>
      <c r="I18" s="51">
        <v>4.8800000000000003E-2</v>
      </c>
      <c r="J18" s="51">
        <v>0.14630000000000001</v>
      </c>
      <c r="K18" s="51">
        <v>5.5599999999999997E-2</v>
      </c>
      <c r="L18" s="51">
        <v>0.72219999999999995</v>
      </c>
      <c r="M18" s="54">
        <v>0</v>
      </c>
    </row>
    <row r="19" spans="1:13" ht="14.25" customHeight="1">
      <c r="A19" s="40" t="s">
        <v>312</v>
      </c>
      <c r="B19" s="55">
        <v>1.8200000000000001E-2</v>
      </c>
      <c r="C19" s="56">
        <v>0.38179999999999997</v>
      </c>
      <c r="D19" s="56">
        <v>9.0899999999999995E-2</v>
      </c>
      <c r="E19" s="56">
        <v>0.73529999999999995</v>
      </c>
      <c r="F19" s="56">
        <v>0</v>
      </c>
      <c r="G19" s="56">
        <v>0.82350000000000001</v>
      </c>
      <c r="H19" s="56">
        <v>1</v>
      </c>
      <c r="I19" s="56">
        <v>0</v>
      </c>
      <c r="J19" s="56">
        <v>0.125</v>
      </c>
      <c r="K19" s="56">
        <v>8.2199999999999995E-2</v>
      </c>
      <c r="L19" s="56">
        <v>0.54790000000000005</v>
      </c>
      <c r="M19" s="59">
        <v>0</v>
      </c>
    </row>
    <row r="20" spans="1:13" ht="14.25" customHeight="1">
      <c r="A20" s="40" t="s">
        <v>313</v>
      </c>
      <c r="B20" s="55">
        <v>5.1700000000000003E-2</v>
      </c>
      <c r="C20" s="56">
        <v>0.48280000000000001</v>
      </c>
      <c r="D20" s="56">
        <v>5.1700000000000003E-2</v>
      </c>
      <c r="E20" s="56">
        <v>0.68179999999999996</v>
      </c>
      <c r="F20" s="56">
        <v>4.5499999999999999E-2</v>
      </c>
      <c r="G20" s="56">
        <v>0.5</v>
      </c>
      <c r="H20" s="56">
        <v>1</v>
      </c>
      <c r="I20" s="56">
        <v>0</v>
      </c>
      <c r="J20" s="56">
        <v>0.16669999999999999</v>
      </c>
      <c r="K20" s="56">
        <v>2.0799999999999999E-2</v>
      </c>
      <c r="L20" s="56">
        <v>0.29170000000000001</v>
      </c>
      <c r="M20" s="59">
        <v>0</v>
      </c>
    </row>
    <row r="21" spans="1:13" ht="14.25" customHeight="1">
      <c r="A21" s="40" t="s">
        <v>314</v>
      </c>
      <c r="B21" s="55">
        <v>6.7999999999999996E-3</v>
      </c>
      <c r="C21" s="56">
        <v>0.34010000000000001</v>
      </c>
      <c r="D21" s="56">
        <v>4.7600000000000003E-2</v>
      </c>
      <c r="E21" s="56">
        <v>0.8276</v>
      </c>
      <c r="F21" s="56">
        <v>0.1724</v>
      </c>
      <c r="G21" s="56">
        <v>0.1724</v>
      </c>
      <c r="H21" s="56">
        <v>0.94830000000000003</v>
      </c>
      <c r="I21" s="56">
        <v>3.4500000000000003E-2</v>
      </c>
      <c r="J21" s="56">
        <v>0.1207</v>
      </c>
      <c r="K21" s="56">
        <v>4.5499999999999999E-2</v>
      </c>
      <c r="L21" s="56">
        <v>0.31819999999999998</v>
      </c>
      <c r="M21" s="59">
        <v>0</v>
      </c>
    </row>
    <row r="22" spans="1:13" ht="14.25" customHeight="1">
      <c r="A22" s="40" t="s">
        <v>315</v>
      </c>
      <c r="B22" s="55">
        <v>0</v>
      </c>
      <c r="C22" s="56">
        <v>0.29509999999999997</v>
      </c>
      <c r="D22" s="56">
        <v>0</v>
      </c>
      <c r="E22" s="56">
        <v>0.33329999999999999</v>
      </c>
      <c r="F22" s="56">
        <v>0</v>
      </c>
      <c r="G22" s="56">
        <v>0.33329999999999999</v>
      </c>
      <c r="H22" s="56">
        <v>1</v>
      </c>
      <c r="I22" s="56">
        <v>0</v>
      </c>
      <c r="J22" s="56">
        <v>0</v>
      </c>
      <c r="K22" s="56">
        <v>0</v>
      </c>
      <c r="L22" s="56">
        <v>1</v>
      </c>
      <c r="M22" s="59">
        <v>9.0899999999999995E-2</v>
      </c>
    </row>
    <row r="23" spans="1:13" ht="14.25" customHeight="1">
      <c r="A23" s="40" t="s">
        <v>316</v>
      </c>
      <c r="B23" s="55">
        <v>0</v>
      </c>
      <c r="C23" s="56">
        <v>0.24809999999999999</v>
      </c>
      <c r="D23" s="56">
        <v>1.55E-2</v>
      </c>
      <c r="E23" s="56">
        <v>1</v>
      </c>
      <c r="F23" s="56">
        <v>0</v>
      </c>
      <c r="G23" s="56">
        <v>1</v>
      </c>
      <c r="H23" s="56">
        <v>1</v>
      </c>
      <c r="I23" s="56">
        <v>0</v>
      </c>
      <c r="J23" s="56">
        <v>8.3299999999999999E-2</v>
      </c>
      <c r="K23" s="56">
        <v>3.6999999999999998E-2</v>
      </c>
      <c r="L23" s="56">
        <v>0.40739999999999998</v>
      </c>
      <c r="M23" s="59">
        <v>0.1111</v>
      </c>
    </row>
    <row r="24" spans="1:13" ht="14.25" customHeight="1">
      <c r="A24" s="40" t="s">
        <v>317</v>
      </c>
      <c r="B24" s="55">
        <v>5.5599999999999997E-2</v>
      </c>
      <c r="C24" s="56">
        <v>0.66669999999999996</v>
      </c>
      <c r="D24" s="56">
        <v>0</v>
      </c>
      <c r="E24" s="56">
        <v>1</v>
      </c>
      <c r="F24" s="56">
        <v>0</v>
      </c>
      <c r="G24" s="56">
        <v>1</v>
      </c>
      <c r="H24" s="56">
        <v>1</v>
      </c>
      <c r="I24" s="56">
        <v>0</v>
      </c>
      <c r="J24" s="56">
        <v>0.25</v>
      </c>
      <c r="K24" s="56">
        <v>0</v>
      </c>
      <c r="L24" s="56">
        <v>0.1905</v>
      </c>
      <c r="M24" s="59">
        <v>0</v>
      </c>
    </row>
    <row r="25" spans="1:13" ht="14.25" customHeight="1">
      <c r="A25" s="40" t="s">
        <v>318</v>
      </c>
      <c r="B25" s="55">
        <v>2.4400000000000002E-2</v>
      </c>
      <c r="C25" s="56">
        <v>0.1951</v>
      </c>
      <c r="D25" s="56">
        <v>0</v>
      </c>
      <c r="E25" s="56">
        <v>0</v>
      </c>
      <c r="F25" s="56">
        <v>0</v>
      </c>
      <c r="G25" s="56">
        <v>1</v>
      </c>
      <c r="H25" s="56">
        <v>0.92110000000000003</v>
      </c>
      <c r="I25" s="56">
        <v>0</v>
      </c>
      <c r="J25" s="56">
        <v>7.8899999999999998E-2</v>
      </c>
      <c r="K25" s="56">
        <v>3.4500000000000003E-2</v>
      </c>
      <c r="L25" s="56">
        <v>0.27589999999999998</v>
      </c>
      <c r="M25" s="59">
        <v>0.1724</v>
      </c>
    </row>
    <row r="26" spans="1:13" ht="14.25" customHeight="1">
      <c r="A26" s="40" t="s">
        <v>319</v>
      </c>
      <c r="B26" s="55">
        <v>6.83E-2</v>
      </c>
      <c r="C26" s="56">
        <v>0.30730000000000002</v>
      </c>
      <c r="D26" s="56">
        <v>4.8999999999999998E-3</v>
      </c>
      <c r="E26" s="56">
        <v>1</v>
      </c>
      <c r="F26" s="56">
        <v>0.15</v>
      </c>
      <c r="G26" s="56">
        <v>0.95</v>
      </c>
      <c r="H26" s="56">
        <v>1</v>
      </c>
      <c r="I26" s="56">
        <v>0.05</v>
      </c>
      <c r="J26" s="56">
        <v>0.35</v>
      </c>
      <c r="K26" s="56">
        <v>0.1239</v>
      </c>
      <c r="L26" s="56">
        <v>0.70799999999999996</v>
      </c>
      <c r="M26" s="59">
        <v>4.4200000000000003E-2</v>
      </c>
    </row>
    <row r="27" spans="1:13" ht="14.25" customHeight="1">
      <c r="A27" s="40" t="s">
        <v>320</v>
      </c>
      <c r="B27" s="55">
        <v>1.21E-2</v>
      </c>
      <c r="C27" s="56">
        <v>0.50609999999999999</v>
      </c>
      <c r="D27" s="56">
        <v>0.1457</v>
      </c>
      <c r="E27" s="56">
        <v>1</v>
      </c>
      <c r="F27" s="56">
        <v>7.6899999999999996E-2</v>
      </c>
      <c r="G27" s="56">
        <v>1</v>
      </c>
      <c r="H27" s="56">
        <v>1</v>
      </c>
      <c r="I27" s="56">
        <v>0</v>
      </c>
      <c r="J27" s="56">
        <v>0.17649999999999999</v>
      </c>
      <c r="K27" s="56">
        <v>0.16250000000000001</v>
      </c>
      <c r="L27" s="56">
        <v>0.51880000000000004</v>
      </c>
      <c r="M27" s="59">
        <v>2.5000000000000001E-2</v>
      </c>
    </row>
    <row r="28" spans="1:13" ht="14.25" customHeight="1">
      <c r="A28" s="40" t="s">
        <v>321</v>
      </c>
      <c r="B28" s="55">
        <v>7.6899999999999996E-2</v>
      </c>
      <c r="C28" s="56">
        <v>0.64100000000000001</v>
      </c>
      <c r="D28" s="56">
        <v>2.5600000000000001E-2</v>
      </c>
      <c r="E28" s="56">
        <v>0.94740000000000002</v>
      </c>
      <c r="F28" s="56">
        <v>0</v>
      </c>
      <c r="G28" s="56">
        <v>0.94740000000000002</v>
      </c>
      <c r="H28" s="56">
        <v>1</v>
      </c>
      <c r="I28" s="56">
        <v>0.05</v>
      </c>
      <c r="J28" s="56">
        <v>0.25</v>
      </c>
      <c r="K28" s="56">
        <v>4.9000000000000002E-2</v>
      </c>
      <c r="L28" s="56">
        <v>0.23080000000000001</v>
      </c>
      <c r="M28" s="59">
        <v>2.1000000000000001E-2</v>
      </c>
    </row>
    <row r="29" spans="1:13" ht="14.25" customHeight="1">
      <c r="A29" s="40" t="s">
        <v>322</v>
      </c>
      <c r="B29" s="61">
        <v>2.12E-2</v>
      </c>
      <c r="C29" s="62">
        <v>0.44919999999999999</v>
      </c>
      <c r="D29" s="62">
        <v>8.5000000000000006E-3</v>
      </c>
      <c r="E29" s="62">
        <v>1</v>
      </c>
      <c r="F29" s="62">
        <v>0.3</v>
      </c>
      <c r="G29" s="62">
        <v>0.8</v>
      </c>
      <c r="H29" s="62">
        <v>1</v>
      </c>
      <c r="I29" s="62">
        <v>1.2200000000000001E-2</v>
      </c>
      <c r="J29" s="62">
        <v>0.1951</v>
      </c>
      <c r="K29" s="62">
        <v>0.1837</v>
      </c>
      <c r="L29" s="62">
        <v>0.1905</v>
      </c>
      <c r="M29" s="66">
        <v>1.3599999999999999E-2</v>
      </c>
    </row>
    <row r="30" spans="1:13" ht="14.25" customHeight="1">
      <c r="A30" s="40"/>
      <c r="B30" s="20"/>
      <c r="C30" s="20"/>
      <c r="D30" s="20"/>
      <c r="E30" s="20"/>
      <c r="F30" s="20"/>
      <c r="G30" s="20"/>
      <c r="H30" s="20"/>
      <c r="I30" s="20"/>
      <c r="J30" s="20"/>
      <c r="K30" s="20"/>
      <c r="L30" s="20"/>
      <c r="M30" s="20"/>
    </row>
    <row r="31" spans="1:13" ht="14.25" customHeight="1">
      <c r="A31" s="38" t="s">
        <v>336</v>
      </c>
      <c r="B31" s="20"/>
      <c r="C31" s="20"/>
      <c r="D31" s="20"/>
      <c r="E31" s="20"/>
      <c r="F31" s="20"/>
      <c r="G31" s="20"/>
      <c r="H31" s="20"/>
      <c r="I31" s="20"/>
      <c r="J31" s="20"/>
      <c r="K31" s="20"/>
      <c r="L31" s="20"/>
      <c r="M31" s="20"/>
    </row>
    <row r="32" spans="1:13" ht="14.25" customHeight="1">
      <c r="A32" s="40"/>
      <c r="B32" s="40" t="s">
        <v>299</v>
      </c>
      <c r="C32" s="40" t="s">
        <v>300</v>
      </c>
      <c r="D32" s="40" t="s">
        <v>301</v>
      </c>
      <c r="E32" s="40" t="s">
        <v>302</v>
      </c>
      <c r="F32" s="40" t="s">
        <v>303</v>
      </c>
      <c r="G32" s="40" t="s">
        <v>304</v>
      </c>
      <c r="H32" s="40" t="s">
        <v>305</v>
      </c>
      <c r="I32" s="40" t="s">
        <v>306</v>
      </c>
      <c r="J32" s="40" t="s">
        <v>307</v>
      </c>
      <c r="K32" s="40" t="s">
        <v>308</v>
      </c>
      <c r="L32" s="40" t="s">
        <v>309</v>
      </c>
      <c r="M32" s="40" t="s">
        <v>310</v>
      </c>
    </row>
    <row r="33" spans="1:13" ht="14.25" customHeight="1">
      <c r="A33" s="40" t="s">
        <v>311</v>
      </c>
      <c r="B33" s="50">
        <v>2.6499999999999999E-2</v>
      </c>
      <c r="C33" s="51">
        <v>0.27429999999999999</v>
      </c>
      <c r="D33" s="51">
        <v>3.5400000000000001E-2</v>
      </c>
      <c r="E33" s="51">
        <v>0.85189999999999999</v>
      </c>
      <c r="F33" s="51">
        <v>3.6999999999999998E-2</v>
      </c>
      <c r="G33" s="51">
        <v>0.70369999999999999</v>
      </c>
      <c r="H33" s="51">
        <v>0.95120000000000005</v>
      </c>
      <c r="I33" s="51">
        <v>0</v>
      </c>
      <c r="J33" s="51">
        <v>9.7600000000000006E-2</v>
      </c>
      <c r="K33" s="51">
        <v>5.5599999999999997E-2</v>
      </c>
      <c r="L33" s="51">
        <v>0.66669999999999996</v>
      </c>
      <c r="M33" s="54">
        <v>5.5599999999999997E-2</v>
      </c>
    </row>
    <row r="34" spans="1:13" ht="14.25" customHeight="1">
      <c r="A34" s="40" t="s">
        <v>312</v>
      </c>
      <c r="B34" s="55">
        <v>1.21E-2</v>
      </c>
      <c r="C34" s="56">
        <v>0.30299999999999999</v>
      </c>
      <c r="D34" s="56">
        <v>0.15759999999999999</v>
      </c>
      <c r="E34" s="56">
        <v>0.91180000000000005</v>
      </c>
      <c r="F34" s="56">
        <v>0</v>
      </c>
      <c r="G34" s="56">
        <v>0.64710000000000001</v>
      </c>
      <c r="H34" s="56">
        <v>1</v>
      </c>
      <c r="I34" s="56">
        <v>0.125</v>
      </c>
      <c r="J34" s="56">
        <v>0.1875</v>
      </c>
      <c r="K34" s="56">
        <v>4.1099999999999998E-2</v>
      </c>
      <c r="L34" s="56">
        <v>0.50680000000000003</v>
      </c>
      <c r="M34" s="59">
        <v>0</v>
      </c>
    </row>
    <row r="35" spans="1:13" ht="14.25" customHeight="1">
      <c r="A35" s="40" t="s">
        <v>313</v>
      </c>
      <c r="B35" s="55">
        <v>3.4500000000000003E-2</v>
      </c>
      <c r="C35" s="56">
        <v>0.37930000000000003</v>
      </c>
      <c r="D35" s="56">
        <v>5.1700000000000003E-2</v>
      </c>
      <c r="E35" s="56">
        <v>0.72729999999999995</v>
      </c>
      <c r="F35" s="56">
        <v>0</v>
      </c>
      <c r="G35" s="56">
        <v>0.40910000000000002</v>
      </c>
      <c r="H35" s="56">
        <v>1</v>
      </c>
      <c r="I35" s="56">
        <v>0</v>
      </c>
      <c r="J35" s="56">
        <v>0.20830000000000001</v>
      </c>
      <c r="K35" s="56">
        <v>2.0799999999999999E-2</v>
      </c>
      <c r="L35" s="56">
        <v>0.1875</v>
      </c>
      <c r="M35" s="59">
        <v>0</v>
      </c>
    </row>
    <row r="36" spans="1:13" ht="14.25" customHeight="1">
      <c r="A36" s="40" t="s">
        <v>314</v>
      </c>
      <c r="B36" s="55">
        <v>6.7999999999999996E-3</v>
      </c>
      <c r="C36" s="56">
        <v>0.31290000000000001</v>
      </c>
      <c r="D36" s="56">
        <v>2.7199999999999998E-2</v>
      </c>
      <c r="E36" s="56">
        <v>0.79310000000000003</v>
      </c>
      <c r="F36" s="56">
        <v>0.13789999999999999</v>
      </c>
      <c r="G36" s="56">
        <v>0.37930000000000003</v>
      </c>
      <c r="H36" s="56">
        <v>0.89659999999999995</v>
      </c>
      <c r="I36" s="56">
        <v>0</v>
      </c>
      <c r="J36" s="56">
        <v>6.9000000000000006E-2</v>
      </c>
      <c r="K36" s="56">
        <v>4.5499999999999999E-2</v>
      </c>
      <c r="L36" s="56">
        <v>0.11360000000000001</v>
      </c>
      <c r="M36" s="59">
        <v>0</v>
      </c>
    </row>
    <row r="37" spans="1:13" ht="14.25" customHeight="1">
      <c r="A37" s="40" t="s">
        <v>315</v>
      </c>
      <c r="B37" s="55">
        <v>0</v>
      </c>
      <c r="C37" s="56">
        <v>0.2787</v>
      </c>
      <c r="D37" s="56">
        <v>0</v>
      </c>
      <c r="E37" s="56">
        <v>0.33329999999999999</v>
      </c>
      <c r="F37" s="56">
        <v>0</v>
      </c>
      <c r="G37" s="56">
        <v>0.66669999999999996</v>
      </c>
      <c r="H37" s="56">
        <v>0.92589999999999995</v>
      </c>
      <c r="I37" s="56">
        <v>0</v>
      </c>
      <c r="J37" s="56">
        <v>0</v>
      </c>
      <c r="K37" s="56">
        <v>0</v>
      </c>
      <c r="L37" s="56">
        <v>0.81820000000000004</v>
      </c>
      <c r="M37" s="59">
        <v>9.0899999999999995E-2</v>
      </c>
    </row>
    <row r="38" spans="1:13" ht="14.25" customHeight="1">
      <c r="A38" s="40" t="s">
        <v>316</v>
      </c>
      <c r="B38" s="55">
        <v>7.7999999999999996E-3</v>
      </c>
      <c r="C38" s="56">
        <v>0.24030000000000001</v>
      </c>
      <c r="D38" s="56">
        <v>7.7999999999999996E-3</v>
      </c>
      <c r="E38" s="56">
        <v>0.83330000000000004</v>
      </c>
      <c r="F38" s="56">
        <v>0</v>
      </c>
      <c r="G38" s="56">
        <v>1</v>
      </c>
      <c r="H38" s="56">
        <v>1</v>
      </c>
      <c r="I38" s="56">
        <v>0</v>
      </c>
      <c r="J38" s="56">
        <v>8.3299999999999999E-2</v>
      </c>
      <c r="K38" s="56">
        <v>7.4099999999999999E-2</v>
      </c>
      <c r="L38" s="56">
        <v>0.48149999999999998</v>
      </c>
      <c r="M38" s="59">
        <v>3.6999999999999998E-2</v>
      </c>
    </row>
    <row r="39" spans="1:13" ht="14.25" customHeight="1">
      <c r="A39" s="40" t="s">
        <v>317</v>
      </c>
      <c r="B39" s="55">
        <v>0</v>
      </c>
      <c r="C39" s="56">
        <v>0.44440000000000002</v>
      </c>
      <c r="D39" s="56">
        <v>0</v>
      </c>
      <c r="E39" s="56">
        <v>0.83330000000000004</v>
      </c>
      <c r="F39" s="56">
        <v>0</v>
      </c>
      <c r="G39" s="56">
        <v>0.83330000000000004</v>
      </c>
      <c r="H39" s="56">
        <v>1</v>
      </c>
      <c r="I39" s="56">
        <v>0</v>
      </c>
      <c r="J39" s="56">
        <v>0.16669999999999999</v>
      </c>
      <c r="K39" s="56">
        <v>0</v>
      </c>
      <c r="L39" s="56">
        <v>0.33329999999999999</v>
      </c>
      <c r="M39" s="59">
        <v>4.7600000000000003E-2</v>
      </c>
    </row>
    <row r="40" spans="1:13" ht="14.25" customHeight="1">
      <c r="A40" s="40" t="s">
        <v>318</v>
      </c>
      <c r="B40" s="55">
        <v>1.2200000000000001E-2</v>
      </c>
      <c r="C40" s="56">
        <v>0.20730000000000001</v>
      </c>
      <c r="D40" s="56">
        <v>0</v>
      </c>
      <c r="E40" s="56">
        <v>1</v>
      </c>
      <c r="F40" s="56">
        <v>0</v>
      </c>
      <c r="G40" s="56">
        <v>1</v>
      </c>
      <c r="H40" s="56">
        <v>0.94740000000000002</v>
      </c>
      <c r="I40" s="56">
        <v>0</v>
      </c>
      <c r="J40" s="56">
        <v>5.2600000000000001E-2</v>
      </c>
      <c r="K40" s="56">
        <v>0</v>
      </c>
      <c r="L40" s="56">
        <v>0.4138</v>
      </c>
      <c r="M40" s="59">
        <v>6.9000000000000006E-2</v>
      </c>
    </row>
    <row r="41" spans="1:13" ht="14.25" customHeight="1">
      <c r="A41" s="40" t="s">
        <v>319</v>
      </c>
      <c r="B41" s="55">
        <v>4.8800000000000003E-2</v>
      </c>
      <c r="C41" s="56">
        <v>0.28289999999999998</v>
      </c>
      <c r="D41" s="56">
        <v>2.4400000000000002E-2</v>
      </c>
      <c r="E41" s="56">
        <v>0.7</v>
      </c>
      <c r="F41" s="56">
        <v>0.1</v>
      </c>
      <c r="G41" s="56">
        <v>0.75</v>
      </c>
      <c r="H41" s="56">
        <v>0.9667</v>
      </c>
      <c r="I41" s="56">
        <v>0.05</v>
      </c>
      <c r="J41" s="56">
        <v>0.31669999999999998</v>
      </c>
      <c r="K41" s="56">
        <v>0.115</v>
      </c>
      <c r="L41" s="56">
        <v>0.56640000000000001</v>
      </c>
      <c r="M41" s="59">
        <v>2.6499999999999999E-2</v>
      </c>
    </row>
    <row r="42" spans="1:13" ht="14.25" customHeight="1">
      <c r="A42" s="40" t="s">
        <v>320</v>
      </c>
      <c r="B42" s="55">
        <v>1.6199999999999999E-2</v>
      </c>
      <c r="C42" s="56">
        <v>0.31979999999999997</v>
      </c>
      <c r="D42" s="56">
        <v>0.14169999999999999</v>
      </c>
      <c r="E42" s="56">
        <v>1</v>
      </c>
      <c r="F42" s="56">
        <v>7.6899999999999996E-2</v>
      </c>
      <c r="G42" s="56">
        <v>1</v>
      </c>
      <c r="H42" s="56">
        <v>1</v>
      </c>
      <c r="I42" s="56">
        <v>0</v>
      </c>
      <c r="J42" s="56">
        <v>0.47060000000000002</v>
      </c>
      <c r="K42" s="56">
        <v>0.17499999999999999</v>
      </c>
      <c r="L42" s="56">
        <v>0.45</v>
      </c>
      <c r="M42" s="59">
        <v>0</v>
      </c>
    </row>
    <row r="43" spans="1:13" ht="14.25" customHeight="1">
      <c r="A43" s="40" t="s">
        <v>321</v>
      </c>
      <c r="B43" s="55">
        <v>7.6899999999999996E-2</v>
      </c>
      <c r="C43" s="56">
        <v>0.55130000000000001</v>
      </c>
      <c r="D43" s="56">
        <v>1.2800000000000001E-2</v>
      </c>
      <c r="E43" s="56">
        <v>0.78949999999999998</v>
      </c>
      <c r="F43" s="56">
        <v>0</v>
      </c>
      <c r="G43" s="56">
        <v>0.94740000000000002</v>
      </c>
      <c r="H43" s="56">
        <v>1</v>
      </c>
      <c r="I43" s="56">
        <v>0</v>
      </c>
      <c r="J43" s="56">
        <v>0.2</v>
      </c>
      <c r="K43" s="56">
        <v>4.2000000000000003E-2</v>
      </c>
      <c r="L43" s="56">
        <v>0.25869999999999999</v>
      </c>
      <c r="M43" s="59">
        <v>1.4E-2</v>
      </c>
    </row>
    <row r="44" spans="1:13" ht="14.25" customHeight="1">
      <c r="A44" s="40" t="s">
        <v>322</v>
      </c>
      <c r="B44" s="61">
        <v>4.1999999999999997E-3</v>
      </c>
      <c r="C44" s="62">
        <v>0.30930000000000002</v>
      </c>
      <c r="D44" s="62">
        <v>8.5000000000000006E-3</v>
      </c>
      <c r="E44" s="62">
        <v>0.8</v>
      </c>
      <c r="F44" s="62">
        <v>0.3</v>
      </c>
      <c r="G44" s="62">
        <v>0.9</v>
      </c>
      <c r="H44" s="62">
        <v>0.98780000000000001</v>
      </c>
      <c r="I44" s="62">
        <v>3.6600000000000001E-2</v>
      </c>
      <c r="J44" s="62">
        <v>0.1341</v>
      </c>
      <c r="K44" s="62">
        <v>0.1973</v>
      </c>
      <c r="L44" s="62">
        <v>0.31969999999999998</v>
      </c>
      <c r="M44" s="66">
        <v>6.7999999999999996E-3</v>
      </c>
    </row>
    <row r="45" spans="1:13" ht="14.25" customHeight="1">
      <c r="A45" s="40"/>
      <c r="B45" s="20"/>
      <c r="C45" s="20"/>
      <c r="D45" s="20"/>
      <c r="E45" s="20"/>
      <c r="F45" s="20"/>
      <c r="G45" s="20"/>
      <c r="H45" s="20"/>
      <c r="I45" s="20"/>
      <c r="J45" s="20"/>
      <c r="K45" s="20"/>
      <c r="L45" s="20"/>
      <c r="M45" s="20"/>
    </row>
    <row r="46" spans="1:13" ht="14.25" customHeight="1">
      <c r="A46" s="38" t="s">
        <v>327</v>
      </c>
      <c r="B46" s="20"/>
      <c r="C46" s="20"/>
      <c r="D46" s="20"/>
      <c r="E46" s="20"/>
      <c r="F46" s="20"/>
      <c r="G46" s="20"/>
      <c r="H46" s="20"/>
      <c r="I46" s="20"/>
      <c r="J46" s="20"/>
      <c r="K46" s="20"/>
      <c r="L46" s="20"/>
      <c r="M46" s="20"/>
    </row>
    <row r="47" spans="1:13" ht="14.25" customHeight="1">
      <c r="A47" s="40"/>
      <c r="B47" s="40" t="s">
        <v>299</v>
      </c>
      <c r="C47" s="40" t="s">
        <v>300</v>
      </c>
      <c r="D47" s="40" t="s">
        <v>301</v>
      </c>
      <c r="E47" s="40" t="s">
        <v>302</v>
      </c>
      <c r="F47" s="40" t="s">
        <v>303</v>
      </c>
      <c r="G47" s="40" t="s">
        <v>304</v>
      </c>
      <c r="H47" s="40" t="s">
        <v>305</v>
      </c>
      <c r="I47" s="40" t="s">
        <v>306</v>
      </c>
      <c r="J47" s="40" t="s">
        <v>307</v>
      </c>
      <c r="K47" s="40" t="s">
        <v>308</v>
      </c>
      <c r="L47" s="40" t="s">
        <v>309</v>
      </c>
      <c r="M47" s="40" t="s">
        <v>310</v>
      </c>
    </row>
    <row r="48" spans="1:13" ht="14.25" customHeight="1">
      <c r="A48" s="40" t="s">
        <v>311</v>
      </c>
      <c r="B48" s="50">
        <v>1.77E-2</v>
      </c>
      <c r="C48" s="51">
        <v>0.20349999999999999</v>
      </c>
      <c r="D48" s="51">
        <v>2.6499999999999999E-2</v>
      </c>
      <c r="E48" s="51">
        <v>0.77780000000000005</v>
      </c>
      <c r="F48" s="51">
        <v>0.14810000000000001</v>
      </c>
      <c r="G48" s="51">
        <v>0.51849999999999996</v>
      </c>
      <c r="H48" s="51">
        <v>0.90239999999999998</v>
      </c>
      <c r="I48" s="51">
        <v>2.4400000000000002E-2</v>
      </c>
      <c r="J48" s="51">
        <v>7.3200000000000001E-2</v>
      </c>
      <c r="K48" s="51">
        <v>0</v>
      </c>
      <c r="L48" s="51">
        <v>0.55559999999999998</v>
      </c>
      <c r="M48" s="54">
        <v>0</v>
      </c>
    </row>
    <row r="49" spans="1:13" ht="14.25" customHeight="1">
      <c r="A49" s="40" t="s">
        <v>312</v>
      </c>
      <c r="B49" s="55">
        <v>6.1000000000000004E-3</v>
      </c>
      <c r="C49" s="56">
        <v>0.21820000000000001</v>
      </c>
      <c r="D49" s="56">
        <v>9.7000000000000003E-2</v>
      </c>
      <c r="E49" s="56">
        <v>0.70589999999999997</v>
      </c>
      <c r="F49" s="56">
        <v>0</v>
      </c>
      <c r="G49" s="56">
        <v>0.64710000000000001</v>
      </c>
      <c r="H49" s="56">
        <v>1</v>
      </c>
      <c r="I49" s="56">
        <v>0</v>
      </c>
      <c r="J49" s="56">
        <v>0.1875</v>
      </c>
      <c r="K49" s="56">
        <v>1.37E-2</v>
      </c>
      <c r="L49" s="56">
        <v>0.26029999999999998</v>
      </c>
      <c r="M49" s="59">
        <v>0</v>
      </c>
    </row>
    <row r="50" spans="1:13" ht="14.25" customHeight="1">
      <c r="A50" s="40" t="s">
        <v>313</v>
      </c>
      <c r="B50" s="55">
        <v>0.10340000000000001</v>
      </c>
      <c r="C50" s="56">
        <v>0.37930000000000003</v>
      </c>
      <c r="D50" s="56">
        <v>1.72E-2</v>
      </c>
      <c r="E50" s="56">
        <v>0.68179999999999996</v>
      </c>
      <c r="F50" s="56">
        <v>0</v>
      </c>
      <c r="G50" s="56">
        <v>0.2727</v>
      </c>
      <c r="H50" s="56">
        <v>0.95830000000000004</v>
      </c>
      <c r="I50" s="56">
        <v>0</v>
      </c>
      <c r="J50" s="56">
        <v>8.3299999999999999E-2</v>
      </c>
      <c r="K50" s="56">
        <v>0</v>
      </c>
      <c r="L50" s="56">
        <v>0.14580000000000001</v>
      </c>
      <c r="M50" s="59">
        <v>0</v>
      </c>
    </row>
    <row r="51" spans="1:13" ht="14.25" customHeight="1">
      <c r="A51" s="40" t="s">
        <v>314</v>
      </c>
      <c r="B51" s="55">
        <v>6.7999999999999996E-3</v>
      </c>
      <c r="C51" s="56">
        <v>0.2041</v>
      </c>
      <c r="D51" s="56">
        <v>2.7199999999999998E-2</v>
      </c>
      <c r="E51" s="56">
        <v>0.75860000000000005</v>
      </c>
      <c r="F51" s="56">
        <v>6.9000000000000006E-2</v>
      </c>
      <c r="G51" s="56">
        <v>0.2414</v>
      </c>
      <c r="H51" s="56">
        <v>0.79310000000000003</v>
      </c>
      <c r="I51" s="56">
        <v>3.4500000000000003E-2</v>
      </c>
      <c r="J51" s="56">
        <v>5.1700000000000003E-2</v>
      </c>
      <c r="K51" s="56">
        <v>2.2700000000000001E-2</v>
      </c>
      <c r="L51" s="56">
        <v>0.13639999999999999</v>
      </c>
      <c r="M51" s="59">
        <v>0</v>
      </c>
    </row>
    <row r="52" spans="1:13" ht="14.25" customHeight="1">
      <c r="A52" s="40" t="s">
        <v>315</v>
      </c>
      <c r="B52" s="55">
        <v>0</v>
      </c>
      <c r="C52" s="56">
        <v>0.26229999999999998</v>
      </c>
      <c r="D52" s="56">
        <v>0</v>
      </c>
      <c r="E52" s="56">
        <v>0.33329999999999999</v>
      </c>
      <c r="F52" s="56">
        <v>0</v>
      </c>
      <c r="G52" s="56">
        <v>0</v>
      </c>
      <c r="H52" s="56">
        <v>0.92589999999999995</v>
      </c>
      <c r="I52" s="56">
        <v>0</v>
      </c>
      <c r="J52" s="56">
        <v>7.4099999999999999E-2</v>
      </c>
      <c r="K52" s="56">
        <v>0</v>
      </c>
      <c r="L52" s="56">
        <v>0.72729999999999995</v>
      </c>
      <c r="M52" s="59">
        <v>0.18179999999999999</v>
      </c>
    </row>
    <row r="53" spans="1:13" ht="14.25" customHeight="1">
      <c r="A53" s="40" t="s">
        <v>316</v>
      </c>
      <c r="B53" s="55">
        <v>0</v>
      </c>
      <c r="C53" s="56">
        <v>0.17050000000000001</v>
      </c>
      <c r="D53" s="56">
        <v>2.3300000000000001E-2</v>
      </c>
      <c r="E53" s="56">
        <v>1</v>
      </c>
      <c r="F53" s="56">
        <v>0</v>
      </c>
      <c r="G53" s="56">
        <v>1</v>
      </c>
      <c r="H53" s="56">
        <v>1</v>
      </c>
      <c r="I53" s="56">
        <v>8.3299999999999999E-2</v>
      </c>
      <c r="J53" s="56">
        <v>8.3299999999999999E-2</v>
      </c>
      <c r="K53" s="56">
        <v>3.6999999999999998E-2</v>
      </c>
      <c r="L53" s="56">
        <v>0.44440000000000002</v>
      </c>
      <c r="M53" s="59">
        <v>0.1111</v>
      </c>
    </row>
    <row r="54" spans="1:13" ht="14.25" customHeight="1">
      <c r="A54" s="40" t="s">
        <v>317</v>
      </c>
      <c r="B54" s="55">
        <v>5.5599999999999997E-2</v>
      </c>
      <c r="C54" s="56">
        <v>0.38890000000000002</v>
      </c>
      <c r="D54" s="56">
        <v>0</v>
      </c>
      <c r="E54" s="56">
        <v>0.83330000000000004</v>
      </c>
      <c r="F54" s="56">
        <v>0.16669999999999999</v>
      </c>
      <c r="G54" s="56">
        <v>0.5</v>
      </c>
      <c r="H54" s="56">
        <v>1</v>
      </c>
      <c r="I54" s="56">
        <v>0</v>
      </c>
      <c r="J54" s="56">
        <v>8.3299999999999999E-2</v>
      </c>
      <c r="K54" s="56">
        <v>0</v>
      </c>
      <c r="L54" s="56">
        <v>4.7600000000000003E-2</v>
      </c>
      <c r="M54" s="59">
        <v>4.7600000000000003E-2</v>
      </c>
    </row>
    <row r="55" spans="1:13" ht="14.25" customHeight="1">
      <c r="A55" s="40" t="s">
        <v>318</v>
      </c>
      <c r="B55" s="55">
        <v>0</v>
      </c>
      <c r="C55" s="56">
        <v>0.1951</v>
      </c>
      <c r="D55" s="56">
        <v>1.2200000000000001E-2</v>
      </c>
      <c r="E55" s="56">
        <v>0</v>
      </c>
      <c r="F55" s="56">
        <v>0</v>
      </c>
      <c r="G55" s="56">
        <v>1</v>
      </c>
      <c r="H55" s="56">
        <v>0.84209999999999996</v>
      </c>
      <c r="I55" s="56">
        <v>0</v>
      </c>
      <c r="J55" s="56">
        <v>0.1842</v>
      </c>
      <c r="K55" s="56">
        <v>3.4500000000000003E-2</v>
      </c>
      <c r="L55" s="56">
        <v>0.3448</v>
      </c>
      <c r="M55" s="59">
        <v>0.1724</v>
      </c>
    </row>
    <row r="56" spans="1:13" ht="14.25" customHeight="1">
      <c r="A56" s="40" t="s">
        <v>319</v>
      </c>
      <c r="B56" s="55">
        <v>7.3200000000000001E-2</v>
      </c>
      <c r="C56" s="56">
        <v>0.23899999999999999</v>
      </c>
      <c r="D56" s="56">
        <v>3.4099999999999998E-2</v>
      </c>
      <c r="E56" s="56">
        <v>0.8</v>
      </c>
      <c r="F56" s="56">
        <v>0.1</v>
      </c>
      <c r="G56" s="56">
        <v>0.75</v>
      </c>
      <c r="H56" s="56">
        <v>0.95</v>
      </c>
      <c r="I56" s="56">
        <v>0</v>
      </c>
      <c r="J56" s="56">
        <v>0.1333</v>
      </c>
      <c r="K56" s="56">
        <v>0.13270000000000001</v>
      </c>
      <c r="L56" s="56">
        <v>0.3805</v>
      </c>
      <c r="M56" s="59">
        <v>4.4200000000000003E-2</v>
      </c>
    </row>
    <row r="57" spans="1:13" ht="14.25" customHeight="1">
      <c r="A57" s="40" t="s">
        <v>320</v>
      </c>
      <c r="B57" s="55">
        <v>2.8299999999999999E-2</v>
      </c>
      <c r="C57" s="56">
        <v>0.2429</v>
      </c>
      <c r="D57" s="56">
        <v>0.1174</v>
      </c>
      <c r="E57" s="56">
        <v>0.92310000000000003</v>
      </c>
      <c r="F57" s="56">
        <v>0</v>
      </c>
      <c r="G57" s="56">
        <v>1</v>
      </c>
      <c r="H57" s="56">
        <v>1</v>
      </c>
      <c r="I57" s="56">
        <v>0</v>
      </c>
      <c r="J57" s="56">
        <v>0.17649999999999999</v>
      </c>
      <c r="K57" s="56">
        <v>0.1188</v>
      </c>
      <c r="L57" s="56">
        <v>0.3125</v>
      </c>
      <c r="M57" s="59">
        <v>3.1300000000000001E-2</v>
      </c>
    </row>
    <row r="58" spans="1:13" ht="14.25" customHeight="1">
      <c r="A58" s="40" t="s">
        <v>321</v>
      </c>
      <c r="B58" s="55">
        <v>0.12820000000000001</v>
      </c>
      <c r="C58" s="56">
        <v>0.43590000000000001</v>
      </c>
      <c r="D58" s="56">
        <v>8.9700000000000002E-2</v>
      </c>
      <c r="E58" s="56">
        <v>0.68420000000000003</v>
      </c>
      <c r="F58" s="56">
        <v>0</v>
      </c>
      <c r="G58" s="56">
        <v>0.89470000000000005</v>
      </c>
      <c r="H58" s="56">
        <v>1</v>
      </c>
      <c r="I58" s="56">
        <v>0.05</v>
      </c>
      <c r="J58" s="56">
        <v>0.15</v>
      </c>
      <c r="K58" s="56">
        <v>3.5000000000000003E-2</v>
      </c>
      <c r="L58" s="56">
        <v>0.1469</v>
      </c>
      <c r="M58" s="59">
        <v>7.0000000000000001E-3</v>
      </c>
    </row>
    <row r="59" spans="1:13" ht="14.25" customHeight="1">
      <c r="A59" s="40" t="s">
        <v>322</v>
      </c>
      <c r="B59" s="61">
        <v>8.5000000000000006E-3</v>
      </c>
      <c r="C59" s="62">
        <v>0.24579999999999999</v>
      </c>
      <c r="D59" s="62">
        <v>2.9700000000000001E-2</v>
      </c>
      <c r="E59" s="62">
        <v>0.9</v>
      </c>
      <c r="F59" s="62">
        <v>0.2</v>
      </c>
      <c r="G59" s="62">
        <v>0.7</v>
      </c>
      <c r="H59" s="62">
        <v>0.95120000000000005</v>
      </c>
      <c r="I59" s="62">
        <v>4.8800000000000003E-2</v>
      </c>
      <c r="J59" s="62">
        <v>0.10979999999999999</v>
      </c>
      <c r="K59" s="62">
        <v>0.1429</v>
      </c>
      <c r="L59" s="62">
        <v>0.1633</v>
      </c>
      <c r="M59" s="66">
        <v>3.4000000000000002E-2</v>
      </c>
    </row>
    <row r="60" spans="1:13" ht="14.25" customHeight="1">
      <c r="A60" s="40"/>
      <c r="B60" s="20"/>
      <c r="C60" s="20"/>
      <c r="D60" s="20"/>
      <c r="E60" s="20"/>
      <c r="F60" s="20"/>
      <c r="G60" s="20"/>
      <c r="H60" s="20"/>
      <c r="I60" s="20"/>
      <c r="J60" s="20"/>
      <c r="K60" s="20"/>
      <c r="L60" s="20"/>
      <c r="M60" s="20"/>
    </row>
    <row r="61" spans="1:13" ht="14.25" customHeight="1">
      <c r="A61" s="38" t="s">
        <v>329</v>
      </c>
      <c r="B61" s="20"/>
      <c r="C61" s="20"/>
      <c r="D61" s="20"/>
      <c r="E61" s="20"/>
      <c r="F61" s="20"/>
      <c r="G61" s="20"/>
      <c r="H61" s="20"/>
      <c r="I61" s="20"/>
      <c r="J61" s="20"/>
      <c r="K61" s="20"/>
      <c r="L61" s="20"/>
      <c r="M61" s="20"/>
    </row>
    <row r="62" spans="1:13" ht="14.25" customHeight="1">
      <c r="A62" s="40"/>
      <c r="B62" s="40" t="s">
        <v>299</v>
      </c>
      <c r="C62" s="40" t="s">
        <v>300</v>
      </c>
      <c r="D62" s="40" t="s">
        <v>301</v>
      </c>
      <c r="E62" s="40" t="s">
        <v>302</v>
      </c>
      <c r="F62" s="40" t="s">
        <v>303</v>
      </c>
      <c r="G62" s="40" t="s">
        <v>304</v>
      </c>
      <c r="H62" s="40" t="s">
        <v>305</v>
      </c>
      <c r="I62" s="40" t="s">
        <v>306</v>
      </c>
      <c r="J62" s="40" t="s">
        <v>307</v>
      </c>
      <c r="K62" s="40" t="s">
        <v>308</v>
      </c>
      <c r="L62" s="40" t="s">
        <v>309</v>
      </c>
      <c r="M62" s="40" t="s">
        <v>310</v>
      </c>
    </row>
    <row r="63" spans="1:13" ht="14.25" customHeight="1">
      <c r="A63" s="40" t="s">
        <v>311</v>
      </c>
      <c r="B63" s="50">
        <v>5.3100000000000001E-2</v>
      </c>
      <c r="C63" s="51">
        <v>0.36280000000000001</v>
      </c>
      <c r="D63" s="51">
        <v>2.6499999999999999E-2</v>
      </c>
      <c r="E63" s="51">
        <v>0.88890000000000002</v>
      </c>
      <c r="F63" s="51">
        <v>0.1111</v>
      </c>
      <c r="G63" s="51">
        <v>0.85189999999999999</v>
      </c>
      <c r="H63" s="51">
        <v>0.95120000000000005</v>
      </c>
      <c r="I63" s="51">
        <v>4.8800000000000003E-2</v>
      </c>
      <c r="J63" s="51">
        <v>0.1951</v>
      </c>
      <c r="K63" s="51">
        <v>5.5599999999999997E-2</v>
      </c>
      <c r="L63" s="51">
        <v>0.83330000000000004</v>
      </c>
      <c r="M63" s="54">
        <v>5.5599999999999997E-2</v>
      </c>
    </row>
    <row r="64" spans="1:13" ht="14.25" customHeight="1">
      <c r="A64" s="40" t="s">
        <v>312</v>
      </c>
      <c r="B64" s="55">
        <v>1.8200000000000001E-2</v>
      </c>
      <c r="C64" s="56">
        <v>0.43030000000000002</v>
      </c>
      <c r="D64" s="56">
        <v>0.10299999999999999</v>
      </c>
      <c r="E64" s="56">
        <v>0.88239999999999996</v>
      </c>
      <c r="F64" s="56">
        <v>0</v>
      </c>
      <c r="G64" s="56">
        <v>0.73529999999999995</v>
      </c>
      <c r="H64" s="56">
        <v>1</v>
      </c>
      <c r="I64" s="56">
        <v>6.25E-2</v>
      </c>
      <c r="J64" s="56">
        <v>0.125</v>
      </c>
      <c r="K64" s="56">
        <v>0.1096</v>
      </c>
      <c r="L64" s="56">
        <v>0.65749999999999997</v>
      </c>
      <c r="M64" s="59">
        <v>0</v>
      </c>
    </row>
    <row r="65" spans="1:13" ht="14.25" customHeight="1">
      <c r="A65" s="40" t="s">
        <v>313</v>
      </c>
      <c r="B65" s="55">
        <v>0.10340000000000001</v>
      </c>
      <c r="C65" s="56">
        <v>0.43099999999999999</v>
      </c>
      <c r="D65" s="56">
        <v>6.9000000000000006E-2</v>
      </c>
      <c r="E65" s="56">
        <v>0.81820000000000004</v>
      </c>
      <c r="F65" s="56">
        <v>4.5499999999999999E-2</v>
      </c>
      <c r="G65" s="56">
        <v>0.40910000000000002</v>
      </c>
      <c r="H65" s="56">
        <v>1</v>
      </c>
      <c r="I65" s="56">
        <v>4.1700000000000001E-2</v>
      </c>
      <c r="J65" s="56">
        <v>0.20830000000000001</v>
      </c>
      <c r="K65" s="56">
        <v>0</v>
      </c>
      <c r="L65" s="56">
        <v>0.27079999999999999</v>
      </c>
      <c r="M65" s="59">
        <v>0</v>
      </c>
    </row>
    <row r="66" spans="1:13" ht="14.25" customHeight="1">
      <c r="A66" s="40" t="s">
        <v>314</v>
      </c>
      <c r="B66" s="55">
        <v>0</v>
      </c>
      <c r="C66" s="56">
        <v>0.35370000000000001</v>
      </c>
      <c r="D66" s="56">
        <v>2.7199999999999998E-2</v>
      </c>
      <c r="E66" s="56">
        <v>0.89659999999999995</v>
      </c>
      <c r="F66" s="56">
        <v>0.2414</v>
      </c>
      <c r="G66" s="56">
        <v>0.27589999999999998</v>
      </c>
      <c r="H66" s="56">
        <v>0.94830000000000003</v>
      </c>
      <c r="I66" s="56">
        <v>5.1700000000000003E-2</v>
      </c>
      <c r="J66" s="56">
        <v>0.1207</v>
      </c>
      <c r="K66" s="56">
        <v>9.0899999999999995E-2</v>
      </c>
      <c r="L66" s="56">
        <v>0.34089999999999998</v>
      </c>
      <c r="M66" s="59">
        <v>2.2700000000000001E-2</v>
      </c>
    </row>
    <row r="67" spans="1:13" ht="14.25" customHeight="1">
      <c r="A67" s="40" t="s">
        <v>315</v>
      </c>
      <c r="B67" s="55">
        <v>0</v>
      </c>
      <c r="C67" s="56">
        <v>0.34429999999999999</v>
      </c>
      <c r="D67" s="56">
        <v>0</v>
      </c>
      <c r="E67" s="56">
        <v>0.33329999999999999</v>
      </c>
      <c r="F67" s="56">
        <v>0</v>
      </c>
      <c r="G67" s="56">
        <v>0.33329999999999999</v>
      </c>
      <c r="H67" s="56">
        <v>1</v>
      </c>
      <c r="I67" s="56">
        <v>0</v>
      </c>
      <c r="J67" s="56">
        <v>0.14810000000000001</v>
      </c>
      <c r="K67" s="56">
        <v>0</v>
      </c>
      <c r="L67" s="56">
        <v>1</v>
      </c>
      <c r="M67" s="59">
        <v>9.0899999999999995E-2</v>
      </c>
    </row>
    <row r="68" spans="1:13" ht="14.25" customHeight="1">
      <c r="A68" s="40" t="s">
        <v>316</v>
      </c>
      <c r="B68" s="55">
        <v>0</v>
      </c>
      <c r="C68" s="56">
        <v>0.34110000000000001</v>
      </c>
      <c r="D68" s="56">
        <v>3.1E-2</v>
      </c>
      <c r="E68" s="56">
        <v>1</v>
      </c>
      <c r="F68" s="56">
        <v>0</v>
      </c>
      <c r="G68" s="56">
        <v>1</v>
      </c>
      <c r="H68" s="56">
        <v>1</v>
      </c>
      <c r="I68" s="56">
        <v>0</v>
      </c>
      <c r="J68" s="56">
        <v>0</v>
      </c>
      <c r="K68" s="56">
        <v>0.1852</v>
      </c>
      <c r="L68" s="56">
        <v>0.70369999999999999</v>
      </c>
      <c r="M68" s="59">
        <v>0.1852</v>
      </c>
    </row>
    <row r="69" spans="1:13" ht="14.25" customHeight="1">
      <c r="A69" s="40" t="s">
        <v>317</v>
      </c>
      <c r="B69" s="55">
        <v>0</v>
      </c>
      <c r="C69" s="56">
        <v>0.66669999999999996</v>
      </c>
      <c r="D69" s="56">
        <v>0</v>
      </c>
      <c r="E69" s="56">
        <v>1</v>
      </c>
      <c r="F69" s="56">
        <v>0</v>
      </c>
      <c r="G69" s="56">
        <v>1</v>
      </c>
      <c r="H69" s="56">
        <v>0.91669999999999996</v>
      </c>
      <c r="I69" s="56">
        <v>0</v>
      </c>
      <c r="J69" s="56">
        <v>8.3299999999999999E-2</v>
      </c>
      <c r="K69" s="56">
        <v>0</v>
      </c>
      <c r="L69" s="56">
        <v>0.28570000000000001</v>
      </c>
      <c r="M69" s="59">
        <v>0</v>
      </c>
    </row>
    <row r="70" spans="1:13" ht="14.25" customHeight="1">
      <c r="A70" s="40" t="s">
        <v>318</v>
      </c>
      <c r="B70" s="55">
        <v>0</v>
      </c>
      <c r="C70" s="56">
        <v>0.23169999999999999</v>
      </c>
      <c r="D70" s="56">
        <v>1.2200000000000001E-2</v>
      </c>
      <c r="E70" s="56">
        <v>0</v>
      </c>
      <c r="F70" s="56">
        <v>0</v>
      </c>
      <c r="G70" s="56">
        <v>1</v>
      </c>
      <c r="H70" s="56">
        <v>0.94740000000000002</v>
      </c>
      <c r="I70" s="56">
        <v>0</v>
      </c>
      <c r="J70" s="56">
        <v>5.2600000000000001E-2</v>
      </c>
      <c r="K70" s="56">
        <v>6.9000000000000006E-2</v>
      </c>
      <c r="L70" s="56">
        <v>0.3448</v>
      </c>
      <c r="M70" s="59">
        <v>0.1724</v>
      </c>
    </row>
    <row r="71" spans="1:13" ht="14.25" customHeight="1">
      <c r="A71" s="40" t="s">
        <v>319</v>
      </c>
      <c r="B71" s="55">
        <v>0.10730000000000001</v>
      </c>
      <c r="C71" s="56">
        <v>0.33169999999999999</v>
      </c>
      <c r="D71" s="56">
        <v>2.4400000000000002E-2</v>
      </c>
      <c r="E71" s="56">
        <v>0.9</v>
      </c>
      <c r="F71" s="56">
        <v>0.2</v>
      </c>
      <c r="G71" s="56">
        <v>0.95</v>
      </c>
      <c r="H71" s="56">
        <v>0.98329999999999995</v>
      </c>
      <c r="I71" s="56">
        <v>0.05</v>
      </c>
      <c r="J71" s="56">
        <v>0.51670000000000005</v>
      </c>
      <c r="K71" s="56">
        <v>0.1681</v>
      </c>
      <c r="L71" s="56">
        <v>0.72570000000000001</v>
      </c>
      <c r="M71" s="59">
        <v>3.5400000000000001E-2</v>
      </c>
    </row>
    <row r="72" spans="1:13" ht="14.25" customHeight="1">
      <c r="A72" s="40" t="s">
        <v>320</v>
      </c>
      <c r="B72" s="55">
        <v>4.4499999999999998E-2</v>
      </c>
      <c r="C72" s="56">
        <v>0.57089999999999996</v>
      </c>
      <c r="D72" s="56">
        <v>0.14979999999999999</v>
      </c>
      <c r="E72" s="56">
        <v>1</v>
      </c>
      <c r="F72" s="56">
        <v>7.6899999999999996E-2</v>
      </c>
      <c r="G72" s="56">
        <v>1</v>
      </c>
      <c r="H72" s="56">
        <v>1</v>
      </c>
      <c r="I72" s="56">
        <v>0</v>
      </c>
      <c r="J72" s="56">
        <v>0.4118</v>
      </c>
      <c r="K72" s="56">
        <v>0.26250000000000001</v>
      </c>
      <c r="L72" s="56">
        <v>0.54379999999999995</v>
      </c>
      <c r="M72" s="59">
        <v>0.05</v>
      </c>
    </row>
    <row r="73" spans="1:13" ht="14.25" customHeight="1">
      <c r="A73" s="40" t="s">
        <v>321</v>
      </c>
      <c r="B73" s="55">
        <v>0.15379999999999999</v>
      </c>
      <c r="C73" s="56">
        <v>0.71789999999999998</v>
      </c>
      <c r="D73" s="56">
        <v>6.4100000000000004E-2</v>
      </c>
      <c r="E73" s="56">
        <v>0.89470000000000005</v>
      </c>
      <c r="F73" s="56">
        <v>0.1053</v>
      </c>
      <c r="G73" s="56">
        <v>0.94740000000000002</v>
      </c>
      <c r="H73" s="56">
        <v>1</v>
      </c>
      <c r="I73" s="56">
        <v>0.05</v>
      </c>
      <c r="J73" s="56">
        <v>0.15</v>
      </c>
      <c r="K73" s="56">
        <v>6.9900000000000004E-2</v>
      </c>
      <c r="L73" s="56">
        <v>0.30769999999999997</v>
      </c>
      <c r="M73" s="59">
        <v>3.5000000000000003E-2</v>
      </c>
    </row>
    <row r="74" spans="1:13" ht="14.25" customHeight="1">
      <c r="A74" s="40" t="s">
        <v>322</v>
      </c>
      <c r="B74" s="61">
        <v>1.6899999999999998E-2</v>
      </c>
      <c r="C74" s="62">
        <v>0.47460000000000002</v>
      </c>
      <c r="D74" s="62">
        <v>4.24E-2</v>
      </c>
      <c r="E74" s="62">
        <v>0.9</v>
      </c>
      <c r="F74" s="62">
        <v>0.4</v>
      </c>
      <c r="G74" s="62">
        <v>0.9</v>
      </c>
      <c r="H74" s="62">
        <v>1</v>
      </c>
      <c r="I74" s="62">
        <v>4.8800000000000003E-2</v>
      </c>
      <c r="J74" s="62">
        <v>0.24390000000000001</v>
      </c>
      <c r="K74" s="62">
        <v>0.25169999999999998</v>
      </c>
      <c r="L74" s="62">
        <v>0.33329999999999999</v>
      </c>
      <c r="M74" s="66">
        <v>6.7999999999999996E-3</v>
      </c>
    </row>
    <row r="75" spans="1:13" ht="14.25" customHeight="1">
      <c r="A75" s="40"/>
      <c r="B75" s="20"/>
      <c r="C75" s="20"/>
      <c r="D75" s="20"/>
      <c r="E75" s="20"/>
      <c r="F75" s="20"/>
      <c r="G75" s="20"/>
      <c r="H75" s="20"/>
      <c r="I75" s="20"/>
      <c r="J75" s="20"/>
      <c r="K75" s="20"/>
      <c r="L75" s="20"/>
      <c r="M75" s="20"/>
    </row>
    <row r="76" spans="1:13" ht="14.25" customHeight="1">
      <c r="A76" s="38" t="s">
        <v>337</v>
      </c>
      <c r="B76" s="20"/>
      <c r="C76" s="20"/>
      <c r="D76" s="20"/>
      <c r="E76" s="20"/>
      <c r="F76" s="20"/>
      <c r="G76" s="20"/>
      <c r="H76" s="20"/>
      <c r="I76" s="20"/>
      <c r="J76" s="20"/>
      <c r="K76" s="20"/>
      <c r="L76" s="20"/>
      <c r="M76" s="20"/>
    </row>
    <row r="77" spans="1:13" ht="14.25" customHeight="1">
      <c r="A77" s="40"/>
      <c r="B77" s="40" t="s">
        <v>299</v>
      </c>
      <c r="C77" s="40" t="s">
        <v>300</v>
      </c>
      <c r="D77" s="40" t="s">
        <v>301</v>
      </c>
      <c r="E77" s="40" t="s">
        <v>302</v>
      </c>
      <c r="F77" s="40" t="s">
        <v>303</v>
      </c>
      <c r="G77" s="40" t="s">
        <v>304</v>
      </c>
      <c r="H77" s="40" t="s">
        <v>305</v>
      </c>
      <c r="I77" s="40" t="s">
        <v>306</v>
      </c>
      <c r="J77" s="40" t="s">
        <v>307</v>
      </c>
      <c r="K77" s="40" t="s">
        <v>308</v>
      </c>
      <c r="L77" s="40" t="s">
        <v>309</v>
      </c>
      <c r="M77" s="40" t="s">
        <v>310</v>
      </c>
    </row>
    <row r="78" spans="1:13" ht="14.25" customHeight="1">
      <c r="A78" s="40" t="s">
        <v>311</v>
      </c>
      <c r="B78" s="50">
        <v>8.8000000000000005E-3</v>
      </c>
      <c r="C78" s="51">
        <v>0.30969999999999998</v>
      </c>
      <c r="D78" s="51">
        <v>2.6499999999999999E-2</v>
      </c>
      <c r="E78" s="51">
        <v>0.55559999999999998</v>
      </c>
      <c r="F78" s="51">
        <v>3.6999999999999998E-2</v>
      </c>
      <c r="G78" s="51">
        <v>0.74070000000000003</v>
      </c>
      <c r="H78" s="51">
        <v>0.92679999999999996</v>
      </c>
      <c r="I78" s="51">
        <v>0</v>
      </c>
      <c r="J78" s="51">
        <v>0.122</v>
      </c>
      <c r="K78" s="51">
        <v>0</v>
      </c>
      <c r="L78" s="51">
        <v>0.66669999999999996</v>
      </c>
      <c r="M78" s="54">
        <v>0</v>
      </c>
    </row>
    <row r="79" spans="1:13" ht="14.25" customHeight="1">
      <c r="A79" s="40" t="s">
        <v>312</v>
      </c>
      <c r="B79" s="55">
        <v>6.0600000000000001E-2</v>
      </c>
      <c r="C79" s="56">
        <v>0.36359999999999998</v>
      </c>
      <c r="D79" s="56">
        <v>0.1636</v>
      </c>
      <c r="E79" s="56">
        <v>0.67649999999999999</v>
      </c>
      <c r="F79" s="56">
        <v>5.8799999999999998E-2</v>
      </c>
      <c r="G79" s="56">
        <v>0.76470000000000005</v>
      </c>
      <c r="H79" s="56">
        <v>1</v>
      </c>
      <c r="I79" s="56">
        <v>6.25E-2</v>
      </c>
      <c r="J79" s="56">
        <v>0.1875</v>
      </c>
      <c r="K79" s="56">
        <v>5.4800000000000001E-2</v>
      </c>
      <c r="L79" s="56">
        <v>0.64380000000000004</v>
      </c>
      <c r="M79" s="59">
        <v>0</v>
      </c>
    </row>
    <row r="80" spans="1:13" ht="14.25" customHeight="1">
      <c r="A80" s="40" t="s">
        <v>313</v>
      </c>
      <c r="B80" s="55">
        <v>0.18970000000000001</v>
      </c>
      <c r="C80" s="56">
        <v>0.29310000000000003</v>
      </c>
      <c r="D80" s="56">
        <v>6.9000000000000006E-2</v>
      </c>
      <c r="E80" s="56">
        <v>0.54549999999999998</v>
      </c>
      <c r="F80" s="56">
        <v>0</v>
      </c>
      <c r="G80" s="56">
        <v>0.59089999999999998</v>
      </c>
      <c r="H80" s="56">
        <v>0.95830000000000004</v>
      </c>
      <c r="I80" s="56">
        <v>8.3299999999999999E-2</v>
      </c>
      <c r="J80" s="56">
        <v>0.20830000000000001</v>
      </c>
      <c r="K80" s="56">
        <v>2.0799999999999999E-2</v>
      </c>
      <c r="L80" s="56">
        <v>0.1875</v>
      </c>
      <c r="M80" s="59">
        <v>2.0799999999999999E-2</v>
      </c>
    </row>
    <row r="81" spans="1:13" ht="14.25" customHeight="1">
      <c r="A81" s="40" t="s">
        <v>314</v>
      </c>
      <c r="B81" s="55">
        <v>0</v>
      </c>
      <c r="C81" s="56">
        <v>0.41499999999999998</v>
      </c>
      <c r="D81" s="56">
        <v>2.7199999999999998E-2</v>
      </c>
      <c r="E81" s="56">
        <v>0.58620000000000005</v>
      </c>
      <c r="F81" s="56">
        <v>0.1724</v>
      </c>
      <c r="G81" s="56">
        <v>0.3448</v>
      </c>
      <c r="H81" s="56">
        <v>0.89659999999999995</v>
      </c>
      <c r="I81" s="56">
        <v>6.9000000000000006E-2</v>
      </c>
      <c r="J81" s="56">
        <v>0.2069</v>
      </c>
      <c r="K81" s="56">
        <v>0.11360000000000001</v>
      </c>
      <c r="L81" s="56">
        <v>0.18179999999999999</v>
      </c>
      <c r="M81" s="59">
        <v>0</v>
      </c>
    </row>
    <row r="82" spans="1:13" ht="14.25" customHeight="1">
      <c r="A82" s="40" t="s">
        <v>315</v>
      </c>
      <c r="B82" s="55">
        <v>0</v>
      </c>
      <c r="C82" s="56">
        <v>0.24590000000000001</v>
      </c>
      <c r="D82" s="56">
        <v>1.6400000000000001E-2</v>
      </c>
      <c r="E82" s="56">
        <v>0</v>
      </c>
      <c r="F82" s="56">
        <v>0</v>
      </c>
      <c r="G82" s="56">
        <v>0.33329999999999999</v>
      </c>
      <c r="H82" s="56">
        <v>0.96299999999999997</v>
      </c>
      <c r="I82" s="56">
        <v>0</v>
      </c>
      <c r="J82" s="56">
        <v>0.22220000000000001</v>
      </c>
      <c r="K82" s="56">
        <v>9.0899999999999995E-2</v>
      </c>
      <c r="L82" s="56">
        <v>0.54549999999999998</v>
      </c>
      <c r="M82" s="59">
        <v>0.36359999999999998</v>
      </c>
    </row>
    <row r="83" spans="1:13" ht="14.25" customHeight="1">
      <c r="A83" s="40" t="s">
        <v>316</v>
      </c>
      <c r="B83" s="55">
        <v>1.55E-2</v>
      </c>
      <c r="C83" s="56">
        <v>0.37209999999999999</v>
      </c>
      <c r="D83" s="56">
        <v>7.7999999999999996E-3</v>
      </c>
      <c r="E83" s="56">
        <v>0.5</v>
      </c>
      <c r="F83" s="56">
        <v>0</v>
      </c>
      <c r="G83" s="56">
        <v>1</v>
      </c>
      <c r="H83" s="56">
        <v>1</v>
      </c>
      <c r="I83" s="56">
        <v>0</v>
      </c>
      <c r="J83" s="56">
        <v>0.33329999999999999</v>
      </c>
      <c r="K83" s="56">
        <v>0.14810000000000001</v>
      </c>
      <c r="L83" s="56">
        <v>0.40739999999999998</v>
      </c>
      <c r="M83" s="59">
        <v>0.22220000000000001</v>
      </c>
    </row>
    <row r="84" spans="1:13" ht="14.25" customHeight="1">
      <c r="A84" s="40" t="s">
        <v>317</v>
      </c>
      <c r="B84" s="55">
        <v>0</v>
      </c>
      <c r="C84" s="56">
        <v>0.38890000000000002</v>
      </c>
      <c r="D84" s="56">
        <v>0</v>
      </c>
      <c r="E84" s="56">
        <v>0.66669999999999996</v>
      </c>
      <c r="F84" s="56">
        <v>0.16669999999999999</v>
      </c>
      <c r="G84" s="56">
        <v>0.66669999999999996</v>
      </c>
      <c r="H84" s="56">
        <v>0.91669999999999996</v>
      </c>
      <c r="I84" s="56">
        <v>0</v>
      </c>
      <c r="J84" s="56">
        <v>0.16669999999999999</v>
      </c>
      <c r="K84" s="56">
        <v>0</v>
      </c>
      <c r="L84" s="56">
        <v>9.5200000000000007E-2</v>
      </c>
      <c r="M84" s="59">
        <v>0.1429</v>
      </c>
    </row>
    <row r="85" spans="1:13" ht="14.25" customHeight="1">
      <c r="A85" s="40" t="s">
        <v>318</v>
      </c>
      <c r="B85" s="55">
        <v>1.2200000000000001E-2</v>
      </c>
      <c r="C85" s="56">
        <v>0.25609999999999999</v>
      </c>
      <c r="D85" s="56">
        <v>0</v>
      </c>
      <c r="E85" s="56">
        <v>1</v>
      </c>
      <c r="F85" s="56">
        <v>0</v>
      </c>
      <c r="G85" s="56">
        <v>1</v>
      </c>
      <c r="H85" s="56">
        <v>0.84209999999999996</v>
      </c>
      <c r="I85" s="56">
        <v>0</v>
      </c>
      <c r="J85" s="56">
        <v>0.23680000000000001</v>
      </c>
      <c r="K85" s="56">
        <v>0.10340000000000001</v>
      </c>
      <c r="L85" s="56">
        <v>0.2414</v>
      </c>
      <c r="M85" s="59">
        <v>0.13789999999999999</v>
      </c>
    </row>
    <row r="86" spans="1:13" ht="14.25" customHeight="1">
      <c r="A86" s="40" t="s">
        <v>319</v>
      </c>
      <c r="B86" s="55">
        <v>8.7800000000000003E-2</v>
      </c>
      <c r="C86" s="56">
        <v>0.31709999999999999</v>
      </c>
      <c r="D86" s="56">
        <v>5.3699999999999998E-2</v>
      </c>
      <c r="E86" s="56">
        <v>0.9</v>
      </c>
      <c r="F86" s="56">
        <v>0.15</v>
      </c>
      <c r="G86" s="56">
        <v>0.75</v>
      </c>
      <c r="H86" s="56">
        <v>1</v>
      </c>
      <c r="I86" s="56">
        <v>0.05</v>
      </c>
      <c r="J86" s="56">
        <v>0.43330000000000002</v>
      </c>
      <c r="K86" s="56">
        <v>0.1416</v>
      </c>
      <c r="L86" s="56">
        <v>0.56640000000000001</v>
      </c>
      <c r="M86" s="59">
        <v>7.9600000000000004E-2</v>
      </c>
    </row>
    <row r="87" spans="1:13" ht="14.25" customHeight="1">
      <c r="A87" s="40" t="s">
        <v>320</v>
      </c>
      <c r="B87" s="55">
        <v>4.8599999999999997E-2</v>
      </c>
      <c r="C87" s="56">
        <v>0.44130000000000003</v>
      </c>
      <c r="D87" s="56">
        <v>0.1862</v>
      </c>
      <c r="E87" s="56">
        <v>0.76919999999999999</v>
      </c>
      <c r="F87" s="56">
        <v>7.6899999999999996E-2</v>
      </c>
      <c r="G87" s="56">
        <v>0.84619999999999995</v>
      </c>
      <c r="H87" s="56">
        <v>1</v>
      </c>
      <c r="I87" s="56">
        <v>0</v>
      </c>
      <c r="J87" s="56">
        <v>0.17649999999999999</v>
      </c>
      <c r="K87" s="56">
        <v>0.15629999999999999</v>
      </c>
      <c r="L87" s="56">
        <v>0.375</v>
      </c>
      <c r="M87" s="59">
        <v>3.7499999999999999E-2</v>
      </c>
    </row>
    <row r="88" spans="1:13" ht="14.25" customHeight="1">
      <c r="A88" s="40" t="s">
        <v>321</v>
      </c>
      <c r="B88" s="55">
        <v>0.12820000000000001</v>
      </c>
      <c r="C88" s="56">
        <v>0.42309999999999998</v>
      </c>
      <c r="D88" s="56">
        <v>7.6899999999999996E-2</v>
      </c>
      <c r="E88" s="56">
        <v>0.57889999999999997</v>
      </c>
      <c r="F88" s="56">
        <v>5.2600000000000001E-2</v>
      </c>
      <c r="G88" s="56">
        <v>0.84209999999999996</v>
      </c>
      <c r="H88" s="56">
        <v>0.95</v>
      </c>
      <c r="I88" s="56">
        <v>0.05</v>
      </c>
      <c r="J88" s="56">
        <v>0.4</v>
      </c>
      <c r="K88" s="56">
        <v>3.5000000000000003E-2</v>
      </c>
      <c r="L88" s="56">
        <v>0.34970000000000001</v>
      </c>
      <c r="M88" s="59">
        <v>1.4E-2</v>
      </c>
    </row>
    <row r="89" spans="1:13" ht="14.25" customHeight="1">
      <c r="A89" s="40" t="s">
        <v>322</v>
      </c>
      <c r="B89" s="61">
        <v>1.6899999999999998E-2</v>
      </c>
      <c r="C89" s="62">
        <v>0.49149999999999999</v>
      </c>
      <c r="D89" s="62">
        <v>1.6899999999999998E-2</v>
      </c>
      <c r="E89" s="62">
        <v>0.8</v>
      </c>
      <c r="F89" s="62">
        <v>0.1</v>
      </c>
      <c r="G89" s="62">
        <v>0.7</v>
      </c>
      <c r="H89" s="62">
        <v>0.93899999999999995</v>
      </c>
      <c r="I89" s="62">
        <v>3.6600000000000001E-2</v>
      </c>
      <c r="J89" s="62">
        <v>0.23169999999999999</v>
      </c>
      <c r="K89" s="62">
        <v>0.27210000000000001</v>
      </c>
      <c r="L89" s="62">
        <v>0.30609999999999998</v>
      </c>
      <c r="M89" s="66">
        <v>3.4000000000000002E-2</v>
      </c>
    </row>
    <row r="90" spans="1:13" ht="14.25" customHeight="1">
      <c r="A90" s="40"/>
      <c r="B90" s="20"/>
      <c r="C90" s="20"/>
      <c r="D90" s="20"/>
      <c r="E90" s="20"/>
      <c r="F90" s="20"/>
      <c r="G90" s="20"/>
      <c r="H90" s="20"/>
      <c r="I90" s="20"/>
      <c r="J90" s="20"/>
      <c r="K90" s="20"/>
      <c r="L90" s="20"/>
      <c r="M90" s="20"/>
    </row>
    <row r="91" spans="1:13" ht="14.25" customHeight="1">
      <c r="A91" s="38" t="s">
        <v>338</v>
      </c>
      <c r="B91" s="20"/>
      <c r="C91" s="20"/>
      <c r="D91" s="20"/>
      <c r="E91" s="20"/>
      <c r="F91" s="20"/>
      <c r="G91" s="20"/>
      <c r="H91" s="20"/>
      <c r="I91" s="20"/>
      <c r="J91" s="20"/>
      <c r="K91" s="20"/>
      <c r="L91" s="20"/>
      <c r="M91" s="20"/>
    </row>
    <row r="92" spans="1:13" ht="14.25" customHeight="1">
      <c r="A92" s="40"/>
      <c r="B92" s="40" t="s">
        <v>299</v>
      </c>
      <c r="C92" s="40" t="s">
        <v>300</v>
      </c>
      <c r="D92" s="40" t="s">
        <v>301</v>
      </c>
      <c r="E92" s="40" t="s">
        <v>302</v>
      </c>
      <c r="F92" s="40" t="s">
        <v>303</v>
      </c>
      <c r="G92" s="40" t="s">
        <v>304</v>
      </c>
      <c r="H92" s="40" t="s">
        <v>305</v>
      </c>
      <c r="I92" s="40" t="s">
        <v>306</v>
      </c>
      <c r="J92" s="40" t="s">
        <v>307</v>
      </c>
      <c r="K92" s="40" t="s">
        <v>308</v>
      </c>
      <c r="L92" s="40" t="s">
        <v>309</v>
      </c>
      <c r="M92" s="40" t="s">
        <v>310</v>
      </c>
    </row>
    <row r="93" spans="1:13" ht="14.25" customHeight="1">
      <c r="A93" s="40" t="s">
        <v>311</v>
      </c>
      <c r="B93" s="50">
        <v>1.77E-2</v>
      </c>
      <c r="C93" s="51">
        <v>0.31859999999999999</v>
      </c>
      <c r="D93" s="51">
        <v>2.6499999999999999E-2</v>
      </c>
      <c r="E93" s="51">
        <v>0.74070000000000003</v>
      </c>
      <c r="F93" s="51">
        <v>3.6999999999999998E-2</v>
      </c>
      <c r="G93" s="51">
        <v>0.88890000000000002</v>
      </c>
      <c r="H93" s="51">
        <v>0.97560000000000002</v>
      </c>
      <c r="I93" s="51">
        <v>9.7600000000000006E-2</v>
      </c>
      <c r="J93" s="51">
        <v>0.14630000000000001</v>
      </c>
      <c r="K93" s="51">
        <v>5.5599999999999997E-2</v>
      </c>
      <c r="L93" s="51">
        <v>0.88890000000000002</v>
      </c>
      <c r="M93" s="54">
        <v>0</v>
      </c>
    </row>
    <row r="94" spans="1:13" ht="14.25" customHeight="1">
      <c r="A94" s="40" t="s">
        <v>312</v>
      </c>
      <c r="B94" s="55">
        <v>1.8200000000000001E-2</v>
      </c>
      <c r="C94" s="56">
        <v>0.39389999999999997</v>
      </c>
      <c r="D94" s="56">
        <v>0.1515</v>
      </c>
      <c r="E94" s="56">
        <v>0.70589999999999997</v>
      </c>
      <c r="F94" s="56">
        <v>0</v>
      </c>
      <c r="G94" s="56">
        <v>0.67649999999999999</v>
      </c>
      <c r="H94" s="56">
        <v>1</v>
      </c>
      <c r="I94" s="56">
        <v>0</v>
      </c>
      <c r="J94" s="56">
        <v>0.3125</v>
      </c>
      <c r="K94" s="56">
        <v>0.1096</v>
      </c>
      <c r="L94" s="56">
        <v>0.64380000000000004</v>
      </c>
      <c r="M94" s="59">
        <v>0</v>
      </c>
    </row>
    <row r="95" spans="1:13" ht="14.25" customHeight="1">
      <c r="A95" s="40" t="s">
        <v>313</v>
      </c>
      <c r="B95" s="55">
        <v>6.9000000000000006E-2</v>
      </c>
      <c r="C95" s="56">
        <v>0.46550000000000002</v>
      </c>
      <c r="D95" s="56">
        <v>3.4500000000000003E-2</v>
      </c>
      <c r="E95" s="56">
        <v>0.68179999999999996</v>
      </c>
      <c r="F95" s="56">
        <v>0</v>
      </c>
      <c r="G95" s="56">
        <v>0.77270000000000005</v>
      </c>
      <c r="H95" s="56">
        <v>0.83330000000000004</v>
      </c>
      <c r="I95" s="56">
        <v>0</v>
      </c>
      <c r="J95" s="56">
        <v>0.29170000000000001</v>
      </c>
      <c r="K95" s="56">
        <v>2.0799999999999999E-2</v>
      </c>
      <c r="L95" s="56">
        <v>0.27079999999999999</v>
      </c>
      <c r="M95" s="59">
        <v>0</v>
      </c>
    </row>
    <row r="96" spans="1:13" ht="14.25" customHeight="1">
      <c r="A96" s="40" t="s">
        <v>314</v>
      </c>
      <c r="B96" s="55">
        <v>1.3599999999999999E-2</v>
      </c>
      <c r="C96" s="56">
        <v>0.49659999999999999</v>
      </c>
      <c r="D96" s="56">
        <v>4.0800000000000003E-2</v>
      </c>
      <c r="E96" s="56">
        <v>0.58620000000000005</v>
      </c>
      <c r="F96" s="56">
        <v>6.9000000000000006E-2</v>
      </c>
      <c r="G96" s="56">
        <v>0.37930000000000003</v>
      </c>
      <c r="H96" s="56">
        <v>1</v>
      </c>
      <c r="I96" s="56">
        <v>5.1700000000000003E-2</v>
      </c>
      <c r="J96" s="56">
        <v>0.1552</v>
      </c>
      <c r="K96" s="56">
        <v>6.8199999999999997E-2</v>
      </c>
      <c r="L96" s="56">
        <v>0.38640000000000002</v>
      </c>
      <c r="M96" s="59">
        <v>0</v>
      </c>
    </row>
    <row r="97" spans="1:13" ht="14.25" customHeight="1">
      <c r="A97" s="40" t="s">
        <v>315</v>
      </c>
      <c r="B97" s="55">
        <v>0</v>
      </c>
      <c r="C97" s="56">
        <v>0.39340000000000003</v>
      </c>
      <c r="D97" s="56">
        <v>0</v>
      </c>
      <c r="E97" s="56">
        <v>0</v>
      </c>
      <c r="F97" s="56">
        <v>0</v>
      </c>
      <c r="G97" s="56">
        <v>0.66669999999999996</v>
      </c>
      <c r="H97" s="56">
        <v>0.96299999999999997</v>
      </c>
      <c r="I97" s="56">
        <v>0</v>
      </c>
      <c r="J97" s="56">
        <v>0.1111</v>
      </c>
      <c r="K97" s="56">
        <v>0</v>
      </c>
      <c r="L97" s="56">
        <v>1</v>
      </c>
      <c r="M97" s="59">
        <v>0</v>
      </c>
    </row>
    <row r="98" spans="1:13" ht="14.25" customHeight="1">
      <c r="A98" s="40" t="s">
        <v>316</v>
      </c>
      <c r="B98" s="55">
        <v>0</v>
      </c>
      <c r="C98" s="56">
        <v>0.39529999999999998</v>
      </c>
      <c r="D98" s="56">
        <v>4.65E-2</v>
      </c>
      <c r="E98" s="56">
        <v>0.83330000000000004</v>
      </c>
      <c r="F98" s="56">
        <v>0</v>
      </c>
      <c r="G98" s="56">
        <v>1</v>
      </c>
      <c r="H98" s="56">
        <v>1</v>
      </c>
      <c r="I98" s="56">
        <v>0</v>
      </c>
      <c r="J98" s="56">
        <v>0.16669999999999999</v>
      </c>
      <c r="K98" s="56">
        <v>3.6999999999999998E-2</v>
      </c>
      <c r="L98" s="56">
        <v>0.59260000000000002</v>
      </c>
      <c r="M98" s="59">
        <v>0.1852</v>
      </c>
    </row>
    <row r="99" spans="1:13" ht="14.25" customHeight="1">
      <c r="A99" s="40" t="s">
        <v>317</v>
      </c>
      <c r="B99" s="55">
        <v>0</v>
      </c>
      <c r="C99" s="56">
        <v>0.72219999999999995</v>
      </c>
      <c r="D99" s="56">
        <v>0</v>
      </c>
      <c r="E99" s="56">
        <v>0.66669999999999996</v>
      </c>
      <c r="F99" s="56">
        <v>0</v>
      </c>
      <c r="G99" s="56">
        <v>0.83330000000000004</v>
      </c>
      <c r="H99" s="56">
        <v>1</v>
      </c>
      <c r="I99" s="56">
        <v>0</v>
      </c>
      <c r="J99" s="56">
        <v>0.33329999999999999</v>
      </c>
      <c r="K99" s="56">
        <v>0</v>
      </c>
      <c r="L99" s="56">
        <v>0.1905</v>
      </c>
      <c r="M99" s="59">
        <v>9.5200000000000007E-2</v>
      </c>
    </row>
    <row r="100" spans="1:13" ht="14.25" customHeight="1">
      <c r="A100" s="40" t="s">
        <v>318</v>
      </c>
      <c r="B100" s="55">
        <v>1.2200000000000001E-2</v>
      </c>
      <c r="C100" s="56">
        <v>0.26829999999999998</v>
      </c>
      <c r="D100" s="56">
        <v>0</v>
      </c>
      <c r="E100" s="56">
        <v>1</v>
      </c>
      <c r="F100" s="56">
        <v>0</v>
      </c>
      <c r="G100" s="56">
        <v>1</v>
      </c>
      <c r="H100" s="56">
        <v>0.89470000000000005</v>
      </c>
      <c r="I100" s="56">
        <v>0</v>
      </c>
      <c r="J100" s="56">
        <v>0.1053</v>
      </c>
      <c r="K100" s="56">
        <v>0.10340000000000001</v>
      </c>
      <c r="L100" s="56">
        <v>0.2414</v>
      </c>
      <c r="M100" s="59">
        <v>6.9000000000000006E-2</v>
      </c>
    </row>
    <row r="101" spans="1:13" ht="14.25" customHeight="1">
      <c r="A101" s="40" t="s">
        <v>319</v>
      </c>
      <c r="B101" s="55">
        <v>6.3399999999999998E-2</v>
      </c>
      <c r="C101" s="56">
        <v>0.3805</v>
      </c>
      <c r="D101" s="56">
        <v>3.9E-2</v>
      </c>
      <c r="E101" s="56">
        <v>0.85</v>
      </c>
      <c r="F101" s="56">
        <v>0.25</v>
      </c>
      <c r="G101" s="56">
        <v>0.9</v>
      </c>
      <c r="H101" s="56">
        <v>1</v>
      </c>
      <c r="I101" s="56">
        <v>0.05</v>
      </c>
      <c r="J101" s="56">
        <v>0.56669999999999998</v>
      </c>
      <c r="K101" s="56">
        <v>0.17699999999999999</v>
      </c>
      <c r="L101" s="56">
        <v>0.7611</v>
      </c>
      <c r="M101" s="59">
        <v>4.4200000000000003E-2</v>
      </c>
    </row>
    <row r="102" spans="1:13" ht="14.25" customHeight="1">
      <c r="A102" s="40" t="s">
        <v>320</v>
      </c>
      <c r="B102" s="55">
        <v>3.2399999999999998E-2</v>
      </c>
      <c r="C102" s="56">
        <v>0.61129999999999995</v>
      </c>
      <c r="D102" s="56">
        <v>0.17</v>
      </c>
      <c r="E102" s="56">
        <v>0.92310000000000003</v>
      </c>
      <c r="F102" s="56">
        <v>0.15379999999999999</v>
      </c>
      <c r="G102" s="56">
        <v>1</v>
      </c>
      <c r="H102" s="56">
        <v>1</v>
      </c>
      <c r="I102" s="56">
        <v>0</v>
      </c>
      <c r="J102" s="56">
        <v>0.4118</v>
      </c>
      <c r="K102" s="56">
        <v>0.16250000000000001</v>
      </c>
      <c r="L102" s="56">
        <v>0.55000000000000004</v>
      </c>
      <c r="M102" s="59">
        <v>3.7499999999999999E-2</v>
      </c>
    </row>
    <row r="103" spans="1:13" ht="14.25" customHeight="1">
      <c r="A103" s="40" t="s">
        <v>321</v>
      </c>
      <c r="B103" s="55">
        <v>0.1154</v>
      </c>
      <c r="C103" s="56">
        <v>0.65380000000000005</v>
      </c>
      <c r="D103" s="56">
        <v>2.5600000000000001E-2</v>
      </c>
      <c r="E103" s="56">
        <v>0.68420000000000003</v>
      </c>
      <c r="F103" s="56">
        <v>5.2600000000000001E-2</v>
      </c>
      <c r="G103" s="56">
        <v>0.94740000000000002</v>
      </c>
      <c r="H103" s="56">
        <v>0.95</v>
      </c>
      <c r="I103" s="56">
        <v>0</v>
      </c>
      <c r="J103" s="56">
        <v>0.35</v>
      </c>
      <c r="K103" s="56">
        <v>7.6899999999999996E-2</v>
      </c>
      <c r="L103" s="56">
        <v>0.37059999999999998</v>
      </c>
      <c r="M103" s="59">
        <v>4.9000000000000002E-2</v>
      </c>
    </row>
    <row r="104" spans="1:13" ht="14.25" customHeight="1">
      <c r="A104" s="40" t="s">
        <v>322</v>
      </c>
      <c r="B104" s="61">
        <v>8.5000000000000006E-3</v>
      </c>
      <c r="C104" s="62">
        <v>0.55510000000000004</v>
      </c>
      <c r="D104" s="62">
        <v>4.6600000000000003E-2</v>
      </c>
      <c r="E104" s="62">
        <v>0.8</v>
      </c>
      <c r="F104" s="62">
        <v>0.1</v>
      </c>
      <c r="G104" s="62">
        <v>0.7</v>
      </c>
      <c r="H104" s="62">
        <v>1</v>
      </c>
      <c r="I104" s="62">
        <v>1.2200000000000001E-2</v>
      </c>
      <c r="J104" s="62">
        <v>0.20730000000000001</v>
      </c>
      <c r="K104" s="62">
        <v>0.1429</v>
      </c>
      <c r="L104" s="62">
        <v>0.31290000000000001</v>
      </c>
      <c r="M104" s="66">
        <v>2.7199999999999998E-2</v>
      </c>
    </row>
    <row r="105" spans="1:13" ht="14.25" customHeight="1">
      <c r="A105" s="40"/>
      <c r="B105" s="20"/>
      <c r="C105" s="20"/>
      <c r="D105" s="20"/>
      <c r="E105" s="20"/>
      <c r="F105" s="20"/>
      <c r="G105" s="20"/>
      <c r="H105" s="20"/>
      <c r="I105" s="20"/>
      <c r="J105" s="20"/>
      <c r="K105" s="20"/>
      <c r="L105" s="20"/>
      <c r="M105" s="20"/>
    </row>
    <row r="106" spans="1:13" ht="14.25" customHeight="1">
      <c r="A106" s="38" t="s">
        <v>339</v>
      </c>
      <c r="B106" s="20"/>
      <c r="C106" s="20"/>
      <c r="D106" s="20"/>
      <c r="E106" s="20"/>
      <c r="F106" s="20"/>
      <c r="G106" s="20"/>
      <c r="H106" s="20"/>
      <c r="I106" s="20"/>
      <c r="J106" s="20"/>
      <c r="K106" s="20"/>
      <c r="L106" s="20"/>
      <c r="M106" s="20"/>
    </row>
    <row r="107" spans="1:13" ht="14.25" customHeight="1">
      <c r="A107" s="40"/>
      <c r="B107" s="40" t="s">
        <v>299</v>
      </c>
      <c r="C107" s="40" t="s">
        <v>300</v>
      </c>
      <c r="D107" s="40" t="s">
        <v>301</v>
      </c>
      <c r="E107" s="40" t="s">
        <v>302</v>
      </c>
      <c r="F107" s="40" t="s">
        <v>303</v>
      </c>
      <c r="G107" s="40" t="s">
        <v>304</v>
      </c>
      <c r="H107" s="40" t="s">
        <v>305</v>
      </c>
      <c r="I107" s="40" t="s">
        <v>306</v>
      </c>
      <c r="J107" s="40" t="s">
        <v>307</v>
      </c>
      <c r="K107" s="40" t="s">
        <v>308</v>
      </c>
      <c r="L107" s="40" t="s">
        <v>309</v>
      </c>
      <c r="M107" s="40" t="s">
        <v>310</v>
      </c>
    </row>
    <row r="108" spans="1:13" ht="14.25" customHeight="1">
      <c r="A108" s="40" t="s">
        <v>311</v>
      </c>
      <c r="B108" s="50">
        <v>1.77E-2</v>
      </c>
      <c r="C108" s="51">
        <v>0.18579999999999999</v>
      </c>
      <c r="D108" s="51">
        <v>4.4200000000000003E-2</v>
      </c>
      <c r="E108" s="51">
        <v>0.55559999999999998</v>
      </c>
      <c r="F108" s="51">
        <v>0</v>
      </c>
      <c r="G108" s="51">
        <v>0.44440000000000002</v>
      </c>
      <c r="H108" s="51">
        <v>0.92679999999999996</v>
      </c>
      <c r="I108" s="51">
        <v>4.8800000000000003E-2</v>
      </c>
      <c r="J108" s="51">
        <v>4.8800000000000003E-2</v>
      </c>
      <c r="K108" s="51">
        <v>0</v>
      </c>
      <c r="L108" s="51">
        <v>0.66669999999999996</v>
      </c>
      <c r="M108" s="54">
        <v>0</v>
      </c>
    </row>
    <row r="109" spans="1:13" ht="14.25" customHeight="1">
      <c r="A109" s="40" t="s">
        <v>312</v>
      </c>
      <c r="B109" s="55">
        <v>1.21E-2</v>
      </c>
      <c r="C109" s="56">
        <v>0.21820000000000001</v>
      </c>
      <c r="D109" s="56">
        <v>6.0600000000000001E-2</v>
      </c>
      <c r="E109" s="56">
        <v>0.55879999999999996</v>
      </c>
      <c r="F109" s="56">
        <v>0</v>
      </c>
      <c r="G109" s="56">
        <v>0.67649999999999999</v>
      </c>
      <c r="H109" s="56">
        <v>1</v>
      </c>
      <c r="I109" s="56">
        <v>0</v>
      </c>
      <c r="J109" s="56">
        <v>0</v>
      </c>
      <c r="K109" s="56">
        <v>2.7400000000000001E-2</v>
      </c>
      <c r="L109" s="56">
        <v>0.35620000000000002</v>
      </c>
      <c r="M109" s="59">
        <v>0</v>
      </c>
    </row>
    <row r="110" spans="1:13" ht="14.25" customHeight="1">
      <c r="A110" s="40" t="s">
        <v>313</v>
      </c>
      <c r="B110" s="55">
        <v>3.4500000000000003E-2</v>
      </c>
      <c r="C110" s="56">
        <v>0.4138</v>
      </c>
      <c r="D110" s="56">
        <v>1.72E-2</v>
      </c>
      <c r="E110" s="56">
        <v>0.68179999999999996</v>
      </c>
      <c r="F110" s="56">
        <v>0</v>
      </c>
      <c r="G110" s="56">
        <v>0.2273</v>
      </c>
      <c r="H110" s="56">
        <v>0.91669999999999996</v>
      </c>
      <c r="I110" s="56">
        <v>0</v>
      </c>
      <c r="J110" s="56">
        <v>0.20830000000000001</v>
      </c>
      <c r="K110" s="56">
        <v>2.0799999999999999E-2</v>
      </c>
      <c r="L110" s="56">
        <v>0.1875</v>
      </c>
      <c r="M110" s="59">
        <v>0</v>
      </c>
    </row>
    <row r="111" spans="1:13" ht="14.25" customHeight="1">
      <c r="A111" s="40" t="s">
        <v>314</v>
      </c>
      <c r="B111" s="55">
        <v>1.3599999999999999E-2</v>
      </c>
      <c r="C111" s="56">
        <v>0.1905</v>
      </c>
      <c r="D111" s="56">
        <v>3.4000000000000002E-2</v>
      </c>
      <c r="E111" s="56">
        <v>0.68969999999999998</v>
      </c>
      <c r="F111" s="56">
        <v>6.9000000000000006E-2</v>
      </c>
      <c r="G111" s="56">
        <v>0.1724</v>
      </c>
      <c r="H111" s="56">
        <v>0.94830000000000003</v>
      </c>
      <c r="I111" s="56">
        <v>3.4500000000000003E-2</v>
      </c>
      <c r="J111" s="56">
        <v>0.1207</v>
      </c>
      <c r="K111" s="56">
        <v>2.2700000000000001E-2</v>
      </c>
      <c r="L111" s="56">
        <v>0.18179999999999999</v>
      </c>
      <c r="M111" s="59">
        <v>0</v>
      </c>
    </row>
    <row r="112" spans="1:13" ht="14.25" customHeight="1">
      <c r="A112" s="40" t="s">
        <v>315</v>
      </c>
      <c r="B112" s="55">
        <v>1.6400000000000001E-2</v>
      </c>
      <c r="C112" s="56">
        <v>0.14749999999999999</v>
      </c>
      <c r="D112" s="56">
        <v>0</v>
      </c>
      <c r="E112" s="56">
        <v>0</v>
      </c>
      <c r="F112" s="56">
        <v>0</v>
      </c>
      <c r="G112" s="56">
        <v>0</v>
      </c>
      <c r="H112" s="56">
        <v>0.85189999999999999</v>
      </c>
      <c r="I112" s="56">
        <v>0</v>
      </c>
      <c r="J112" s="56">
        <v>3.6999999999999998E-2</v>
      </c>
      <c r="K112" s="56">
        <v>0</v>
      </c>
      <c r="L112" s="56">
        <v>1</v>
      </c>
      <c r="M112" s="59">
        <v>0</v>
      </c>
    </row>
    <row r="113" spans="1:13" ht="14.25" customHeight="1">
      <c r="A113" s="40" t="s">
        <v>316</v>
      </c>
      <c r="B113" s="55">
        <v>0</v>
      </c>
      <c r="C113" s="56">
        <v>0.124</v>
      </c>
      <c r="D113" s="56">
        <v>1.55E-2</v>
      </c>
      <c r="E113" s="56">
        <v>0.83330000000000004</v>
      </c>
      <c r="F113" s="56">
        <v>0</v>
      </c>
      <c r="G113" s="56">
        <v>1</v>
      </c>
      <c r="H113" s="56">
        <v>1</v>
      </c>
      <c r="I113" s="56">
        <v>0</v>
      </c>
      <c r="J113" s="56">
        <v>0</v>
      </c>
      <c r="K113" s="56">
        <v>0</v>
      </c>
      <c r="L113" s="56">
        <v>0.29630000000000001</v>
      </c>
      <c r="M113" s="59">
        <v>7.4099999999999999E-2</v>
      </c>
    </row>
    <row r="114" spans="1:13" ht="14.25" customHeight="1">
      <c r="A114" s="40" t="s">
        <v>317</v>
      </c>
      <c r="B114" s="55">
        <v>5.5599999999999997E-2</v>
      </c>
      <c r="C114" s="56">
        <v>0.38890000000000002</v>
      </c>
      <c r="D114" s="56">
        <v>0</v>
      </c>
      <c r="E114" s="56">
        <v>0.5</v>
      </c>
      <c r="F114" s="56">
        <v>0</v>
      </c>
      <c r="G114" s="56">
        <v>1</v>
      </c>
      <c r="H114" s="56">
        <v>0.91669999999999996</v>
      </c>
      <c r="I114" s="56">
        <v>0</v>
      </c>
      <c r="J114" s="56">
        <v>0.16669999999999999</v>
      </c>
      <c r="K114" s="56">
        <v>0</v>
      </c>
      <c r="L114" s="56">
        <v>0</v>
      </c>
      <c r="M114" s="59">
        <v>0</v>
      </c>
    </row>
    <row r="115" spans="1:13" ht="14.25" customHeight="1">
      <c r="A115" s="40" t="s">
        <v>318</v>
      </c>
      <c r="B115" s="55">
        <v>2.4400000000000002E-2</v>
      </c>
      <c r="C115" s="56">
        <v>0.122</v>
      </c>
      <c r="D115" s="56">
        <v>0</v>
      </c>
      <c r="E115" s="56">
        <v>0</v>
      </c>
      <c r="F115" s="56">
        <v>0</v>
      </c>
      <c r="G115" s="56">
        <v>1</v>
      </c>
      <c r="H115" s="56">
        <v>0.78949999999999998</v>
      </c>
      <c r="I115" s="56">
        <v>0</v>
      </c>
      <c r="J115" s="56">
        <v>7.8899999999999998E-2</v>
      </c>
      <c r="K115" s="56">
        <v>6.9000000000000006E-2</v>
      </c>
      <c r="L115" s="56">
        <v>0.1724</v>
      </c>
      <c r="M115" s="59">
        <v>6.9000000000000006E-2</v>
      </c>
    </row>
    <row r="116" spans="1:13" ht="14.25" customHeight="1">
      <c r="A116" s="40" t="s">
        <v>319</v>
      </c>
      <c r="B116" s="55">
        <v>1.46E-2</v>
      </c>
      <c r="C116" s="56">
        <v>0.17560000000000001</v>
      </c>
      <c r="D116" s="56">
        <v>9.7999999999999997E-3</v>
      </c>
      <c r="E116" s="56">
        <v>1</v>
      </c>
      <c r="F116" s="56">
        <v>0.1</v>
      </c>
      <c r="G116" s="56">
        <v>0.9</v>
      </c>
      <c r="H116" s="56">
        <v>1</v>
      </c>
      <c r="I116" s="56">
        <v>0</v>
      </c>
      <c r="J116" s="56">
        <v>0.15</v>
      </c>
      <c r="K116" s="56">
        <v>6.1899999999999997E-2</v>
      </c>
      <c r="L116" s="56">
        <v>0.35399999999999998</v>
      </c>
      <c r="M116" s="59">
        <v>1.77E-2</v>
      </c>
    </row>
    <row r="117" spans="1:13" ht="14.25" customHeight="1">
      <c r="A117" s="40" t="s">
        <v>320</v>
      </c>
      <c r="B117" s="55">
        <v>8.0999999999999996E-3</v>
      </c>
      <c r="C117" s="56">
        <v>0.22270000000000001</v>
      </c>
      <c r="D117" s="56">
        <v>9.3100000000000002E-2</v>
      </c>
      <c r="E117" s="56">
        <v>1</v>
      </c>
      <c r="F117" s="56">
        <v>0</v>
      </c>
      <c r="G117" s="56">
        <v>1</v>
      </c>
      <c r="H117" s="56">
        <v>1</v>
      </c>
      <c r="I117" s="56">
        <v>0</v>
      </c>
      <c r="J117" s="56">
        <v>0</v>
      </c>
      <c r="K117" s="56">
        <v>5.6300000000000003E-2</v>
      </c>
      <c r="L117" s="56">
        <v>0.3</v>
      </c>
      <c r="M117" s="59">
        <v>1.8800000000000001E-2</v>
      </c>
    </row>
    <row r="118" spans="1:13" ht="14.25" customHeight="1">
      <c r="A118" s="40" t="s">
        <v>321</v>
      </c>
      <c r="B118" s="55">
        <v>2.5600000000000001E-2</v>
      </c>
      <c r="C118" s="56">
        <v>0.34620000000000001</v>
      </c>
      <c r="D118" s="56">
        <v>2.5600000000000001E-2</v>
      </c>
      <c r="E118" s="56">
        <v>1</v>
      </c>
      <c r="F118" s="56">
        <v>0</v>
      </c>
      <c r="G118" s="56">
        <v>0.94740000000000002</v>
      </c>
      <c r="H118" s="56">
        <v>1</v>
      </c>
      <c r="I118" s="56">
        <v>0</v>
      </c>
      <c r="J118" s="56">
        <v>0.15</v>
      </c>
      <c r="K118" s="56">
        <v>2.8000000000000001E-2</v>
      </c>
      <c r="L118" s="56">
        <v>0.12590000000000001</v>
      </c>
      <c r="M118" s="59">
        <v>0</v>
      </c>
    </row>
    <row r="119" spans="1:13" ht="14.25" customHeight="1">
      <c r="A119" s="40" t="s">
        <v>322</v>
      </c>
      <c r="B119" s="61">
        <v>1.2699999999999999E-2</v>
      </c>
      <c r="C119" s="62">
        <v>0.30080000000000001</v>
      </c>
      <c r="D119" s="62">
        <v>8.5000000000000006E-3</v>
      </c>
      <c r="E119" s="62">
        <v>1</v>
      </c>
      <c r="F119" s="62">
        <v>0.1</v>
      </c>
      <c r="G119" s="62">
        <v>0.6</v>
      </c>
      <c r="H119" s="62">
        <v>0.97560000000000002</v>
      </c>
      <c r="I119" s="62">
        <v>1.2200000000000001E-2</v>
      </c>
      <c r="J119" s="62">
        <v>0.122</v>
      </c>
      <c r="K119" s="62">
        <v>7.4800000000000005E-2</v>
      </c>
      <c r="L119" s="62">
        <v>6.1199999999999997E-2</v>
      </c>
      <c r="M119" s="66">
        <v>6.7999999999999996E-3</v>
      </c>
    </row>
    <row r="120" spans="1:13" ht="14.25" customHeight="1">
      <c r="A120" s="40"/>
      <c r="B120" s="20"/>
      <c r="C120" s="20"/>
      <c r="D120" s="20"/>
      <c r="E120" s="20"/>
      <c r="F120" s="20"/>
      <c r="G120" s="20"/>
      <c r="H120" s="20"/>
      <c r="I120" s="20"/>
      <c r="J120" s="20"/>
      <c r="K120" s="20"/>
      <c r="L120" s="20"/>
      <c r="M120" s="20"/>
    </row>
    <row r="121" spans="1:13" ht="14.25" customHeight="1">
      <c r="A121" s="38" t="s">
        <v>340</v>
      </c>
      <c r="B121" s="20"/>
      <c r="C121" s="20"/>
      <c r="D121" s="20"/>
      <c r="E121" s="20"/>
      <c r="F121" s="20"/>
      <c r="G121" s="20"/>
      <c r="H121" s="20"/>
      <c r="I121" s="20"/>
      <c r="J121" s="20"/>
      <c r="K121" s="20"/>
      <c r="L121" s="20"/>
      <c r="M121" s="20"/>
    </row>
    <row r="122" spans="1:13" ht="14.25" customHeight="1">
      <c r="A122" s="40"/>
      <c r="B122" s="40" t="s">
        <v>299</v>
      </c>
      <c r="C122" s="40" t="s">
        <v>300</v>
      </c>
      <c r="D122" s="40" t="s">
        <v>301</v>
      </c>
      <c r="E122" s="40" t="s">
        <v>302</v>
      </c>
      <c r="F122" s="40" t="s">
        <v>303</v>
      </c>
      <c r="G122" s="40" t="s">
        <v>304</v>
      </c>
      <c r="H122" s="40" t="s">
        <v>305</v>
      </c>
      <c r="I122" s="40" t="s">
        <v>306</v>
      </c>
      <c r="J122" s="40" t="s">
        <v>307</v>
      </c>
      <c r="K122" s="40" t="s">
        <v>308</v>
      </c>
      <c r="L122" s="40" t="s">
        <v>309</v>
      </c>
      <c r="M122" s="40" t="s">
        <v>310</v>
      </c>
    </row>
    <row r="123" spans="1:13" ht="14.25" customHeight="1">
      <c r="A123" s="40" t="s">
        <v>311</v>
      </c>
      <c r="B123" s="50">
        <v>0</v>
      </c>
      <c r="C123" s="51">
        <v>0.27429999999999999</v>
      </c>
      <c r="D123" s="51">
        <v>2.6499999999999999E-2</v>
      </c>
      <c r="E123" s="51">
        <v>0.55559999999999998</v>
      </c>
      <c r="F123" s="51">
        <v>3.6999999999999998E-2</v>
      </c>
      <c r="G123" s="51">
        <v>0.44440000000000002</v>
      </c>
      <c r="H123" s="51">
        <v>0.95120000000000005</v>
      </c>
      <c r="I123" s="51">
        <v>7.3200000000000001E-2</v>
      </c>
      <c r="J123" s="51">
        <v>4.8800000000000003E-2</v>
      </c>
      <c r="K123" s="51">
        <v>0.22220000000000001</v>
      </c>
      <c r="L123" s="51">
        <v>0.72219999999999995</v>
      </c>
      <c r="M123" s="54">
        <v>0</v>
      </c>
    </row>
    <row r="124" spans="1:13" ht="14.25" customHeight="1">
      <c r="A124" s="40" t="s">
        <v>312</v>
      </c>
      <c r="B124" s="55">
        <v>1.8200000000000001E-2</v>
      </c>
      <c r="C124" s="56">
        <v>0.27879999999999999</v>
      </c>
      <c r="D124" s="56">
        <v>0.1515</v>
      </c>
      <c r="E124" s="56">
        <v>0.44119999999999998</v>
      </c>
      <c r="F124" s="56">
        <v>0</v>
      </c>
      <c r="G124" s="56">
        <v>0.73529999999999995</v>
      </c>
      <c r="H124" s="56">
        <v>1</v>
      </c>
      <c r="I124" s="56">
        <v>0</v>
      </c>
      <c r="J124" s="56">
        <v>0.3125</v>
      </c>
      <c r="K124" s="56">
        <v>2.7400000000000001E-2</v>
      </c>
      <c r="L124" s="56">
        <v>0.41099999999999998</v>
      </c>
      <c r="M124" s="59">
        <v>1.37E-2</v>
      </c>
    </row>
    <row r="125" spans="1:13" ht="14.25" customHeight="1">
      <c r="A125" s="40" t="s">
        <v>313</v>
      </c>
      <c r="B125" s="55">
        <v>8.6199999999999999E-2</v>
      </c>
      <c r="C125" s="56">
        <v>0.46550000000000002</v>
      </c>
      <c r="D125" s="56">
        <v>5.1700000000000003E-2</v>
      </c>
      <c r="E125" s="56">
        <v>0.63639999999999997</v>
      </c>
      <c r="F125" s="56">
        <v>0</v>
      </c>
      <c r="G125" s="56">
        <v>0.36359999999999998</v>
      </c>
      <c r="H125" s="56">
        <v>1</v>
      </c>
      <c r="I125" s="56">
        <v>0</v>
      </c>
      <c r="J125" s="56">
        <v>0.16669999999999999</v>
      </c>
      <c r="K125" s="56">
        <v>4.1700000000000001E-2</v>
      </c>
      <c r="L125" s="56">
        <v>0.125</v>
      </c>
      <c r="M125" s="59">
        <v>0</v>
      </c>
    </row>
    <row r="126" spans="1:13" ht="14.25" customHeight="1">
      <c r="A126" s="40" t="s">
        <v>314</v>
      </c>
      <c r="B126" s="55">
        <v>2.0400000000000001E-2</v>
      </c>
      <c r="C126" s="56">
        <v>0.27889999999999998</v>
      </c>
      <c r="D126" s="56">
        <v>3.4000000000000002E-2</v>
      </c>
      <c r="E126" s="56">
        <v>0.72409999999999997</v>
      </c>
      <c r="F126" s="56">
        <v>0.13789999999999999</v>
      </c>
      <c r="G126" s="56">
        <v>0.27589999999999998</v>
      </c>
      <c r="H126" s="56">
        <v>0.87929999999999997</v>
      </c>
      <c r="I126" s="56">
        <v>1.72E-2</v>
      </c>
      <c r="J126" s="56">
        <v>0.10340000000000001</v>
      </c>
      <c r="K126" s="56">
        <v>2.2700000000000001E-2</v>
      </c>
      <c r="L126" s="56">
        <v>0.2727</v>
      </c>
      <c r="M126" s="59">
        <v>0</v>
      </c>
    </row>
    <row r="127" spans="1:13" ht="14.25" customHeight="1">
      <c r="A127" s="40" t="s">
        <v>315</v>
      </c>
      <c r="B127" s="55">
        <v>0</v>
      </c>
      <c r="C127" s="56">
        <v>0.24590000000000001</v>
      </c>
      <c r="D127" s="56">
        <v>0</v>
      </c>
      <c r="E127" s="56">
        <v>0.33329999999999999</v>
      </c>
      <c r="F127" s="56">
        <v>0</v>
      </c>
      <c r="G127" s="56">
        <v>0.66669999999999996</v>
      </c>
      <c r="H127" s="56">
        <v>0.88890000000000002</v>
      </c>
      <c r="I127" s="56">
        <v>0</v>
      </c>
      <c r="J127" s="56">
        <v>0.1111</v>
      </c>
      <c r="K127" s="56">
        <v>0</v>
      </c>
      <c r="L127" s="56">
        <v>1</v>
      </c>
      <c r="M127" s="59">
        <v>9.0899999999999995E-2</v>
      </c>
    </row>
    <row r="128" spans="1:13" ht="14.25" customHeight="1">
      <c r="A128" s="40" t="s">
        <v>316</v>
      </c>
      <c r="B128" s="55">
        <v>0</v>
      </c>
      <c r="C128" s="56">
        <v>0.2868</v>
      </c>
      <c r="D128" s="56">
        <v>5.4300000000000001E-2</v>
      </c>
      <c r="E128" s="56">
        <v>0.5</v>
      </c>
      <c r="F128" s="56">
        <v>0</v>
      </c>
      <c r="G128" s="56">
        <v>1</v>
      </c>
      <c r="H128" s="56">
        <v>1</v>
      </c>
      <c r="I128" s="56">
        <v>0</v>
      </c>
      <c r="J128" s="56">
        <v>0</v>
      </c>
      <c r="K128" s="56">
        <v>0.1111</v>
      </c>
      <c r="L128" s="56">
        <v>0.22220000000000001</v>
      </c>
      <c r="M128" s="59">
        <v>7.4099999999999999E-2</v>
      </c>
    </row>
    <row r="129" spans="1:13" ht="14.25" customHeight="1">
      <c r="A129" s="40" t="s">
        <v>317</v>
      </c>
      <c r="B129" s="55">
        <v>0</v>
      </c>
      <c r="C129" s="56">
        <v>0.55559999999999998</v>
      </c>
      <c r="D129" s="56">
        <v>0</v>
      </c>
      <c r="E129" s="56">
        <v>0.83330000000000004</v>
      </c>
      <c r="F129" s="56">
        <v>0.16669999999999999</v>
      </c>
      <c r="G129" s="56">
        <v>0.83330000000000004</v>
      </c>
      <c r="H129" s="56">
        <v>1</v>
      </c>
      <c r="I129" s="56">
        <v>0</v>
      </c>
      <c r="J129" s="56">
        <v>8.3299999999999999E-2</v>
      </c>
      <c r="K129" s="56">
        <v>0</v>
      </c>
      <c r="L129" s="56">
        <v>0.23810000000000001</v>
      </c>
      <c r="M129" s="59">
        <v>0</v>
      </c>
    </row>
    <row r="130" spans="1:13" ht="14.25" customHeight="1">
      <c r="A130" s="40" t="s">
        <v>318</v>
      </c>
      <c r="B130" s="55">
        <v>0</v>
      </c>
      <c r="C130" s="56">
        <v>0.25609999999999999</v>
      </c>
      <c r="D130" s="56">
        <v>0</v>
      </c>
      <c r="E130" s="56">
        <v>0</v>
      </c>
      <c r="F130" s="56">
        <v>0</v>
      </c>
      <c r="G130" s="56">
        <v>1</v>
      </c>
      <c r="H130" s="56">
        <v>0.92110000000000003</v>
      </c>
      <c r="I130" s="56">
        <v>0</v>
      </c>
      <c r="J130" s="56">
        <v>0.13159999999999999</v>
      </c>
      <c r="K130" s="56">
        <v>3.4500000000000003E-2</v>
      </c>
      <c r="L130" s="56">
        <v>0.1724</v>
      </c>
      <c r="M130" s="59">
        <v>0.10340000000000001</v>
      </c>
    </row>
    <row r="131" spans="1:13" ht="14.25" customHeight="1">
      <c r="A131" s="40" t="s">
        <v>319</v>
      </c>
      <c r="B131" s="55">
        <v>2.93E-2</v>
      </c>
      <c r="C131" s="56">
        <v>0.2293</v>
      </c>
      <c r="D131" s="56">
        <v>3.9E-2</v>
      </c>
      <c r="E131" s="56">
        <v>0.65</v>
      </c>
      <c r="F131" s="56">
        <v>0.1</v>
      </c>
      <c r="G131" s="56">
        <v>0.8</v>
      </c>
      <c r="H131" s="56">
        <v>0.9667</v>
      </c>
      <c r="I131" s="56">
        <v>0</v>
      </c>
      <c r="J131" s="56">
        <v>0.33329999999999999</v>
      </c>
      <c r="K131" s="56">
        <v>9.7299999999999998E-2</v>
      </c>
      <c r="L131" s="56">
        <v>0.41589999999999999</v>
      </c>
      <c r="M131" s="59">
        <v>2.6499999999999999E-2</v>
      </c>
    </row>
    <row r="132" spans="1:13" ht="14.25" customHeight="1">
      <c r="A132" s="40" t="s">
        <v>320</v>
      </c>
      <c r="B132" s="55">
        <v>2.4299999999999999E-2</v>
      </c>
      <c r="C132" s="56">
        <v>0.28739999999999999</v>
      </c>
      <c r="D132" s="56">
        <v>0.1457</v>
      </c>
      <c r="E132" s="56">
        <v>0.92310000000000003</v>
      </c>
      <c r="F132" s="56">
        <v>0</v>
      </c>
      <c r="G132" s="56">
        <v>1</v>
      </c>
      <c r="H132" s="56">
        <v>1</v>
      </c>
      <c r="I132" s="56">
        <v>0</v>
      </c>
      <c r="J132" s="56">
        <v>0.23530000000000001</v>
      </c>
      <c r="K132" s="56">
        <v>7.4999999999999997E-2</v>
      </c>
      <c r="L132" s="56">
        <v>0.36880000000000002</v>
      </c>
      <c r="M132" s="59">
        <v>3.1300000000000001E-2</v>
      </c>
    </row>
    <row r="133" spans="1:13" ht="14.25" customHeight="1">
      <c r="A133" s="40" t="s">
        <v>321</v>
      </c>
      <c r="B133" s="55">
        <v>6.4100000000000004E-2</v>
      </c>
      <c r="C133" s="56">
        <v>0.44869999999999999</v>
      </c>
      <c r="D133" s="56">
        <v>3.85E-2</v>
      </c>
      <c r="E133" s="56">
        <v>0.52629999999999999</v>
      </c>
      <c r="F133" s="56">
        <v>0</v>
      </c>
      <c r="G133" s="56">
        <v>0.78949999999999998</v>
      </c>
      <c r="H133" s="56">
        <v>1</v>
      </c>
      <c r="I133" s="56">
        <v>0.05</v>
      </c>
      <c r="J133" s="56">
        <v>0.2</v>
      </c>
      <c r="K133" s="56">
        <v>1.4E-2</v>
      </c>
      <c r="L133" s="56">
        <v>0.1608</v>
      </c>
      <c r="M133" s="59">
        <v>0</v>
      </c>
    </row>
    <row r="134" spans="1:13" ht="14.25" customHeight="1">
      <c r="A134" s="40" t="s">
        <v>322</v>
      </c>
      <c r="B134" s="61">
        <v>1.2699999999999999E-2</v>
      </c>
      <c r="C134" s="62">
        <v>0.34320000000000001</v>
      </c>
      <c r="D134" s="62">
        <v>1.6899999999999998E-2</v>
      </c>
      <c r="E134" s="62">
        <v>0.8</v>
      </c>
      <c r="F134" s="62">
        <v>0.1</v>
      </c>
      <c r="G134" s="62">
        <v>0.9</v>
      </c>
      <c r="H134" s="62">
        <v>0.98780000000000001</v>
      </c>
      <c r="I134" s="62">
        <v>3.6600000000000001E-2</v>
      </c>
      <c r="J134" s="62">
        <v>0.1951</v>
      </c>
      <c r="K134" s="62">
        <v>0.1293</v>
      </c>
      <c r="L134" s="62">
        <v>0.2177</v>
      </c>
      <c r="M134" s="66">
        <v>1.3599999999999999E-2</v>
      </c>
    </row>
    <row r="135" spans="1:13" ht="14.25" customHeight="1">
      <c r="A135" s="40"/>
      <c r="B135" s="20"/>
      <c r="C135" s="20"/>
      <c r="D135" s="20"/>
      <c r="E135" s="20"/>
      <c r="F135" s="20"/>
      <c r="G135" s="20"/>
      <c r="H135" s="20"/>
      <c r="I135" s="20"/>
      <c r="J135" s="20"/>
      <c r="K135" s="20"/>
      <c r="L135" s="20"/>
      <c r="M135" s="20"/>
    </row>
    <row r="136" spans="1:13" ht="14.25" customHeight="1">
      <c r="A136" s="183" t="s">
        <v>341</v>
      </c>
      <c r="B136" s="171"/>
      <c r="C136" s="171"/>
      <c r="D136" s="171"/>
      <c r="E136" s="171"/>
      <c r="F136" s="171"/>
      <c r="G136" s="171"/>
      <c r="H136" s="171"/>
      <c r="I136" s="171"/>
      <c r="J136" s="171"/>
      <c r="K136" s="171"/>
      <c r="L136" s="171"/>
      <c r="M136" s="171"/>
    </row>
    <row r="137" spans="1:13" ht="14.25" customHeight="1">
      <c r="A137" s="171"/>
      <c r="B137" s="171"/>
      <c r="C137" s="171"/>
      <c r="D137" s="171"/>
      <c r="E137" s="171"/>
      <c r="F137" s="171"/>
      <c r="G137" s="171"/>
      <c r="H137" s="171"/>
      <c r="I137" s="171"/>
      <c r="J137" s="171"/>
      <c r="K137" s="171"/>
      <c r="L137" s="171"/>
      <c r="M137" s="171"/>
    </row>
    <row r="138" spans="1:13" ht="14.25" customHeight="1">
      <c r="A138" s="171"/>
      <c r="B138" s="171"/>
      <c r="C138" s="171"/>
      <c r="D138" s="171"/>
      <c r="E138" s="171"/>
      <c r="F138" s="171"/>
      <c r="G138" s="171"/>
      <c r="H138" s="171"/>
      <c r="I138" s="171"/>
      <c r="J138" s="171"/>
      <c r="K138" s="171"/>
      <c r="L138" s="171"/>
      <c r="M138" s="171"/>
    </row>
    <row r="139" spans="1:13" ht="14.25" customHeight="1">
      <c r="A139" s="171"/>
      <c r="B139" s="171"/>
      <c r="C139" s="171"/>
      <c r="D139" s="171"/>
      <c r="E139" s="171"/>
      <c r="F139" s="171"/>
      <c r="G139" s="171"/>
      <c r="H139" s="171"/>
      <c r="I139" s="171"/>
      <c r="J139" s="171"/>
      <c r="K139" s="171"/>
      <c r="L139" s="171"/>
      <c r="M139" s="171"/>
    </row>
    <row r="140" spans="1:13" ht="14.25" customHeight="1">
      <c r="A140" s="171"/>
      <c r="B140" s="171"/>
      <c r="C140" s="171"/>
      <c r="D140" s="171"/>
      <c r="E140" s="171"/>
      <c r="F140" s="171"/>
      <c r="G140" s="171"/>
      <c r="H140" s="171"/>
      <c r="I140" s="171"/>
      <c r="J140" s="171"/>
      <c r="K140" s="171"/>
      <c r="L140" s="171"/>
      <c r="M140" s="171"/>
    </row>
    <row r="141" spans="1:13" ht="14.25" customHeight="1">
      <c r="A141" s="20"/>
      <c r="B141" s="20"/>
      <c r="C141" s="20"/>
      <c r="D141" s="20"/>
      <c r="E141" s="20"/>
      <c r="F141" s="20"/>
      <c r="G141" s="20"/>
      <c r="H141" s="20"/>
      <c r="I141" s="20"/>
      <c r="J141" s="20"/>
      <c r="K141" s="20"/>
      <c r="L141" s="20"/>
      <c r="M141" s="20"/>
    </row>
    <row r="142" spans="1:13" ht="14.25" customHeight="1"/>
    <row r="143" spans="1:13" ht="14.25" customHeight="1"/>
    <row r="144" spans="1:13"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A136:M140"/>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000"/>
  <sheetViews>
    <sheetView workbookViewId="0">
      <selection activeCell="A11" sqref="A11:I14"/>
    </sheetView>
  </sheetViews>
  <sheetFormatPr defaultColWidth="12.6640625" defaultRowHeight="15" customHeight="1"/>
  <cols>
    <col min="1" max="1" width="11.109375" customWidth="1"/>
    <col min="2" max="2" width="9.109375" customWidth="1"/>
    <col min="3" max="3" width="11.33203125" customWidth="1"/>
    <col min="4" max="4" width="9.6640625" customWidth="1"/>
    <col min="5" max="5" width="9.88671875" customWidth="1"/>
    <col min="6" max="6" width="9.6640625" customWidth="1"/>
    <col min="7" max="7" width="10.109375" customWidth="1"/>
    <col min="8" max="8" width="11.21875" customWidth="1"/>
    <col min="9" max="9" width="10.44140625" customWidth="1"/>
    <col min="10" max="26" width="8.6640625" customWidth="1"/>
  </cols>
  <sheetData>
    <row r="1" spans="1:9" ht="14.25" customHeight="1">
      <c r="A1" s="67"/>
      <c r="B1" s="68" t="s">
        <v>342</v>
      </c>
      <c r="C1" s="68" t="s">
        <v>343</v>
      </c>
      <c r="D1" s="68" t="s">
        <v>344</v>
      </c>
      <c r="E1" s="68" t="s">
        <v>345</v>
      </c>
      <c r="F1" s="68" t="s">
        <v>346</v>
      </c>
      <c r="G1" s="68" t="s">
        <v>347</v>
      </c>
      <c r="H1" s="69" t="s">
        <v>348</v>
      </c>
      <c r="I1" s="69" t="s">
        <v>349</v>
      </c>
    </row>
    <row r="2" spans="1:9" ht="14.25" customHeight="1">
      <c r="A2" s="5" t="s">
        <v>342</v>
      </c>
      <c r="B2" s="26">
        <v>0</v>
      </c>
      <c r="C2" s="70">
        <v>3.9238163529684003E-77</v>
      </c>
      <c r="D2" s="70">
        <v>3.7607058191634103E-52</v>
      </c>
      <c r="E2" s="70">
        <v>1.00361111371616E-83</v>
      </c>
      <c r="F2" s="70">
        <v>2.1566831872127999E-73</v>
      </c>
      <c r="G2" s="70">
        <v>2.1144188060468799E-83</v>
      </c>
      <c r="H2" s="70">
        <v>1.17689402166468E-84</v>
      </c>
      <c r="I2" s="71">
        <v>1.2562311700984299E-66</v>
      </c>
    </row>
    <row r="3" spans="1:9" ht="14.25" customHeight="1">
      <c r="A3" s="5" t="s">
        <v>343</v>
      </c>
      <c r="B3" s="72">
        <v>3.9238163529684003E-77</v>
      </c>
      <c r="C3" s="20">
        <v>0</v>
      </c>
      <c r="D3" s="45">
        <v>2.6474165343296799E-67</v>
      </c>
      <c r="E3" s="45">
        <v>1.8689479731281099E-70</v>
      </c>
      <c r="F3" s="45">
        <v>7.3391504183337995E-74</v>
      </c>
      <c r="G3" s="45">
        <v>4.6599406144005898E-116</v>
      </c>
      <c r="H3" s="45">
        <v>4.6567909942244298E-115</v>
      </c>
      <c r="I3" s="73">
        <v>2.29471388719164E-73</v>
      </c>
    </row>
    <row r="4" spans="1:9" ht="14.25" customHeight="1">
      <c r="A4" s="5" t="s">
        <v>344</v>
      </c>
      <c r="B4" s="72">
        <v>3.7607058191634103E-52</v>
      </c>
      <c r="C4" s="45">
        <v>2.6474165343296799E-67</v>
      </c>
      <c r="D4" s="20">
        <v>0</v>
      </c>
      <c r="E4" s="45">
        <v>2.27841684363352E-54</v>
      </c>
      <c r="F4" s="45">
        <v>7.8632218006622007E-61</v>
      </c>
      <c r="G4" s="45">
        <v>7.8180711450639006E-70</v>
      </c>
      <c r="H4" s="45">
        <v>1.0941588001511501E-68</v>
      </c>
      <c r="I4" s="73">
        <v>5.0915845271052904E-81</v>
      </c>
    </row>
    <row r="5" spans="1:9" ht="14.25" customHeight="1">
      <c r="A5" s="5" t="s">
        <v>345</v>
      </c>
      <c r="B5" s="72">
        <v>1.00361111371616E-83</v>
      </c>
      <c r="C5" s="45">
        <v>1.8689479731281099E-70</v>
      </c>
      <c r="D5" s="45">
        <v>2.2784168436338399E-54</v>
      </c>
      <c r="E5" s="20">
        <v>0</v>
      </c>
      <c r="F5" s="45">
        <v>2.6084231174173801E-71</v>
      </c>
      <c r="G5" s="45">
        <v>1.8086973787389801E-83</v>
      </c>
      <c r="H5" s="45">
        <v>1.79615233687256E-85</v>
      </c>
      <c r="I5" s="73">
        <v>5.9023802727327603E-59</v>
      </c>
    </row>
    <row r="6" spans="1:9" ht="14.25" customHeight="1">
      <c r="A6" s="5" t="s">
        <v>346</v>
      </c>
      <c r="B6" s="72">
        <v>2.1566831872127999E-73</v>
      </c>
      <c r="C6" s="45">
        <v>7.3391504183337995E-74</v>
      </c>
      <c r="D6" s="45">
        <v>7.8632218006605398E-61</v>
      </c>
      <c r="E6" s="45">
        <v>2.6084231174173801E-71</v>
      </c>
      <c r="F6" s="20">
        <v>0</v>
      </c>
      <c r="G6" s="45">
        <v>4.0011140171727102E-82</v>
      </c>
      <c r="H6" s="45">
        <v>3.9129857627076098E-81</v>
      </c>
      <c r="I6" s="73">
        <v>1.31770325526631E-68</v>
      </c>
    </row>
    <row r="7" spans="1:9" ht="14.25" customHeight="1">
      <c r="A7" s="5" t="s">
        <v>347</v>
      </c>
      <c r="B7" s="72">
        <v>2.1144188060468799E-83</v>
      </c>
      <c r="C7" s="45">
        <v>4.6599406144005898E-116</v>
      </c>
      <c r="D7" s="45">
        <v>7.8180711450617798E-70</v>
      </c>
      <c r="E7" s="45">
        <v>1.80869737873822E-83</v>
      </c>
      <c r="F7" s="45">
        <v>4.00111401717434E-82</v>
      </c>
      <c r="G7" s="20">
        <v>0</v>
      </c>
      <c r="H7" s="45">
        <v>2.49767558188904E-197</v>
      </c>
      <c r="I7" s="73">
        <v>6.5261274432191796E-72</v>
      </c>
    </row>
    <row r="8" spans="1:9" ht="14.25" customHeight="1">
      <c r="A8" s="6" t="s">
        <v>348</v>
      </c>
      <c r="B8" s="45">
        <v>1.1768940216652101E-84</v>
      </c>
      <c r="C8" s="45">
        <v>4.6567909942244298E-115</v>
      </c>
      <c r="D8" s="45">
        <v>1.0941588001511501E-68</v>
      </c>
      <c r="E8" s="45">
        <v>1.79615233687256E-85</v>
      </c>
      <c r="F8" s="45">
        <v>3.9129857627061299E-81</v>
      </c>
      <c r="G8" s="45">
        <v>2.49767558188904E-197</v>
      </c>
      <c r="H8" s="20">
        <v>0</v>
      </c>
      <c r="I8" s="73">
        <v>2.2139840790281701E-72</v>
      </c>
    </row>
    <row r="9" spans="1:9" ht="14.25" customHeight="1">
      <c r="A9" s="8" t="s">
        <v>349</v>
      </c>
      <c r="B9" s="74">
        <v>1.2562311700984299E-66</v>
      </c>
      <c r="C9" s="75">
        <v>2.29471388719164E-73</v>
      </c>
      <c r="D9" s="75">
        <v>5.0915845271052904E-81</v>
      </c>
      <c r="E9" s="75">
        <v>5.9023802727327603E-59</v>
      </c>
      <c r="F9" s="75">
        <v>1.31770325526631E-68</v>
      </c>
      <c r="G9" s="75">
        <v>6.5261274432172905E-72</v>
      </c>
      <c r="H9" s="75">
        <v>2.2139840790281701E-72</v>
      </c>
      <c r="I9" s="32">
        <v>0</v>
      </c>
    </row>
    <row r="10" spans="1:9" ht="14.25" customHeight="1">
      <c r="A10" s="20"/>
      <c r="B10" s="20"/>
      <c r="C10" s="20"/>
      <c r="D10" s="20"/>
      <c r="E10" s="20"/>
      <c r="F10" s="20"/>
      <c r="G10" s="20"/>
      <c r="H10" s="20"/>
      <c r="I10" s="20"/>
    </row>
    <row r="11" spans="1:9" ht="14.25" customHeight="1">
      <c r="A11" s="182" t="s">
        <v>1202</v>
      </c>
      <c r="B11" s="171"/>
      <c r="C11" s="171"/>
      <c r="D11" s="171"/>
      <c r="E11" s="171"/>
      <c r="F11" s="171"/>
      <c r="G11" s="171"/>
      <c r="H11" s="171"/>
      <c r="I11" s="171"/>
    </row>
    <row r="12" spans="1:9" ht="14.25" customHeight="1">
      <c r="A12" s="171"/>
      <c r="B12" s="171"/>
      <c r="C12" s="171"/>
      <c r="D12" s="171"/>
      <c r="E12" s="171"/>
      <c r="F12" s="171"/>
      <c r="G12" s="171"/>
      <c r="H12" s="171"/>
      <c r="I12" s="171"/>
    </row>
    <row r="13" spans="1:9" ht="14.25" customHeight="1">
      <c r="A13" s="171"/>
      <c r="B13" s="171"/>
      <c r="C13" s="171"/>
      <c r="D13" s="171"/>
      <c r="E13" s="171"/>
      <c r="F13" s="171"/>
      <c r="G13" s="171"/>
      <c r="H13" s="171"/>
      <c r="I13" s="171"/>
    </row>
    <row r="14" spans="1:9" ht="14.25" customHeight="1">
      <c r="A14" s="171"/>
      <c r="B14" s="171"/>
      <c r="C14" s="171"/>
      <c r="D14" s="171"/>
      <c r="E14" s="171"/>
      <c r="F14" s="171"/>
      <c r="G14" s="171"/>
      <c r="H14" s="171"/>
      <c r="I14" s="171"/>
    </row>
    <row r="15" spans="1:9" ht="14.25" customHeight="1">
      <c r="A15" s="20"/>
      <c r="B15" s="20"/>
      <c r="C15" s="20"/>
      <c r="D15" s="20"/>
      <c r="E15" s="20"/>
      <c r="F15" s="20"/>
      <c r="G15" s="20"/>
      <c r="H15" s="20"/>
      <c r="I15" s="20"/>
    </row>
    <row r="16" spans="1:9"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A11:I14"/>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7856D-A3FF-42AE-80D7-425EEA92DF69}">
  <dimension ref="A1:I16"/>
  <sheetViews>
    <sheetView workbookViewId="0">
      <selection activeCell="D2" sqref="D2"/>
    </sheetView>
  </sheetViews>
  <sheetFormatPr defaultRowHeight="14.4"/>
  <cols>
    <col min="3" max="3" width="10.88671875" customWidth="1"/>
    <col min="4" max="4" width="9.6640625" customWidth="1"/>
    <col min="5" max="6" width="10.21875" customWidth="1"/>
    <col min="7" max="7" width="10" customWidth="1"/>
    <col min="8" max="8" width="11.109375" customWidth="1"/>
    <col min="9" max="9" width="10.88671875" customWidth="1"/>
  </cols>
  <sheetData>
    <row r="1" spans="1:9">
      <c r="A1" s="67"/>
      <c r="B1" s="68" t="s">
        <v>342</v>
      </c>
      <c r="C1" s="68" t="s">
        <v>343</v>
      </c>
      <c r="D1" s="68" t="s">
        <v>344</v>
      </c>
      <c r="E1" s="68" t="s">
        <v>345</v>
      </c>
      <c r="F1" s="68" t="s">
        <v>346</v>
      </c>
      <c r="G1" s="68" t="s">
        <v>347</v>
      </c>
      <c r="H1" s="69" t="s">
        <v>348</v>
      </c>
      <c r="I1" s="69" t="s">
        <v>349</v>
      </c>
    </row>
    <row r="2" spans="1:9">
      <c r="A2" s="5" t="s">
        <v>342</v>
      </c>
      <c r="B2" s="26">
        <v>0</v>
      </c>
      <c r="C2" s="70">
        <v>5.5595869306615498E-58</v>
      </c>
      <c r="D2" s="70">
        <v>2.1556189709336599E-34</v>
      </c>
      <c r="E2" s="70">
        <v>6.3222790317427798E-59</v>
      </c>
      <c r="F2" s="70">
        <v>1.2031335087134001E-48</v>
      </c>
      <c r="G2" s="70">
        <v>8.81017916180038E-62</v>
      </c>
      <c r="H2" s="70">
        <v>4.0115758045723298E-45</v>
      </c>
      <c r="I2" s="71">
        <v>3.42268584875167E-62</v>
      </c>
    </row>
    <row r="3" spans="1:9">
      <c r="A3" s="5" t="s">
        <v>343</v>
      </c>
      <c r="B3" s="72">
        <v>5.5595869306615498E-58</v>
      </c>
      <c r="C3" s="20">
        <v>0</v>
      </c>
      <c r="D3" s="45">
        <v>3.86247399798343E-47</v>
      </c>
      <c r="E3" s="45">
        <v>5.6936051019013098E-51</v>
      </c>
      <c r="F3" s="45">
        <v>2.1801696748441101E-54</v>
      </c>
      <c r="G3" s="45">
        <v>2.39869160514854E-87</v>
      </c>
      <c r="H3" s="45">
        <v>5.0028947865737699E-52</v>
      </c>
      <c r="I3" s="73">
        <v>2.9247205816637301E-86</v>
      </c>
    </row>
    <row r="4" spans="1:9">
      <c r="A4" s="5" t="s">
        <v>344</v>
      </c>
      <c r="B4" s="72">
        <v>2.1556189709336599E-34</v>
      </c>
      <c r="C4" s="45">
        <v>3.86247399798343E-47</v>
      </c>
      <c r="D4" s="20">
        <v>0</v>
      </c>
      <c r="E4" s="45">
        <v>3.2586851189442297E-36</v>
      </c>
      <c r="F4" s="45">
        <v>1.09131448919105E-41</v>
      </c>
      <c r="G4" s="45">
        <v>9.4529827962019797E-49</v>
      </c>
      <c r="H4" s="45">
        <v>6.7185170774920698E-59</v>
      </c>
      <c r="I4" s="73">
        <v>2.4334529035921599E-48</v>
      </c>
    </row>
    <row r="5" spans="1:9">
      <c r="A5" s="5" t="s">
        <v>345</v>
      </c>
      <c r="B5" s="72">
        <v>6.3222790317427798E-59</v>
      </c>
      <c r="C5" s="45">
        <v>5.6936051019022795E-51</v>
      </c>
      <c r="D5" s="45">
        <v>3.2586851189442297E-36</v>
      </c>
      <c r="E5" s="20">
        <v>0</v>
      </c>
      <c r="F5" s="45">
        <v>5.1224953935075699E-48</v>
      </c>
      <c r="G5" s="45">
        <v>5.4765092565286299E-61</v>
      </c>
      <c r="H5" s="45">
        <v>5.0606070761710698E-39</v>
      </c>
      <c r="I5" s="73">
        <v>1.88510379000035E-62</v>
      </c>
    </row>
    <row r="6" spans="1:9">
      <c r="A6" s="5" t="s">
        <v>346</v>
      </c>
      <c r="B6" s="72">
        <v>1.2031335087134001E-48</v>
      </c>
      <c r="C6" s="45">
        <v>2.1801696748436899E-54</v>
      </c>
      <c r="D6" s="45">
        <v>1.09131448919105E-41</v>
      </c>
      <c r="E6" s="45">
        <v>5.1224953935075699E-48</v>
      </c>
      <c r="F6" s="20">
        <v>0</v>
      </c>
      <c r="G6" s="45">
        <v>6.6292635592247302E-60</v>
      </c>
      <c r="H6" s="45">
        <v>1.8188833429645799E-46</v>
      </c>
      <c r="I6" s="73">
        <v>1.1558418611745499E-59</v>
      </c>
    </row>
    <row r="7" spans="1:9">
      <c r="A7" s="5" t="s">
        <v>347</v>
      </c>
      <c r="B7" s="72">
        <v>8.81017916180038E-62</v>
      </c>
      <c r="C7" s="45">
        <v>2.39869160514854E-87</v>
      </c>
      <c r="D7" s="45">
        <v>9.4529827962019797E-49</v>
      </c>
      <c r="E7" s="45">
        <v>5.4765092565286299E-61</v>
      </c>
      <c r="F7" s="45">
        <v>6.6292635592247302E-60</v>
      </c>
      <c r="G7" s="20">
        <v>0</v>
      </c>
      <c r="H7" s="45">
        <v>3.0058821585448301E-50</v>
      </c>
      <c r="I7" s="73">
        <v>4.9804893350971902E-162</v>
      </c>
    </row>
    <row r="8" spans="1:9">
      <c r="A8" s="6" t="s">
        <v>348</v>
      </c>
      <c r="B8" s="45">
        <v>4.0115758045723298E-45</v>
      </c>
      <c r="C8" s="45">
        <v>5.0028947865737699E-52</v>
      </c>
      <c r="D8" s="45">
        <v>6.7185170774920698E-59</v>
      </c>
      <c r="E8" s="45">
        <v>5.0606070761710698E-39</v>
      </c>
      <c r="F8" s="45">
        <v>1.8188833429645799E-46</v>
      </c>
      <c r="G8" s="45">
        <v>3.0058821585448301E-50</v>
      </c>
      <c r="H8" s="20">
        <v>0</v>
      </c>
      <c r="I8" s="73">
        <v>2.3396566446615E-50</v>
      </c>
    </row>
    <row r="9" spans="1:9">
      <c r="A9" s="8" t="s">
        <v>349</v>
      </c>
      <c r="B9" s="74">
        <v>3.42268584875167E-62</v>
      </c>
      <c r="C9" s="75">
        <v>2.9247205816637301E-86</v>
      </c>
      <c r="D9" s="75">
        <v>2.4334529035921599E-48</v>
      </c>
      <c r="E9" s="75">
        <v>1.88510379000035E-62</v>
      </c>
      <c r="F9" s="75">
        <v>1.1558418611745499E-59</v>
      </c>
      <c r="G9" s="75">
        <v>4.98048933502962E-162</v>
      </c>
      <c r="H9" s="75">
        <v>2.3396566446615E-50</v>
      </c>
      <c r="I9" s="32">
        <v>0</v>
      </c>
    </row>
    <row r="10" spans="1:9">
      <c r="A10" s="20"/>
      <c r="B10" s="20"/>
      <c r="C10" s="20"/>
      <c r="D10" s="20"/>
      <c r="E10" s="20"/>
      <c r="F10" s="20"/>
      <c r="G10" s="20"/>
      <c r="H10" s="20"/>
      <c r="I10" s="20"/>
    </row>
    <row r="11" spans="1:9" ht="14.4" customHeight="1">
      <c r="A11" s="182" t="s">
        <v>1203</v>
      </c>
      <c r="B11" s="182"/>
      <c r="C11" s="182"/>
      <c r="D11" s="182"/>
      <c r="E11" s="182"/>
      <c r="F11" s="182"/>
      <c r="G11" s="182"/>
      <c r="H11" s="182"/>
      <c r="I11" s="182"/>
    </row>
    <row r="12" spans="1:9">
      <c r="A12" s="182"/>
      <c r="B12" s="182"/>
      <c r="C12" s="182"/>
      <c r="D12" s="182"/>
      <c r="E12" s="182"/>
      <c r="F12" s="182"/>
      <c r="G12" s="182"/>
      <c r="H12" s="182"/>
      <c r="I12" s="182"/>
    </row>
    <row r="13" spans="1:9">
      <c r="A13" s="182"/>
      <c r="B13" s="182"/>
      <c r="C13" s="182"/>
      <c r="D13" s="182"/>
      <c r="E13" s="182"/>
      <c r="F13" s="182"/>
      <c r="G13" s="182"/>
      <c r="H13" s="182"/>
      <c r="I13" s="182"/>
    </row>
    <row r="14" spans="1:9">
      <c r="A14" s="182"/>
      <c r="B14" s="182"/>
      <c r="C14" s="182"/>
      <c r="D14" s="182"/>
      <c r="E14" s="182"/>
      <c r="F14" s="182"/>
      <c r="G14" s="182"/>
      <c r="H14" s="182"/>
      <c r="I14" s="182"/>
    </row>
    <row r="15" spans="1:9">
      <c r="A15" s="182"/>
      <c r="B15" s="182"/>
      <c r="C15" s="182"/>
      <c r="D15" s="182"/>
      <c r="E15" s="182"/>
      <c r="F15" s="182"/>
      <c r="G15" s="182"/>
      <c r="H15" s="182"/>
      <c r="I15" s="182"/>
    </row>
    <row r="16" spans="1:9">
      <c r="A16" s="182"/>
      <c r="B16" s="182"/>
      <c r="C16" s="182"/>
      <c r="D16" s="182"/>
      <c r="E16" s="182"/>
      <c r="F16" s="182"/>
      <c r="G16" s="182"/>
      <c r="H16" s="182"/>
      <c r="I16" s="182"/>
    </row>
  </sheetData>
  <mergeCells count="1">
    <mergeCell ref="A11:I16"/>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000"/>
  <sheetViews>
    <sheetView workbookViewId="0">
      <selection activeCell="A21" sqref="A21:F26"/>
    </sheetView>
  </sheetViews>
  <sheetFormatPr defaultColWidth="12.6640625" defaultRowHeight="15" customHeight="1"/>
  <cols>
    <col min="1" max="1" width="11.44140625" customWidth="1"/>
    <col min="2" max="3" width="8.6640625" customWidth="1"/>
    <col min="4" max="4" width="11.44140625" customWidth="1"/>
    <col min="5" max="5" width="16.44140625" customWidth="1"/>
    <col min="6" max="6" width="8.109375" customWidth="1"/>
    <col min="7" max="26" width="8.6640625" customWidth="1"/>
  </cols>
  <sheetData>
    <row r="1" spans="1:6" ht="14.25" customHeight="1">
      <c r="A1" s="175" t="s">
        <v>0</v>
      </c>
      <c r="B1" s="174" t="s">
        <v>350</v>
      </c>
      <c r="C1" s="174" t="s">
        <v>351</v>
      </c>
      <c r="D1" s="174" t="s">
        <v>352</v>
      </c>
      <c r="E1" s="174" t="s">
        <v>353</v>
      </c>
      <c r="F1" s="178" t="s">
        <v>354</v>
      </c>
    </row>
    <row r="2" spans="1:6" ht="14.25" customHeight="1">
      <c r="A2" s="176"/>
      <c r="B2" s="171"/>
      <c r="C2" s="171"/>
      <c r="D2" s="171"/>
      <c r="E2" s="171"/>
      <c r="F2" s="180"/>
    </row>
    <row r="3" spans="1:6" ht="14.25" customHeight="1">
      <c r="A3" s="1" t="s">
        <v>347</v>
      </c>
      <c r="B3" s="26">
        <v>14787</v>
      </c>
      <c r="C3" s="27">
        <v>1998</v>
      </c>
      <c r="D3" s="27">
        <v>1510</v>
      </c>
      <c r="E3" s="27">
        <v>488</v>
      </c>
      <c r="F3" s="76">
        <v>3.0942622950819674</v>
      </c>
    </row>
    <row r="4" spans="1:6" ht="14.25" customHeight="1">
      <c r="A4" s="5" t="s">
        <v>348</v>
      </c>
      <c r="B4" s="30">
        <v>14459</v>
      </c>
      <c r="C4" s="20">
        <v>1953</v>
      </c>
      <c r="D4" s="20">
        <v>1478</v>
      </c>
      <c r="E4" s="20">
        <v>475</v>
      </c>
      <c r="F4" s="57">
        <v>3.1115789473684212</v>
      </c>
    </row>
    <row r="5" spans="1:6" ht="14.25" customHeight="1">
      <c r="A5" s="8" t="s">
        <v>349</v>
      </c>
      <c r="B5" s="35">
        <v>13195</v>
      </c>
      <c r="C5" s="33">
        <v>3018</v>
      </c>
      <c r="D5" s="33">
        <v>1684</v>
      </c>
      <c r="E5" s="33">
        <v>1334</v>
      </c>
      <c r="F5" s="77">
        <v>1.2623688155922039</v>
      </c>
    </row>
    <row r="6" spans="1:6" ht="14.25" customHeight="1">
      <c r="A6" s="2" t="s">
        <v>342</v>
      </c>
      <c r="B6" s="26">
        <v>11141</v>
      </c>
      <c r="C6" s="27">
        <v>1493</v>
      </c>
      <c r="D6" s="27">
        <v>1070</v>
      </c>
      <c r="E6" s="27">
        <v>423</v>
      </c>
      <c r="F6" s="76">
        <v>2.5295508274231677</v>
      </c>
    </row>
    <row r="7" spans="1:6" ht="14.25" customHeight="1">
      <c r="A7" s="5" t="s">
        <v>355</v>
      </c>
      <c r="B7" s="30">
        <v>8457</v>
      </c>
      <c r="C7" s="20">
        <v>1080</v>
      </c>
      <c r="D7" s="20">
        <v>712</v>
      </c>
      <c r="E7" s="20">
        <v>368</v>
      </c>
      <c r="F7" s="57">
        <v>1.9347826086956521</v>
      </c>
    </row>
    <row r="8" spans="1:6" ht="14.25" customHeight="1">
      <c r="A8" s="5" t="s">
        <v>343</v>
      </c>
      <c r="B8" s="30">
        <v>15698</v>
      </c>
      <c r="C8" s="20">
        <v>2205</v>
      </c>
      <c r="D8" s="20">
        <v>1597</v>
      </c>
      <c r="E8" s="20">
        <v>608</v>
      </c>
      <c r="F8" s="57">
        <v>2.6266447368421053</v>
      </c>
    </row>
    <row r="9" spans="1:6" ht="14.25" customHeight="1">
      <c r="A9" s="5" t="s">
        <v>356</v>
      </c>
      <c r="B9" s="30">
        <v>9601</v>
      </c>
      <c r="C9" s="20">
        <v>1259</v>
      </c>
      <c r="D9" s="20">
        <v>844</v>
      </c>
      <c r="E9" s="20">
        <v>415</v>
      </c>
      <c r="F9" s="57">
        <v>2.0337349397590363</v>
      </c>
    </row>
    <row r="10" spans="1:6" ht="14.25" customHeight="1">
      <c r="A10" s="5" t="s">
        <v>357</v>
      </c>
      <c r="B10" s="30">
        <v>9447</v>
      </c>
      <c r="C10" s="20">
        <v>1135</v>
      </c>
      <c r="D10" s="20">
        <v>645</v>
      </c>
      <c r="E10" s="20">
        <v>490</v>
      </c>
      <c r="F10" s="57">
        <v>1.3163265306122449</v>
      </c>
    </row>
    <row r="11" spans="1:6" ht="14.25" customHeight="1">
      <c r="A11" s="5" t="s">
        <v>358</v>
      </c>
      <c r="B11" s="30">
        <v>11100</v>
      </c>
      <c r="C11" s="20">
        <v>1502</v>
      </c>
      <c r="D11" s="20">
        <v>1056</v>
      </c>
      <c r="E11" s="20">
        <v>446</v>
      </c>
      <c r="F11" s="57">
        <v>2.3677130044843051</v>
      </c>
    </row>
    <row r="12" spans="1:6" ht="14.25" customHeight="1">
      <c r="A12" s="8" t="s">
        <v>359</v>
      </c>
      <c r="B12" s="35">
        <v>13355</v>
      </c>
      <c r="C12" s="33">
        <v>1994</v>
      </c>
      <c r="D12" s="33">
        <v>1421</v>
      </c>
      <c r="E12" s="33">
        <v>573</v>
      </c>
      <c r="F12" s="77">
        <v>2.4799301919720769</v>
      </c>
    </row>
    <row r="13" spans="1:6" ht="14.25" customHeight="1">
      <c r="A13" s="2" t="s">
        <v>360</v>
      </c>
      <c r="B13" s="26">
        <v>7102</v>
      </c>
      <c r="C13" s="27">
        <v>880</v>
      </c>
      <c r="D13" s="27">
        <v>610</v>
      </c>
      <c r="E13" s="27">
        <v>270</v>
      </c>
      <c r="F13" s="76">
        <v>2.2592592592592591</v>
      </c>
    </row>
    <row r="14" spans="1:6" ht="14.25" customHeight="1">
      <c r="A14" s="5" t="s">
        <v>361</v>
      </c>
      <c r="B14" s="30">
        <v>9152</v>
      </c>
      <c r="C14" s="20">
        <v>1078</v>
      </c>
      <c r="D14" s="20">
        <v>642</v>
      </c>
      <c r="E14" s="20">
        <v>436</v>
      </c>
      <c r="F14" s="57">
        <v>1.4724770642201834</v>
      </c>
    </row>
    <row r="15" spans="1:6" ht="14.25" customHeight="1">
      <c r="A15" s="5" t="s">
        <v>344</v>
      </c>
      <c r="B15" s="30">
        <v>14659</v>
      </c>
      <c r="C15" s="20">
        <v>2206</v>
      </c>
      <c r="D15" s="20">
        <v>1667</v>
      </c>
      <c r="E15" s="20">
        <v>539</v>
      </c>
      <c r="F15" s="57">
        <v>3.0927643784786643</v>
      </c>
    </row>
    <row r="16" spans="1:6" ht="14.25" customHeight="1">
      <c r="A16" s="5" t="s">
        <v>362</v>
      </c>
      <c r="B16" s="30">
        <v>10431</v>
      </c>
      <c r="C16" s="20">
        <v>1420</v>
      </c>
      <c r="D16" s="20">
        <v>929</v>
      </c>
      <c r="E16" s="20">
        <v>491</v>
      </c>
      <c r="F16" s="57">
        <v>1.8920570264765784</v>
      </c>
    </row>
    <row r="17" spans="1:6" ht="14.25" customHeight="1">
      <c r="A17" s="5" t="s">
        <v>363</v>
      </c>
      <c r="B17" s="30">
        <v>12330</v>
      </c>
      <c r="C17" s="20">
        <v>1621</v>
      </c>
      <c r="D17" s="20">
        <v>1023</v>
      </c>
      <c r="E17" s="20">
        <v>598</v>
      </c>
      <c r="F17" s="57">
        <v>1.7107023411371238</v>
      </c>
    </row>
    <row r="18" spans="1:6" ht="14.25" customHeight="1">
      <c r="A18" s="5" t="s">
        <v>345</v>
      </c>
      <c r="B18" s="30">
        <v>10649</v>
      </c>
      <c r="C18" s="20">
        <v>1343</v>
      </c>
      <c r="D18" s="20">
        <v>1031</v>
      </c>
      <c r="E18" s="20">
        <v>312</v>
      </c>
      <c r="F18" s="57">
        <v>3.3044871794871793</v>
      </c>
    </row>
    <row r="19" spans="1:6" ht="14.25" customHeight="1">
      <c r="A19" s="8" t="s">
        <v>346</v>
      </c>
      <c r="B19" s="35">
        <v>11217</v>
      </c>
      <c r="C19" s="33">
        <v>1623</v>
      </c>
      <c r="D19" s="33">
        <v>1220</v>
      </c>
      <c r="E19" s="33">
        <v>403</v>
      </c>
      <c r="F19" s="77">
        <v>3.0272952853598016</v>
      </c>
    </row>
    <row r="20" spans="1:6" ht="14.25" customHeight="1">
      <c r="A20" s="8" t="s">
        <v>364</v>
      </c>
      <c r="B20" s="35"/>
      <c r="C20" s="33"/>
      <c r="D20" s="33"/>
      <c r="E20" s="33"/>
      <c r="F20" s="78">
        <f>AVERAGE(F6:F19)</f>
        <v>2.2891232410148126</v>
      </c>
    </row>
    <row r="21" spans="1:6" ht="14.25" customHeight="1">
      <c r="A21" s="184" t="s">
        <v>1215</v>
      </c>
      <c r="B21" s="185"/>
      <c r="C21" s="185"/>
      <c r="D21" s="185"/>
      <c r="E21" s="185"/>
      <c r="F21" s="185"/>
    </row>
    <row r="22" spans="1:6" ht="14.25" customHeight="1">
      <c r="A22" s="171"/>
      <c r="B22" s="171"/>
      <c r="C22" s="171"/>
      <c r="D22" s="171"/>
      <c r="E22" s="171"/>
      <c r="F22" s="171"/>
    </row>
    <row r="23" spans="1:6" ht="14.25" customHeight="1">
      <c r="A23" s="171"/>
      <c r="B23" s="171"/>
      <c r="C23" s="171"/>
      <c r="D23" s="171"/>
      <c r="E23" s="171"/>
      <c r="F23" s="171"/>
    </row>
    <row r="24" spans="1:6" ht="14.25" customHeight="1">
      <c r="A24" s="171"/>
      <c r="B24" s="171"/>
      <c r="C24" s="171"/>
      <c r="D24" s="171"/>
      <c r="E24" s="171"/>
      <c r="F24" s="171"/>
    </row>
    <row r="25" spans="1:6" ht="14.25" customHeight="1">
      <c r="A25" s="171"/>
      <c r="B25" s="171"/>
      <c r="C25" s="171"/>
      <c r="D25" s="171"/>
      <c r="E25" s="171"/>
      <c r="F25" s="171"/>
    </row>
    <row r="26" spans="1:6" ht="14.25" customHeight="1">
      <c r="A26" s="171"/>
      <c r="B26" s="171"/>
      <c r="C26" s="171"/>
      <c r="D26" s="171"/>
      <c r="E26" s="171"/>
      <c r="F26" s="171"/>
    </row>
    <row r="27" spans="1:6" ht="14.25" customHeight="1"/>
    <row r="28" spans="1:6" ht="14.25" customHeight="1"/>
    <row r="29" spans="1:6" ht="14.25" customHeight="1"/>
    <row r="30" spans="1:6" ht="14.25" customHeight="1"/>
    <row r="31" spans="1:6" ht="14.25" customHeight="1"/>
    <row r="32" spans="1:6"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7">
    <mergeCell ref="F1:F2"/>
    <mergeCell ref="A21:F26"/>
    <mergeCell ref="A1:A2"/>
    <mergeCell ref="B1:B2"/>
    <mergeCell ref="C1:C2"/>
    <mergeCell ref="D1:D2"/>
    <mergeCell ref="E1:E2"/>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1000"/>
  <sheetViews>
    <sheetView topLeftCell="A64" workbookViewId="0">
      <selection activeCell="A99" sqref="A99"/>
    </sheetView>
  </sheetViews>
  <sheetFormatPr defaultColWidth="12.6640625" defaultRowHeight="15" customHeight="1"/>
  <cols>
    <col min="1" max="1" width="11.33203125" customWidth="1"/>
    <col min="2" max="2" width="8.6640625" customWidth="1"/>
    <col min="3" max="8" width="9" customWidth="1"/>
    <col min="9" max="9" width="8.6640625" customWidth="1"/>
    <col min="10" max="15" width="9.109375" customWidth="1"/>
    <col min="16" max="26" width="8.6640625" customWidth="1"/>
  </cols>
  <sheetData>
    <row r="1" spans="1:15" ht="14.25" customHeight="1">
      <c r="A1" s="39" t="s">
        <v>365</v>
      </c>
      <c r="B1" s="39"/>
      <c r="C1" s="20"/>
      <c r="D1" s="20"/>
      <c r="E1" s="20"/>
      <c r="F1" s="20"/>
      <c r="G1" s="20"/>
      <c r="H1" s="20"/>
      <c r="I1" s="20"/>
      <c r="J1" s="20"/>
      <c r="K1" s="20"/>
      <c r="L1" s="20"/>
      <c r="M1" s="20"/>
      <c r="N1" s="20"/>
      <c r="O1" s="20"/>
    </row>
    <row r="2" spans="1:15" ht="14.25" customHeight="1">
      <c r="A2" s="20"/>
      <c r="B2" s="39"/>
      <c r="C2" s="192" t="s">
        <v>366</v>
      </c>
      <c r="D2" s="171"/>
      <c r="E2" s="171"/>
      <c r="F2" s="171"/>
      <c r="G2" s="171"/>
      <c r="H2" s="171"/>
      <c r="I2" s="20"/>
      <c r="J2" s="192" t="s">
        <v>367</v>
      </c>
      <c r="K2" s="171"/>
      <c r="L2" s="171"/>
      <c r="M2" s="171"/>
      <c r="N2" s="171"/>
      <c r="O2" s="171"/>
    </row>
    <row r="3" spans="1:15" ht="14.25" customHeight="1">
      <c r="A3" s="80"/>
      <c r="B3" s="40"/>
      <c r="C3" s="193" t="s">
        <v>368</v>
      </c>
      <c r="D3" s="171"/>
      <c r="E3" s="171"/>
      <c r="F3" s="171"/>
      <c r="G3" s="171"/>
      <c r="H3" s="171"/>
      <c r="I3" s="20"/>
      <c r="J3" s="193" t="s">
        <v>368</v>
      </c>
      <c r="K3" s="171"/>
      <c r="L3" s="171"/>
      <c r="M3" s="171"/>
      <c r="N3" s="171"/>
      <c r="O3" s="171"/>
    </row>
    <row r="4" spans="1:15" ht="14.25" customHeight="1">
      <c r="A4" s="20"/>
      <c r="B4" s="20"/>
      <c r="C4" s="194" t="s">
        <v>342</v>
      </c>
      <c r="D4" s="186" t="s">
        <v>355</v>
      </c>
      <c r="E4" s="186" t="s">
        <v>343</v>
      </c>
      <c r="F4" s="186" t="s">
        <v>358</v>
      </c>
      <c r="G4" s="186" t="s">
        <v>345</v>
      </c>
      <c r="H4" s="187" t="s">
        <v>347</v>
      </c>
      <c r="I4" s="20"/>
      <c r="J4" s="194" t="s">
        <v>342</v>
      </c>
      <c r="K4" s="186" t="s">
        <v>355</v>
      </c>
      <c r="L4" s="186" t="s">
        <v>343</v>
      </c>
      <c r="M4" s="186" t="s">
        <v>358</v>
      </c>
      <c r="N4" s="186" t="s">
        <v>345</v>
      </c>
      <c r="O4" s="187" t="s">
        <v>347</v>
      </c>
    </row>
    <row r="5" spans="1:15" ht="14.25" customHeight="1">
      <c r="A5" s="20"/>
      <c r="B5" s="20"/>
      <c r="C5" s="195"/>
      <c r="D5" s="173"/>
      <c r="E5" s="173"/>
      <c r="F5" s="173"/>
      <c r="G5" s="173"/>
      <c r="H5" s="180"/>
      <c r="I5" s="20"/>
      <c r="J5" s="195"/>
      <c r="K5" s="173"/>
      <c r="L5" s="173"/>
      <c r="M5" s="173"/>
      <c r="N5" s="173"/>
      <c r="O5" s="180"/>
    </row>
    <row r="6" spans="1:15" ht="14.25" customHeight="1">
      <c r="A6" s="84" t="s">
        <v>369</v>
      </c>
      <c r="B6" s="84" t="s">
        <v>370</v>
      </c>
      <c r="C6" s="85"/>
      <c r="D6" s="85"/>
      <c r="E6" s="85"/>
      <c r="F6" s="85"/>
      <c r="G6" s="85"/>
      <c r="H6" s="76"/>
      <c r="I6" s="20"/>
      <c r="J6" s="86"/>
      <c r="K6" s="70"/>
      <c r="L6" s="70"/>
      <c r="M6" s="70"/>
      <c r="N6" s="70"/>
      <c r="O6" s="71"/>
    </row>
    <row r="7" spans="1:15" ht="14.25" customHeight="1">
      <c r="A7" s="188" t="s">
        <v>371</v>
      </c>
      <c r="B7" s="87" t="s">
        <v>342</v>
      </c>
      <c r="C7" s="88">
        <v>8.9511873528881306E-2</v>
      </c>
      <c r="D7" s="56">
        <v>8.80190009151572E-2</v>
      </c>
      <c r="E7" s="56">
        <v>7.2288132847065797E-2</v>
      </c>
      <c r="F7" s="56">
        <v>9.82423662914748E-2</v>
      </c>
      <c r="G7" s="56">
        <v>8.3847253166594998E-2</v>
      </c>
      <c r="H7" s="57">
        <v>7.9488524018760096E-2</v>
      </c>
      <c r="I7" s="20"/>
      <c r="J7" s="89">
        <v>0.28600604137989699</v>
      </c>
      <c r="K7" s="45">
        <v>0.29415043244043598</v>
      </c>
      <c r="L7" s="45">
        <v>0.38922454147310998</v>
      </c>
      <c r="M7" s="45">
        <v>0.24140992850124199</v>
      </c>
      <c r="N7" s="45">
        <v>0.31771787546334701</v>
      </c>
      <c r="O7" s="73">
        <v>0.34361404287000002</v>
      </c>
    </row>
    <row r="8" spans="1:15" ht="14.25" customHeight="1">
      <c r="A8" s="189"/>
      <c r="B8" s="6" t="s">
        <v>355</v>
      </c>
      <c r="C8" s="56">
        <v>0.226169944510247</v>
      </c>
      <c r="D8" s="88">
        <v>0.21462246466875001</v>
      </c>
      <c r="E8" s="56">
        <v>0.194665874273801</v>
      </c>
      <c r="F8" s="56">
        <v>0.20225963585238901</v>
      </c>
      <c r="G8" s="56">
        <v>0.19635078164683301</v>
      </c>
      <c r="H8" s="57">
        <v>0.19909411285512299</v>
      </c>
      <c r="I8" s="20"/>
      <c r="J8" s="72">
        <v>6.4146064310032502E-3</v>
      </c>
      <c r="K8" s="90">
        <v>9.7889115228507895E-3</v>
      </c>
      <c r="L8" s="45">
        <v>1.9384952535490399E-2</v>
      </c>
      <c r="M8" s="45">
        <v>1.5051221969589201E-2</v>
      </c>
      <c r="N8" s="45">
        <v>1.83399428989428E-2</v>
      </c>
      <c r="O8" s="73">
        <v>1.6742786168400799E-2</v>
      </c>
    </row>
    <row r="9" spans="1:15" ht="14.25" customHeight="1">
      <c r="A9" s="189"/>
      <c r="B9" s="6" t="s">
        <v>343</v>
      </c>
      <c r="C9" s="56">
        <v>7.8736504738030705E-2</v>
      </c>
      <c r="D9" s="56">
        <v>7.5191068349582599E-2</v>
      </c>
      <c r="E9" s="88">
        <v>9.3411698404442203E-2</v>
      </c>
      <c r="F9" s="56">
        <v>8.3163176942243205E-2</v>
      </c>
      <c r="G9" s="56">
        <v>7.0587205727043301E-2</v>
      </c>
      <c r="H9" s="57">
        <v>9.6657041001541905E-2</v>
      </c>
      <c r="I9" s="20"/>
      <c r="J9" s="72">
        <v>0.348213212620546</v>
      </c>
      <c r="K9" s="45">
        <v>0.37041420844131601</v>
      </c>
      <c r="L9" s="90">
        <v>0.26544749133448903</v>
      </c>
      <c r="M9" s="45">
        <v>0.32169614661231399</v>
      </c>
      <c r="N9" s="45">
        <v>0.40050849462330201</v>
      </c>
      <c r="O9" s="73">
        <v>0.24912540603800901</v>
      </c>
    </row>
    <row r="10" spans="1:15" ht="14.25" customHeight="1">
      <c r="A10" s="189"/>
      <c r="B10" s="6" t="s">
        <v>358</v>
      </c>
      <c r="C10" s="56">
        <v>0.11937479531804999</v>
      </c>
      <c r="D10" s="56">
        <v>0.114624527319724</v>
      </c>
      <c r="E10" s="56">
        <v>8.2522685927149106E-2</v>
      </c>
      <c r="F10" s="88">
        <v>0.123898515331076</v>
      </c>
      <c r="G10" s="56">
        <v>9.43266280002268E-2</v>
      </c>
      <c r="H10" s="57">
        <v>9.13896353606726E-2</v>
      </c>
      <c r="I10" s="20"/>
      <c r="J10" s="72">
        <v>0.15412424656387699</v>
      </c>
      <c r="K10" s="45">
        <v>0.17130588579360201</v>
      </c>
      <c r="L10" s="45">
        <v>0.32544998412985499</v>
      </c>
      <c r="M10" s="90">
        <v>0.13899840326216401</v>
      </c>
      <c r="N10" s="45">
        <v>0.26077392855339498</v>
      </c>
      <c r="O10" s="73">
        <v>0.27597789514764998</v>
      </c>
    </row>
    <row r="11" spans="1:15" ht="14.25" customHeight="1">
      <c r="A11" s="189"/>
      <c r="B11" s="6" t="s">
        <v>345</v>
      </c>
      <c r="C11" s="56">
        <v>4.4540353818639897E-2</v>
      </c>
      <c r="D11" s="56">
        <v>2.9662766114618499E-2</v>
      </c>
      <c r="E11" s="56">
        <v>1.00298886739736E-2</v>
      </c>
      <c r="F11" s="56">
        <v>3.6639534196342E-2</v>
      </c>
      <c r="G11" s="88">
        <v>3.5423754310050799E-2</v>
      </c>
      <c r="H11" s="57">
        <v>3.0448046171436201E-2</v>
      </c>
      <c r="I11" s="20"/>
      <c r="J11" s="72">
        <v>0.59605010329238195</v>
      </c>
      <c r="K11" s="45">
        <v>0.72414197351920195</v>
      </c>
      <c r="L11" s="45">
        <v>0.90502763448202805</v>
      </c>
      <c r="M11" s="45">
        <v>0.66284477614463599</v>
      </c>
      <c r="N11" s="90">
        <v>0.67338081543320205</v>
      </c>
      <c r="O11" s="73">
        <v>0.71714566879139996</v>
      </c>
    </row>
    <row r="12" spans="1:15" ht="14.25" customHeight="1">
      <c r="A12" s="189"/>
      <c r="B12" s="6" t="s">
        <v>372</v>
      </c>
      <c r="C12" s="56">
        <v>0.20578285521174999</v>
      </c>
      <c r="D12" s="56">
        <v>0.21854394592164</v>
      </c>
      <c r="E12" s="56">
        <v>0.17842278734557299</v>
      </c>
      <c r="F12" s="56">
        <v>0.203162018240443</v>
      </c>
      <c r="G12" s="56">
        <v>0.18032867420059701</v>
      </c>
      <c r="H12" s="57">
        <v>0.18057542093174</v>
      </c>
      <c r="I12" s="20"/>
      <c r="J12" s="72">
        <v>1.33454656118565E-2</v>
      </c>
      <c r="K12" s="45">
        <v>8.4993707327252199E-3</v>
      </c>
      <c r="L12" s="45">
        <v>3.2386100358756498E-2</v>
      </c>
      <c r="M12" s="45">
        <v>1.45971581331095E-2</v>
      </c>
      <c r="N12" s="45">
        <v>3.0552904382611899E-2</v>
      </c>
      <c r="O12" s="73">
        <v>3.03221436099947E-2</v>
      </c>
    </row>
    <row r="13" spans="1:15" ht="14.25" customHeight="1">
      <c r="A13" s="190"/>
      <c r="B13" s="6" t="s">
        <v>350</v>
      </c>
      <c r="C13" s="56">
        <v>0.12256095207832</v>
      </c>
      <c r="D13" s="56">
        <v>0.120181751428142</v>
      </c>
      <c r="E13" s="56">
        <v>0.12673981274408899</v>
      </c>
      <c r="F13" s="56">
        <v>0.125413838264439</v>
      </c>
      <c r="G13" s="56">
        <v>0.109476873022692</v>
      </c>
      <c r="H13" s="91">
        <v>0.13184425733584201</v>
      </c>
      <c r="I13" s="20"/>
      <c r="J13" s="74">
        <v>0.143347984875422</v>
      </c>
      <c r="K13" s="75">
        <v>0.151339025298138</v>
      </c>
      <c r="L13" s="75">
        <v>0.130093398805434</v>
      </c>
      <c r="M13" s="75">
        <v>0.134193076791949</v>
      </c>
      <c r="N13" s="75">
        <v>0.19148366142581399</v>
      </c>
      <c r="O13" s="92">
        <v>0.115204134832235</v>
      </c>
    </row>
    <row r="14" spans="1:15" ht="14.25" customHeight="1">
      <c r="A14" s="191" t="s">
        <v>373</v>
      </c>
      <c r="B14" s="87" t="s">
        <v>342</v>
      </c>
      <c r="C14" s="93">
        <v>0.62050738285659002</v>
      </c>
      <c r="D14" s="85">
        <v>0.61515888688261999</v>
      </c>
      <c r="E14" s="85">
        <v>0.56152775200952099</v>
      </c>
      <c r="F14" s="85">
        <v>0.61846290369539203</v>
      </c>
      <c r="G14" s="85">
        <v>0.61315616339601797</v>
      </c>
      <c r="H14" s="76">
        <v>0.57223344371096296</v>
      </c>
      <c r="I14" s="20"/>
      <c r="J14" s="94">
        <v>1.08705290151156E-16</v>
      </c>
      <c r="K14" s="70">
        <v>2.3414704578150202E-16</v>
      </c>
      <c r="L14" s="70">
        <v>2.4505135794152799E-13</v>
      </c>
      <c r="M14" s="70">
        <v>1.4600983998211101E-16</v>
      </c>
      <c r="N14" s="70">
        <v>3.1091913705560102E-16</v>
      </c>
      <c r="O14" s="71">
        <v>6.7586702168349903E-14</v>
      </c>
    </row>
    <row r="15" spans="1:15" ht="14.25" customHeight="1">
      <c r="A15" s="189"/>
      <c r="B15" s="6" t="s">
        <v>355</v>
      </c>
      <c r="C15" s="56">
        <v>0.66627370135937403</v>
      </c>
      <c r="D15" s="88">
        <v>0.65655116598660801</v>
      </c>
      <c r="E15" s="56">
        <v>0.60483551193530505</v>
      </c>
      <c r="F15" s="56">
        <v>0.66418452313818399</v>
      </c>
      <c r="G15" s="56">
        <v>0.65399720769422598</v>
      </c>
      <c r="H15" s="57">
        <v>0.61370625313610205</v>
      </c>
      <c r="I15" s="20"/>
      <c r="J15" s="72">
        <v>7.9870999072061296E-20</v>
      </c>
      <c r="K15" s="90">
        <v>4.1078828837620898E-19</v>
      </c>
      <c r="L15" s="45">
        <v>9.88806192444016E-16</v>
      </c>
      <c r="M15" s="45">
        <v>1.1414487583417501E-19</v>
      </c>
      <c r="N15" s="45">
        <v>6.2535846403334601E-19</v>
      </c>
      <c r="O15" s="73">
        <v>2.8767779006387498E-16</v>
      </c>
    </row>
    <row r="16" spans="1:15" ht="14.25" customHeight="1">
      <c r="A16" s="189"/>
      <c r="B16" s="6" t="s">
        <v>343</v>
      </c>
      <c r="C16" s="56">
        <v>0.66502485985774895</v>
      </c>
      <c r="D16" s="56">
        <v>0.64505125346653203</v>
      </c>
      <c r="E16" s="88">
        <v>0.61862317931654198</v>
      </c>
      <c r="F16" s="56">
        <v>0.65888913280400596</v>
      </c>
      <c r="G16" s="56">
        <v>0.65574563730464497</v>
      </c>
      <c r="H16" s="57">
        <v>0.62363225917087595</v>
      </c>
      <c r="I16" s="20"/>
      <c r="J16" s="72">
        <v>9.8908334373136099E-20</v>
      </c>
      <c r="K16" s="45">
        <v>2.6412069336247499E-18</v>
      </c>
      <c r="L16" s="90">
        <v>1.4268261906013399E-16</v>
      </c>
      <c r="M16" s="45">
        <v>2.7860503314502898E-19</v>
      </c>
      <c r="N16" s="45">
        <v>4.6921610875342795E-19</v>
      </c>
      <c r="O16" s="73">
        <v>6.8958759063764906E-17</v>
      </c>
    </row>
    <row r="17" spans="1:15" ht="14.25" customHeight="1">
      <c r="A17" s="189"/>
      <c r="B17" s="6" t="s">
        <v>358</v>
      </c>
      <c r="C17" s="56">
        <v>0.60756583608728998</v>
      </c>
      <c r="D17" s="56">
        <v>0.590893328601937</v>
      </c>
      <c r="E17" s="56">
        <v>0.55290357239241705</v>
      </c>
      <c r="F17" s="88">
        <v>0.61007568107360699</v>
      </c>
      <c r="G17" s="56">
        <v>0.61737191627979504</v>
      </c>
      <c r="H17" s="57">
        <v>0.57178918822982205</v>
      </c>
      <c r="I17" s="20"/>
      <c r="J17" s="72">
        <v>6.7897232079085805E-16</v>
      </c>
      <c r="K17" s="45">
        <v>6.38234474001211E-15</v>
      </c>
      <c r="L17" s="45">
        <v>6.6915025108197201E-13</v>
      </c>
      <c r="M17" s="90">
        <v>4.7905873354776197E-16</v>
      </c>
      <c r="N17" s="45">
        <v>1.70755668579163E-16</v>
      </c>
      <c r="O17" s="73">
        <v>7.1363801190836802E-14</v>
      </c>
    </row>
    <row r="18" spans="1:15" ht="14.25" customHeight="1">
      <c r="A18" s="189"/>
      <c r="B18" s="6" t="s">
        <v>345</v>
      </c>
      <c r="C18" s="56">
        <v>0.62666091564710302</v>
      </c>
      <c r="D18" s="56">
        <v>0.61248818387525095</v>
      </c>
      <c r="E18" s="56">
        <v>0.58105756868886005</v>
      </c>
      <c r="F18" s="56">
        <v>0.61355291840051096</v>
      </c>
      <c r="G18" s="88">
        <v>0.62015757485076595</v>
      </c>
      <c r="H18" s="57">
        <v>0.59165419901804595</v>
      </c>
      <c r="I18" s="20"/>
      <c r="J18" s="72">
        <v>4.4145529947207897E-17</v>
      </c>
      <c r="K18" s="45">
        <v>3.4161067210514901E-16</v>
      </c>
      <c r="L18" s="45">
        <v>2.25593203100543E-14</v>
      </c>
      <c r="M18" s="45">
        <v>2.9398021761725999E-16</v>
      </c>
      <c r="N18" s="90">
        <v>1.1435106121117301E-16</v>
      </c>
      <c r="O18" s="73">
        <v>5.77809756719082E-15</v>
      </c>
    </row>
    <row r="19" spans="1:15" ht="14.25" customHeight="1">
      <c r="A19" s="189"/>
      <c r="B19" s="6" t="s">
        <v>372</v>
      </c>
      <c r="C19" s="56">
        <v>0.63675887205683701</v>
      </c>
      <c r="D19" s="56">
        <v>0.62238764511737699</v>
      </c>
      <c r="E19" s="56">
        <v>0.57913776267469297</v>
      </c>
      <c r="F19" s="56">
        <v>0.63267435069035005</v>
      </c>
      <c r="G19" s="56">
        <v>0.62615331892068204</v>
      </c>
      <c r="H19" s="57">
        <v>0.58801775421909397</v>
      </c>
      <c r="I19" s="20"/>
      <c r="J19" s="72">
        <v>9.6271935075707597E-18</v>
      </c>
      <c r="K19" s="45">
        <v>8.2714501222622405E-17</v>
      </c>
      <c r="L19" s="45">
        <v>2.8722471586137E-14</v>
      </c>
      <c r="M19" s="45">
        <v>1.7945318844386501E-17</v>
      </c>
      <c r="N19" s="45">
        <v>4.7588104163797699E-17</v>
      </c>
      <c r="O19" s="73">
        <v>9.2728163935837704E-15</v>
      </c>
    </row>
    <row r="20" spans="1:15" ht="14.25" customHeight="1">
      <c r="A20" s="190"/>
      <c r="B20" s="9" t="s">
        <v>350</v>
      </c>
      <c r="C20" s="56">
        <v>0.65340568762028495</v>
      </c>
      <c r="D20" s="56">
        <v>0.63657908832315002</v>
      </c>
      <c r="E20" s="56">
        <v>0.60210476908142496</v>
      </c>
      <c r="F20" s="56">
        <v>0.64526086893704704</v>
      </c>
      <c r="G20" s="56">
        <v>0.64545599402489895</v>
      </c>
      <c r="H20" s="91">
        <v>0.60904042729720198</v>
      </c>
      <c r="I20" s="20"/>
      <c r="J20" s="74">
        <v>6.8889034854660903E-19</v>
      </c>
      <c r="K20" s="75">
        <v>9.8966668991242298E-18</v>
      </c>
      <c r="L20" s="75">
        <v>1.43496597811143E-15</v>
      </c>
      <c r="M20" s="75">
        <v>2.55493370286348E-18</v>
      </c>
      <c r="N20" s="75">
        <v>2.4771013649803102E-18</v>
      </c>
      <c r="O20" s="92">
        <v>5.5338333272214799E-16</v>
      </c>
    </row>
    <row r="21" spans="1:15" ht="14.25" customHeight="1">
      <c r="A21" s="188" t="s">
        <v>374</v>
      </c>
      <c r="B21" s="6" t="s">
        <v>342</v>
      </c>
      <c r="C21" s="93">
        <v>0.61316588387853299</v>
      </c>
      <c r="D21" s="85">
        <v>0.60844487018533699</v>
      </c>
      <c r="E21" s="85">
        <v>0.55295144781662298</v>
      </c>
      <c r="F21" s="85">
        <v>0.61158952545732603</v>
      </c>
      <c r="G21" s="85">
        <v>0.60699367777962598</v>
      </c>
      <c r="H21" s="76">
        <v>0.56435869021537299</v>
      </c>
      <c r="I21" s="20"/>
      <c r="J21" s="94">
        <v>3.1049298588193998E-16</v>
      </c>
      <c r="K21" s="70">
        <v>6.0111357216972304E-16</v>
      </c>
      <c r="L21" s="70">
        <v>6.6548189148911302E-13</v>
      </c>
      <c r="M21" s="70">
        <v>3.8759851475426302E-16</v>
      </c>
      <c r="N21" s="70">
        <v>7.3484170196650601E-16</v>
      </c>
      <c r="O21" s="71">
        <v>1.7510008916504599E-13</v>
      </c>
    </row>
    <row r="22" spans="1:15" ht="14.25" customHeight="1">
      <c r="A22" s="189"/>
      <c r="B22" s="6" t="s">
        <v>355</v>
      </c>
      <c r="C22" s="56">
        <v>0.67553895095829997</v>
      </c>
      <c r="D22" s="88">
        <v>0.66571646331837198</v>
      </c>
      <c r="E22" s="56">
        <v>0.61160660350665497</v>
      </c>
      <c r="F22" s="56">
        <v>0.67132575968598396</v>
      </c>
      <c r="G22" s="56">
        <v>0.66270174823831096</v>
      </c>
      <c r="H22" s="57">
        <v>0.62129351303356595</v>
      </c>
      <c r="I22" s="20"/>
      <c r="J22" s="72">
        <v>1.5826039124162601E-20</v>
      </c>
      <c r="K22" s="90">
        <v>8.7876247461907405E-20</v>
      </c>
      <c r="L22" s="45">
        <v>3.86670774121693E-16</v>
      </c>
      <c r="M22" s="45">
        <v>3.3281010723702802E-20</v>
      </c>
      <c r="N22" s="45">
        <v>1.46812128147427E-19</v>
      </c>
      <c r="O22" s="73">
        <v>9.6991294091062004E-17</v>
      </c>
    </row>
    <row r="23" spans="1:15" ht="14.25" customHeight="1">
      <c r="A23" s="189"/>
      <c r="B23" s="6" t="s">
        <v>343</v>
      </c>
      <c r="C23" s="56">
        <v>0.66728439414674401</v>
      </c>
      <c r="D23" s="56">
        <v>0.64805671988768199</v>
      </c>
      <c r="E23" s="88">
        <v>0.62104907281154798</v>
      </c>
      <c r="F23" s="56">
        <v>0.66169520886733202</v>
      </c>
      <c r="G23" s="56">
        <v>0.65810956823904798</v>
      </c>
      <c r="H23" s="57">
        <v>0.62630420083629101</v>
      </c>
      <c r="I23" s="20"/>
      <c r="J23" s="72">
        <v>6.7130921493700597E-20</v>
      </c>
      <c r="K23" s="45">
        <v>1.63655300367954E-18</v>
      </c>
      <c r="L23" s="90">
        <v>1.00495087497289E-16</v>
      </c>
      <c r="M23" s="45">
        <v>1.7402360226676599E-19</v>
      </c>
      <c r="N23" s="45">
        <v>3.17235943921937E-19</v>
      </c>
      <c r="O23" s="73">
        <v>4.6538340602110797E-17</v>
      </c>
    </row>
    <row r="24" spans="1:15" ht="14.25" customHeight="1">
      <c r="A24" s="189"/>
      <c r="B24" s="6" t="s">
        <v>358</v>
      </c>
      <c r="C24" s="56">
        <v>0.62994610117535499</v>
      </c>
      <c r="D24" s="56">
        <v>0.60780587231491101</v>
      </c>
      <c r="E24" s="56">
        <v>0.569339923272833</v>
      </c>
      <c r="F24" s="88">
        <v>0.63154731478353998</v>
      </c>
      <c r="G24" s="56">
        <v>0.63742143588413402</v>
      </c>
      <c r="H24" s="57">
        <v>0.58951108520906703</v>
      </c>
      <c r="I24" s="20"/>
      <c r="J24" s="72">
        <v>2.7062713442465701E-17</v>
      </c>
      <c r="K24" s="45">
        <v>6.5678647525454196E-16</v>
      </c>
      <c r="L24" s="45">
        <v>9.6171708454365104E-14</v>
      </c>
      <c r="M24" s="90">
        <v>2.1275051576803199E-17</v>
      </c>
      <c r="N24" s="45">
        <v>8.6945486837897393E-18</v>
      </c>
      <c r="O24" s="73">
        <v>7.6412184916751803E-15</v>
      </c>
    </row>
    <row r="25" spans="1:15" ht="14.25" customHeight="1">
      <c r="A25" s="189"/>
      <c r="B25" s="6" t="s">
        <v>345</v>
      </c>
      <c r="C25" s="56">
        <v>0.60956272192164696</v>
      </c>
      <c r="D25" s="56">
        <v>0.597485407622524</v>
      </c>
      <c r="E25" s="56">
        <v>0.55705250175347598</v>
      </c>
      <c r="F25" s="56">
        <v>0.59573256809372299</v>
      </c>
      <c r="G25" s="88">
        <v>0.60309084196504104</v>
      </c>
      <c r="H25" s="57">
        <v>0.57180676391798202</v>
      </c>
      <c r="I25" s="20"/>
      <c r="J25" s="72">
        <v>5.1458076641336997E-16</v>
      </c>
      <c r="K25" s="45">
        <v>2.6726684880161801E-15</v>
      </c>
      <c r="L25" s="45">
        <v>4.1420037032282598E-13</v>
      </c>
      <c r="M25" s="45">
        <v>3.3752651611079301E-15</v>
      </c>
      <c r="N25" s="90">
        <v>1.25492747439255E-15</v>
      </c>
      <c r="O25" s="73">
        <v>7.1210546803758799E-14</v>
      </c>
    </row>
    <row r="26" spans="1:15" ht="14.25" customHeight="1">
      <c r="A26" s="189"/>
      <c r="B26" s="6" t="s">
        <v>372</v>
      </c>
      <c r="C26" s="56">
        <v>0.63864400917408504</v>
      </c>
      <c r="D26" s="56">
        <v>0.62456278880479599</v>
      </c>
      <c r="E26" s="56">
        <v>0.58146479496377601</v>
      </c>
      <c r="F26" s="56">
        <v>0.63455241211524205</v>
      </c>
      <c r="G26" s="56">
        <v>0.62746798080745503</v>
      </c>
      <c r="H26" s="57">
        <v>0.58977306729298795</v>
      </c>
      <c r="I26" s="20"/>
      <c r="J26" s="72">
        <v>7.1996044574947199E-18</v>
      </c>
      <c r="K26" s="45">
        <v>6.0158957173779296E-17</v>
      </c>
      <c r="L26" s="45">
        <v>2.1428280856597801E-14</v>
      </c>
      <c r="M26" s="45">
        <v>1.3492680662019699E-17</v>
      </c>
      <c r="N26" s="45">
        <v>3.9166249041605497E-17</v>
      </c>
      <c r="O26" s="73">
        <v>7.3853818737558304E-15</v>
      </c>
    </row>
    <row r="27" spans="1:15" ht="14.25" customHeight="1">
      <c r="A27" s="190"/>
      <c r="B27" s="9" t="s">
        <v>350</v>
      </c>
      <c r="C27" s="95">
        <v>0.65575469033843703</v>
      </c>
      <c r="D27" s="95">
        <v>0.63937329929979003</v>
      </c>
      <c r="E27" s="95">
        <v>0.604800265165227</v>
      </c>
      <c r="F27" s="95">
        <v>0.64813809425145896</v>
      </c>
      <c r="G27" s="95">
        <v>0.64765400736873102</v>
      </c>
      <c r="H27" s="96">
        <v>0.61185476612399703</v>
      </c>
      <c r="I27" s="20"/>
      <c r="J27" s="74">
        <v>4.6851640816002098E-19</v>
      </c>
      <c r="K27" s="75">
        <v>6.4306561224930702E-18</v>
      </c>
      <c r="L27" s="75">
        <v>9.9359306355053009E-16</v>
      </c>
      <c r="M27" s="75">
        <v>1.6153604099009199E-18</v>
      </c>
      <c r="N27" s="75">
        <v>1.74549528777911E-18</v>
      </c>
      <c r="O27" s="92">
        <v>3.7343149303232902E-16</v>
      </c>
    </row>
    <row r="28" spans="1:15" ht="14.25" customHeight="1">
      <c r="A28" s="39"/>
      <c r="B28" s="20"/>
      <c r="C28" s="97"/>
      <c r="D28" s="97"/>
      <c r="E28" s="97"/>
      <c r="F28" s="97"/>
      <c r="G28" s="97"/>
      <c r="H28" s="97"/>
      <c r="I28" s="20"/>
      <c r="J28" s="97"/>
      <c r="K28" s="97"/>
      <c r="L28" s="97"/>
      <c r="M28" s="97"/>
      <c r="N28" s="97"/>
      <c r="O28" s="97"/>
    </row>
    <row r="29" spans="1:15" ht="14.25" customHeight="1">
      <c r="A29" s="39" t="s">
        <v>375</v>
      </c>
      <c r="B29" s="20"/>
      <c r="C29" s="97"/>
      <c r="D29" s="97"/>
      <c r="E29" s="97"/>
      <c r="F29" s="97"/>
      <c r="G29" s="97"/>
      <c r="H29" s="97"/>
      <c r="I29" s="20"/>
      <c r="J29" s="97"/>
      <c r="K29" s="97"/>
      <c r="L29" s="97"/>
      <c r="M29" s="97"/>
      <c r="N29" s="97"/>
      <c r="O29" s="97"/>
    </row>
    <row r="30" spans="1:15" ht="14.25" customHeight="1">
      <c r="A30" s="39"/>
      <c r="B30" s="20"/>
      <c r="C30" s="192" t="s">
        <v>366</v>
      </c>
      <c r="D30" s="171"/>
      <c r="E30" s="171"/>
      <c r="F30" s="171"/>
      <c r="G30" s="171"/>
      <c r="H30" s="171"/>
      <c r="I30" s="20"/>
      <c r="J30" s="192" t="s">
        <v>367</v>
      </c>
      <c r="K30" s="171"/>
      <c r="L30" s="171"/>
      <c r="M30" s="171"/>
      <c r="N30" s="171"/>
      <c r="O30" s="171"/>
    </row>
    <row r="31" spans="1:15" ht="14.25" customHeight="1">
      <c r="A31" s="20"/>
      <c r="B31" s="20"/>
      <c r="C31" s="193" t="s">
        <v>368</v>
      </c>
      <c r="D31" s="171"/>
      <c r="E31" s="171"/>
      <c r="F31" s="171"/>
      <c r="G31" s="171"/>
      <c r="H31" s="171"/>
      <c r="I31" s="20"/>
      <c r="J31" s="193" t="s">
        <v>368</v>
      </c>
      <c r="K31" s="171"/>
      <c r="L31" s="171"/>
      <c r="M31" s="171"/>
      <c r="N31" s="171"/>
      <c r="O31" s="171"/>
    </row>
    <row r="32" spans="1:15" ht="14.25" customHeight="1">
      <c r="A32" s="20"/>
      <c r="B32" s="20"/>
      <c r="C32" s="194" t="s">
        <v>342</v>
      </c>
      <c r="D32" s="186" t="s">
        <v>355</v>
      </c>
      <c r="E32" s="186" t="s">
        <v>343</v>
      </c>
      <c r="F32" s="186" t="s">
        <v>358</v>
      </c>
      <c r="G32" s="186" t="s">
        <v>345</v>
      </c>
      <c r="H32" s="187" t="s">
        <v>347</v>
      </c>
      <c r="I32" s="20"/>
      <c r="J32" s="194" t="s">
        <v>342</v>
      </c>
      <c r="K32" s="186" t="s">
        <v>355</v>
      </c>
      <c r="L32" s="186" t="s">
        <v>343</v>
      </c>
      <c r="M32" s="186" t="s">
        <v>358</v>
      </c>
      <c r="N32" s="186" t="s">
        <v>345</v>
      </c>
      <c r="O32" s="187" t="s">
        <v>347</v>
      </c>
    </row>
    <row r="33" spans="1:15" ht="14.25" customHeight="1">
      <c r="A33" s="20"/>
      <c r="B33" s="20"/>
      <c r="C33" s="195"/>
      <c r="D33" s="173"/>
      <c r="E33" s="173"/>
      <c r="F33" s="173"/>
      <c r="G33" s="173"/>
      <c r="H33" s="180"/>
      <c r="I33" s="20"/>
      <c r="J33" s="195"/>
      <c r="K33" s="173"/>
      <c r="L33" s="173"/>
      <c r="M33" s="173"/>
      <c r="N33" s="173"/>
      <c r="O33" s="180"/>
    </row>
    <row r="34" spans="1:15" ht="14.25" customHeight="1">
      <c r="A34" s="84" t="s">
        <v>369</v>
      </c>
      <c r="B34" s="84" t="s">
        <v>370</v>
      </c>
      <c r="C34" s="85"/>
      <c r="D34" s="85"/>
      <c r="E34" s="85"/>
      <c r="F34" s="85"/>
      <c r="G34" s="85"/>
      <c r="H34" s="76"/>
      <c r="I34" s="20"/>
      <c r="J34" s="86"/>
      <c r="K34" s="70"/>
      <c r="L34" s="70"/>
      <c r="M34" s="70"/>
      <c r="N34" s="70"/>
      <c r="O34" s="71"/>
    </row>
    <row r="35" spans="1:15" ht="14.25" customHeight="1">
      <c r="A35" s="188" t="s">
        <v>371</v>
      </c>
      <c r="B35" s="87" t="s">
        <v>342</v>
      </c>
      <c r="C35" s="88">
        <v>-1.0849880084712099E-2</v>
      </c>
      <c r="D35" s="56">
        <v>-1.5141083403050801E-2</v>
      </c>
      <c r="E35" s="56">
        <v>-2.94334063704812E-2</v>
      </c>
      <c r="F35" s="56">
        <v>-2.4738879821745402E-3</v>
      </c>
      <c r="G35" s="56">
        <v>-3.8066036981384298E-2</v>
      </c>
      <c r="H35" s="57">
        <v>-2.5146786687907999E-2</v>
      </c>
      <c r="I35" s="20"/>
      <c r="J35" s="89">
        <v>0.90173205132831202</v>
      </c>
      <c r="K35" s="45">
        <v>0.863191364902817</v>
      </c>
      <c r="L35" s="45">
        <v>0.73760973775058303</v>
      </c>
      <c r="M35" s="45">
        <v>0.97754050974146101</v>
      </c>
      <c r="N35" s="45">
        <v>0.66476567289905897</v>
      </c>
      <c r="O35" s="73">
        <v>0.77471581287767699</v>
      </c>
    </row>
    <row r="36" spans="1:15" ht="14.25" customHeight="1">
      <c r="A36" s="189"/>
      <c r="B36" s="6" t="s">
        <v>355</v>
      </c>
      <c r="C36" s="56">
        <v>0.25130659414450501</v>
      </c>
      <c r="D36" s="88">
        <v>0.22975590651598199</v>
      </c>
      <c r="E36" s="56">
        <v>0.19264403429264201</v>
      </c>
      <c r="F36" s="56">
        <v>0.20447611166941601</v>
      </c>
      <c r="G36" s="56">
        <v>0.18227587203048401</v>
      </c>
      <c r="H36" s="57">
        <v>0.200561929153104</v>
      </c>
      <c r="I36" s="20"/>
      <c r="J36" s="72">
        <v>3.65346992264167E-3</v>
      </c>
      <c r="K36" s="90">
        <v>8.0458821444341702E-3</v>
      </c>
      <c r="L36" s="45">
        <v>2.6895404130424901E-2</v>
      </c>
      <c r="M36" s="45">
        <v>1.8682186216163601E-2</v>
      </c>
      <c r="N36" s="45">
        <v>3.6453759608180598E-2</v>
      </c>
      <c r="O36" s="73">
        <v>2.11192474699382E-2</v>
      </c>
    </row>
    <row r="37" spans="1:15" ht="14.25" customHeight="1">
      <c r="A37" s="189"/>
      <c r="B37" s="6" t="s">
        <v>343</v>
      </c>
      <c r="C37" s="56">
        <v>1.6797127358751E-2</v>
      </c>
      <c r="D37" s="56">
        <v>2.5453943774940199E-2</v>
      </c>
      <c r="E37" s="88">
        <v>3.13902631955029E-2</v>
      </c>
      <c r="F37" s="56">
        <v>2.70792016006219E-2</v>
      </c>
      <c r="G37" s="56">
        <v>-7.0896057159652798E-3</v>
      </c>
      <c r="H37" s="57">
        <v>3.6283885292216697E-2</v>
      </c>
      <c r="I37" s="20"/>
      <c r="J37" s="72">
        <v>0.84839846420268095</v>
      </c>
      <c r="K37" s="45">
        <v>0.77203886762420004</v>
      </c>
      <c r="L37" s="90">
        <v>0.72086381865649296</v>
      </c>
      <c r="M37" s="45">
        <v>0.75791966911533903</v>
      </c>
      <c r="N37" s="45">
        <v>0.93569671496501905</v>
      </c>
      <c r="O37" s="73">
        <v>0.67957641168600003</v>
      </c>
    </row>
    <row r="38" spans="1:15" ht="14.25" customHeight="1">
      <c r="A38" s="189"/>
      <c r="B38" s="6" t="s">
        <v>358</v>
      </c>
      <c r="C38" s="56">
        <v>0.18076096169784001</v>
      </c>
      <c r="D38" s="56">
        <v>0.17888880380045299</v>
      </c>
      <c r="E38" s="56">
        <v>0.118479916646256</v>
      </c>
      <c r="F38" s="88">
        <v>0.18737700879982899</v>
      </c>
      <c r="G38" s="56">
        <v>0.14449201429151901</v>
      </c>
      <c r="H38" s="57">
        <v>0.13219884122480899</v>
      </c>
      <c r="I38" s="20"/>
      <c r="J38" s="72">
        <v>3.8065309133581797E-2</v>
      </c>
      <c r="K38" s="45">
        <v>4.0139224245213503E-2</v>
      </c>
      <c r="L38" s="45">
        <v>0.17603818838605501</v>
      </c>
      <c r="M38" s="90">
        <v>3.1443412946185398E-2</v>
      </c>
      <c r="N38" s="45">
        <v>9.8334169574894895E-2</v>
      </c>
      <c r="O38" s="73">
        <v>0.130777483169043</v>
      </c>
    </row>
    <row r="39" spans="1:15" ht="14.25" customHeight="1">
      <c r="A39" s="189"/>
      <c r="B39" s="6" t="s">
        <v>345</v>
      </c>
      <c r="C39" s="56">
        <v>2.9110822097636799E-2</v>
      </c>
      <c r="D39" s="56">
        <v>1.9251935778711499E-2</v>
      </c>
      <c r="E39" s="56">
        <v>-1.7521943844626901E-2</v>
      </c>
      <c r="F39" s="56">
        <v>1.41444882612832E-2</v>
      </c>
      <c r="G39" s="88">
        <v>1.4676096438036501E-2</v>
      </c>
      <c r="H39" s="57">
        <v>8.6692553769824408E-3</v>
      </c>
      <c r="I39" s="20"/>
      <c r="J39" s="72">
        <v>0.74038237548701402</v>
      </c>
      <c r="K39" s="45">
        <v>0.82656869133585698</v>
      </c>
      <c r="L39" s="45">
        <v>0.84194016641013003</v>
      </c>
      <c r="M39" s="45">
        <v>0.87211687254738601</v>
      </c>
      <c r="N39" s="90">
        <v>0.86735371224049995</v>
      </c>
      <c r="O39" s="73">
        <v>0.92141087109097097</v>
      </c>
    </row>
    <row r="40" spans="1:15" ht="14.25" customHeight="1">
      <c r="A40" s="189"/>
      <c r="B40" s="6" t="s">
        <v>372</v>
      </c>
      <c r="C40" s="56">
        <v>2.5967239930390702E-2</v>
      </c>
      <c r="D40" s="56">
        <v>6.4357011861090704E-2</v>
      </c>
      <c r="E40" s="56">
        <v>-7.5141115467526999E-4</v>
      </c>
      <c r="F40" s="56">
        <v>2.95118595414618E-2</v>
      </c>
      <c r="G40" s="56">
        <v>-2.9152652896155699E-2</v>
      </c>
      <c r="H40" s="57">
        <v>-3.9325216194231001E-3</v>
      </c>
      <c r="I40" s="20"/>
      <c r="J40" s="72">
        <v>0.76757136736017795</v>
      </c>
      <c r="K40" s="45">
        <v>0.46347693749534302</v>
      </c>
      <c r="L40" s="45">
        <v>0.99317741475152999</v>
      </c>
      <c r="M40" s="45">
        <v>0.73693593472906505</v>
      </c>
      <c r="N40" s="45">
        <v>0.74002264737533296</v>
      </c>
      <c r="O40" s="73">
        <v>0.96430524368619697</v>
      </c>
    </row>
    <row r="41" spans="1:15" ht="14.25" customHeight="1">
      <c r="A41" s="190"/>
      <c r="B41" s="6" t="s">
        <v>350</v>
      </c>
      <c r="C41" s="56">
        <v>3.3815082696537498E-2</v>
      </c>
      <c r="D41" s="56">
        <v>4.463846961634E-2</v>
      </c>
      <c r="E41" s="56">
        <v>3.70392977734443E-2</v>
      </c>
      <c r="F41" s="56">
        <v>4.1660736169151197E-2</v>
      </c>
      <c r="G41" s="56">
        <v>-2.3679260049321998E-3</v>
      </c>
      <c r="H41" s="91">
        <v>4.3167623788174701E-2</v>
      </c>
      <c r="I41" s="20"/>
      <c r="J41" s="74">
        <v>0.70029618319107301</v>
      </c>
      <c r="K41" s="75">
        <v>0.61129027801167402</v>
      </c>
      <c r="L41" s="75">
        <v>0.67328314394116096</v>
      </c>
      <c r="M41" s="75">
        <v>0.63528675622767705</v>
      </c>
      <c r="N41" s="75">
        <v>0.97850226305561105</v>
      </c>
      <c r="O41" s="92">
        <v>0.623093872430867</v>
      </c>
    </row>
    <row r="42" spans="1:15" ht="14.25" customHeight="1">
      <c r="A42" s="191" t="s">
        <v>373</v>
      </c>
      <c r="B42" s="87" t="s">
        <v>342</v>
      </c>
      <c r="C42" s="93">
        <v>0.51859757566926701</v>
      </c>
      <c r="D42" s="85">
        <v>0.44873503218178701</v>
      </c>
      <c r="E42" s="85">
        <v>0.55303731922190502</v>
      </c>
      <c r="F42" s="85">
        <v>0.48805213232975397</v>
      </c>
      <c r="G42" s="85">
        <v>0.48083825052523999</v>
      </c>
      <c r="H42" s="76">
        <v>0.54264683976384998</v>
      </c>
      <c r="I42" s="20"/>
      <c r="J42" s="94">
        <v>1.8948979261619299E-10</v>
      </c>
      <c r="K42" s="70">
        <v>6.8022024240478602E-8</v>
      </c>
      <c r="L42" s="70">
        <v>6.1469362000032101E-12</v>
      </c>
      <c r="M42" s="70">
        <v>2.92119446390053E-9</v>
      </c>
      <c r="N42" s="70">
        <v>5.3637819023097497E-9</v>
      </c>
      <c r="O42" s="71">
        <v>1.8019382848010999E-11</v>
      </c>
    </row>
    <row r="43" spans="1:15" ht="14.25" customHeight="1">
      <c r="A43" s="189"/>
      <c r="B43" s="6" t="s">
        <v>355</v>
      </c>
      <c r="C43" s="56">
        <v>0.45578148693270498</v>
      </c>
      <c r="D43" s="88">
        <v>0.38318695601966701</v>
      </c>
      <c r="E43" s="56">
        <v>0.47088407700722501</v>
      </c>
      <c r="F43" s="56">
        <v>0.44173312693657701</v>
      </c>
      <c r="G43" s="56">
        <v>0.43272395995297602</v>
      </c>
      <c r="H43" s="57">
        <v>0.45806399007637899</v>
      </c>
      <c r="I43" s="20"/>
      <c r="J43" s="72">
        <v>3.9822942011702898E-8</v>
      </c>
      <c r="K43" s="90">
        <v>5.7619735092629E-6</v>
      </c>
      <c r="L43" s="45">
        <v>1.21268099578276E-8</v>
      </c>
      <c r="M43" s="45">
        <v>1.14433207477488E-7</v>
      </c>
      <c r="N43" s="45">
        <v>2.1970919940196201E-7</v>
      </c>
      <c r="O43" s="73">
        <v>3.33951674439219E-8</v>
      </c>
    </row>
    <row r="44" spans="1:15" ht="14.25" customHeight="1">
      <c r="A44" s="189"/>
      <c r="B44" s="6" t="s">
        <v>343</v>
      </c>
      <c r="C44" s="56">
        <v>0.54162798604382201</v>
      </c>
      <c r="D44" s="56">
        <v>0.41744796799058398</v>
      </c>
      <c r="E44" s="88">
        <v>0.61740129856296999</v>
      </c>
      <c r="F44" s="56">
        <v>0.50361273519634897</v>
      </c>
      <c r="G44" s="56">
        <v>0.51887208633006499</v>
      </c>
      <c r="H44" s="57">
        <v>0.58887763281595595</v>
      </c>
      <c r="I44" s="20"/>
      <c r="J44" s="72">
        <v>1.99840563232097E-11</v>
      </c>
      <c r="K44" s="45">
        <v>6.3656671510910995E-7</v>
      </c>
      <c r="L44" s="90">
        <v>3.1612597061787598E-15</v>
      </c>
      <c r="M44" s="45">
        <v>7.4992153369300505E-10</v>
      </c>
      <c r="N44" s="45">
        <v>1.8465814527833001E-10</v>
      </c>
      <c r="O44" s="73">
        <v>1.11459065934886E-13</v>
      </c>
    </row>
    <row r="45" spans="1:15" ht="14.25" customHeight="1">
      <c r="A45" s="189"/>
      <c r="B45" s="6" t="s">
        <v>358</v>
      </c>
      <c r="C45" s="56">
        <v>0.39091894686627598</v>
      </c>
      <c r="D45" s="56">
        <v>0.33969302284770198</v>
      </c>
      <c r="E45" s="56">
        <v>0.36997551961907599</v>
      </c>
      <c r="F45" s="88">
        <v>0.38832222363927599</v>
      </c>
      <c r="G45" s="56">
        <v>0.40482894441536199</v>
      </c>
      <c r="H45" s="57">
        <v>0.38688674669395001</v>
      </c>
      <c r="I45" s="20"/>
      <c r="J45" s="72">
        <v>3.5800598791870101E-6</v>
      </c>
      <c r="K45" s="45">
        <v>6.7533411086483897E-5</v>
      </c>
      <c r="L45" s="45">
        <v>1.26411786028285E-5</v>
      </c>
      <c r="M45" s="90">
        <v>4.2061696267174498E-6</v>
      </c>
      <c r="N45" s="45">
        <v>1.4746030352245401E-6</v>
      </c>
      <c r="O45" s="73">
        <v>4.5954341627449402E-6</v>
      </c>
    </row>
    <row r="46" spans="1:15" ht="14.25" customHeight="1">
      <c r="A46" s="189"/>
      <c r="B46" s="6" t="s">
        <v>345</v>
      </c>
      <c r="C46" s="56">
        <v>0.364844406908091</v>
      </c>
      <c r="D46" s="56">
        <v>0.284250867410626</v>
      </c>
      <c r="E46" s="56">
        <v>0.44015424738608799</v>
      </c>
      <c r="F46" s="56">
        <v>0.30638565504110798</v>
      </c>
      <c r="G46" s="88">
        <v>0.35744848760527298</v>
      </c>
      <c r="H46" s="57">
        <v>0.432700510159235</v>
      </c>
      <c r="I46" s="20"/>
      <c r="J46" s="72">
        <v>1.6995819246452201E-5</v>
      </c>
      <c r="K46" s="45">
        <v>9.5607830479148498E-4</v>
      </c>
      <c r="L46" s="45">
        <v>1.2846782170570499E-7</v>
      </c>
      <c r="M46" s="45">
        <v>3.5298661733218099E-4</v>
      </c>
      <c r="N46" s="90">
        <v>2.5811723574306999E-5</v>
      </c>
      <c r="O46" s="73">
        <v>2.20077165985641E-7</v>
      </c>
    </row>
    <row r="47" spans="1:15" ht="14.25" customHeight="1">
      <c r="A47" s="189"/>
      <c r="B47" s="6" t="s">
        <v>372</v>
      </c>
      <c r="C47" s="56">
        <v>0.527984355388181</v>
      </c>
      <c r="D47" s="56">
        <v>0.41758985036909502</v>
      </c>
      <c r="E47" s="56">
        <v>0.56614705120742104</v>
      </c>
      <c r="F47" s="56">
        <v>0.50221639927564898</v>
      </c>
      <c r="G47" s="56">
        <v>0.491272774604463</v>
      </c>
      <c r="H47" s="57">
        <v>0.54651700452501095</v>
      </c>
      <c r="I47" s="20"/>
      <c r="J47" s="72">
        <v>7.7316144285686206E-11</v>
      </c>
      <c r="K47" s="45">
        <v>6.3045883116307003E-7</v>
      </c>
      <c r="L47" s="45">
        <v>1.4992225447806501E-12</v>
      </c>
      <c r="M47" s="45">
        <v>8.4962250432623296E-10</v>
      </c>
      <c r="N47" s="45">
        <v>2.2169108150985101E-9</v>
      </c>
      <c r="O47" s="73">
        <v>1.21237467542107E-11</v>
      </c>
    </row>
    <row r="48" spans="1:15" ht="14.25" customHeight="1">
      <c r="A48" s="190"/>
      <c r="B48" s="9" t="s">
        <v>350</v>
      </c>
      <c r="C48" s="56">
        <v>0.54703424882448604</v>
      </c>
      <c r="D48" s="56">
        <v>0.424785769520031</v>
      </c>
      <c r="E48" s="56">
        <v>0.61169698179552101</v>
      </c>
      <c r="F48" s="56">
        <v>0.498826854954526</v>
      </c>
      <c r="G48" s="56">
        <v>0.52856213456981904</v>
      </c>
      <c r="H48" s="91">
        <v>0.58909768388767303</v>
      </c>
      <c r="I48" s="20"/>
      <c r="J48" s="74">
        <v>1.1493927647776499E-11</v>
      </c>
      <c r="K48" s="75">
        <v>3.8437946683051599E-7</v>
      </c>
      <c r="L48" s="75">
        <v>6.6340073145709097E-15</v>
      </c>
      <c r="M48" s="75">
        <v>1.147645125598E-9</v>
      </c>
      <c r="N48" s="75">
        <v>7.3099694714638402E-11</v>
      </c>
      <c r="O48" s="92">
        <v>1.08581428101142E-13</v>
      </c>
    </row>
    <row r="49" spans="1:15" ht="14.25" customHeight="1">
      <c r="A49" s="188" t="s">
        <v>374</v>
      </c>
      <c r="B49" s="6" t="s">
        <v>342</v>
      </c>
      <c r="C49" s="93">
        <v>0.457342185634043</v>
      </c>
      <c r="D49" s="85">
        <v>0.39290161869687301</v>
      </c>
      <c r="E49" s="85">
        <v>0.48575941291378799</v>
      </c>
      <c r="F49" s="85">
        <v>0.431068270114499</v>
      </c>
      <c r="G49" s="85">
        <v>0.429875359900525</v>
      </c>
      <c r="H49" s="76">
        <v>0.479583616583445</v>
      </c>
      <c r="I49" s="20"/>
      <c r="J49" s="94">
        <v>3.5311816944502299E-8</v>
      </c>
      <c r="K49" s="70">
        <v>3.1626023006219601E-6</v>
      </c>
      <c r="L49" s="70">
        <v>3.5489535899229402E-9</v>
      </c>
      <c r="M49" s="70">
        <v>2.4718728774185198E-7</v>
      </c>
      <c r="N49" s="70">
        <v>2.6898675714976502E-7</v>
      </c>
      <c r="O49" s="71">
        <v>5.95318940529515E-9</v>
      </c>
    </row>
    <row r="50" spans="1:15" ht="14.25" customHeight="1">
      <c r="A50" s="189"/>
      <c r="B50" s="6" t="s">
        <v>355</v>
      </c>
      <c r="C50" s="56">
        <v>0.49064576977126301</v>
      </c>
      <c r="D50" s="88">
        <v>0.41490956761328601</v>
      </c>
      <c r="E50" s="56">
        <v>0.49845640525256502</v>
      </c>
      <c r="F50" s="56">
        <v>0.46891694313885401</v>
      </c>
      <c r="G50" s="56">
        <v>0.46535300381350803</v>
      </c>
      <c r="H50" s="57">
        <v>0.48797734477899002</v>
      </c>
      <c r="I50" s="20"/>
      <c r="J50" s="72">
        <v>2.33975827797593E-9</v>
      </c>
      <c r="K50" s="90">
        <v>7.55845905533401E-7</v>
      </c>
      <c r="L50" s="45">
        <v>1.18574916414606E-9</v>
      </c>
      <c r="M50" s="45">
        <v>1.42046424135637E-8</v>
      </c>
      <c r="N50" s="45">
        <v>1.8869927024675899E-8</v>
      </c>
      <c r="O50" s="73">
        <v>2.9398688705589101E-9</v>
      </c>
    </row>
    <row r="51" spans="1:15" ht="14.25" customHeight="1">
      <c r="A51" s="189"/>
      <c r="B51" s="6" t="s">
        <v>343</v>
      </c>
      <c r="C51" s="56">
        <v>0.564487022926353</v>
      </c>
      <c r="D51" s="56">
        <v>0.438052113209915</v>
      </c>
      <c r="E51" s="88">
        <v>0.64587080834766097</v>
      </c>
      <c r="F51" s="56">
        <v>0.52767113207821703</v>
      </c>
      <c r="G51" s="56">
        <v>0.54262630434913095</v>
      </c>
      <c r="H51" s="57">
        <v>0.61716811180688202</v>
      </c>
      <c r="I51" s="20"/>
      <c r="J51" s="72">
        <v>1.79867869852452E-12</v>
      </c>
      <c r="K51" s="45">
        <v>1.4972473253539701E-7</v>
      </c>
      <c r="L51" s="90">
        <v>6.1764646223642302E-17</v>
      </c>
      <c r="M51" s="45">
        <v>7.9699212804149995E-11</v>
      </c>
      <c r="N51" s="45">
        <v>1.8057069173096501E-11</v>
      </c>
      <c r="O51" s="73">
        <v>3.25947590079696E-15</v>
      </c>
    </row>
    <row r="52" spans="1:15" ht="14.25" customHeight="1">
      <c r="A52" s="189"/>
      <c r="B52" s="6" t="s">
        <v>358</v>
      </c>
      <c r="C52" s="56">
        <v>0.441261403652286</v>
      </c>
      <c r="D52" s="56">
        <v>0.37906883491242199</v>
      </c>
      <c r="E52" s="56">
        <v>0.403519158685335</v>
      </c>
      <c r="F52" s="88">
        <v>0.436871257158918</v>
      </c>
      <c r="G52" s="56">
        <v>0.44968998416132699</v>
      </c>
      <c r="H52" s="57">
        <v>0.423583818240581</v>
      </c>
      <c r="I52" s="20"/>
      <c r="J52" s="72">
        <v>1.18464895162287E-7</v>
      </c>
      <c r="K52" s="45">
        <v>7.3880490334457601E-6</v>
      </c>
      <c r="L52" s="45">
        <v>1.6058144758067301E-6</v>
      </c>
      <c r="M52" s="90">
        <v>1.63099470926952E-7</v>
      </c>
      <c r="N52" s="45">
        <v>6.3306034193169902E-8</v>
      </c>
      <c r="O52" s="73">
        <v>4.1783272979936E-7</v>
      </c>
    </row>
    <row r="53" spans="1:15" ht="14.25" customHeight="1">
      <c r="A53" s="189"/>
      <c r="B53" s="6" t="s">
        <v>345</v>
      </c>
      <c r="C53" s="56">
        <v>0.29140333588372302</v>
      </c>
      <c r="D53" s="56">
        <v>0.229752774822509</v>
      </c>
      <c r="E53" s="56">
        <v>0.33080706582664399</v>
      </c>
      <c r="F53" s="56">
        <v>0.238759320094526</v>
      </c>
      <c r="G53" s="88">
        <v>0.28584630061139299</v>
      </c>
      <c r="H53" s="57">
        <v>0.33848811593807299</v>
      </c>
      <c r="I53" s="20"/>
      <c r="J53" s="72">
        <v>6.9890579763263799E-4</v>
      </c>
      <c r="K53" s="45">
        <v>8.04676624919606E-3</v>
      </c>
      <c r="L53" s="45">
        <v>1.06978631008647E-4</v>
      </c>
      <c r="M53" s="45">
        <v>5.8327817649120603E-3</v>
      </c>
      <c r="N53" s="90">
        <v>8.9216823789012203E-4</v>
      </c>
      <c r="O53" s="73">
        <v>7.1939062023172206E-5</v>
      </c>
    </row>
    <row r="54" spans="1:15" ht="14.25" customHeight="1">
      <c r="A54" s="189"/>
      <c r="B54" s="6" t="s">
        <v>372</v>
      </c>
      <c r="C54" s="56">
        <v>0.559972168809029</v>
      </c>
      <c r="D54" s="56">
        <v>0.44327453761635599</v>
      </c>
      <c r="E54" s="56">
        <v>0.60574521108311696</v>
      </c>
      <c r="F54" s="56">
        <v>0.53271914897649897</v>
      </c>
      <c r="G54" s="56">
        <v>0.51944624387859695</v>
      </c>
      <c r="H54" s="57">
        <v>0.58154685855386601</v>
      </c>
      <c r="I54" s="20"/>
      <c r="J54" s="72">
        <v>2.9365778392273502E-12</v>
      </c>
      <c r="K54" s="45">
        <v>1.02154146067018E-7</v>
      </c>
      <c r="L54" s="45">
        <v>1.4152176107503499E-14</v>
      </c>
      <c r="M54" s="45">
        <v>4.8677315689577103E-11</v>
      </c>
      <c r="N54" s="45">
        <v>1.74934011743815E-10</v>
      </c>
      <c r="O54" s="73">
        <v>2.6345578164855001E-13</v>
      </c>
    </row>
    <row r="55" spans="1:15" ht="14.25" customHeight="1">
      <c r="A55" s="190"/>
      <c r="B55" s="9" t="s">
        <v>350</v>
      </c>
      <c r="C55" s="95">
        <v>0.57452937958290795</v>
      </c>
      <c r="D55" s="95">
        <v>0.44828929454219602</v>
      </c>
      <c r="E55" s="95">
        <v>0.64557868869445401</v>
      </c>
      <c r="F55" s="95">
        <v>0.52705664290438003</v>
      </c>
      <c r="G55" s="95">
        <v>0.555855709264654</v>
      </c>
      <c r="H55" s="96">
        <v>0.62243458956719</v>
      </c>
      <c r="I55" s="20"/>
      <c r="J55" s="74">
        <v>5.8843881849122897E-13</v>
      </c>
      <c r="K55" s="75">
        <v>7.03367044283252E-8</v>
      </c>
      <c r="L55" s="75">
        <v>6.4445916023049796E-17</v>
      </c>
      <c r="M55" s="75">
        <v>8.4582263710360894E-11</v>
      </c>
      <c r="N55" s="75">
        <v>4.5621311328955196E-12</v>
      </c>
      <c r="O55" s="92">
        <v>1.6230917959415201E-15</v>
      </c>
    </row>
    <row r="56" spans="1:15" ht="14.25" customHeight="1">
      <c r="A56" s="20"/>
      <c r="B56" s="20"/>
      <c r="C56" s="40"/>
      <c r="D56" s="40"/>
      <c r="E56" s="40"/>
      <c r="F56" s="40"/>
      <c r="G56" s="20"/>
      <c r="H56" s="20"/>
      <c r="I56" s="20"/>
      <c r="J56" s="20"/>
      <c r="K56" s="20"/>
      <c r="L56" s="20"/>
      <c r="M56" s="20"/>
      <c r="N56" s="20"/>
      <c r="O56" s="20"/>
    </row>
    <row r="57" spans="1:15" ht="14.25" customHeight="1">
      <c r="A57" s="39" t="s">
        <v>376</v>
      </c>
      <c r="B57" s="20"/>
      <c r="C57" s="97"/>
      <c r="D57" s="97"/>
      <c r="E57" s="97"/>
      <c r="F57" s="97"/>
      <c r="G57" s="97"/>
      <c r="H57" s="97"/>
      <c r="I57" s="20"/>
      <c r="J57" s="97"/>
      <c r="K57" s="97"/>
      <c r="L57" s="97"/>
      <c r="M57" s="97"/>
      <c r="N57" s="97"/>
      <c r="O57" s="97"/>
    </row>
    <row r="58" spans="1:15" ht="14.25" customHeight="1">
      <c r="A58" s="20"/>
      <c r="B58" s="20"/>
      <c r="C58" s="192" t="s">
        <v>366</v>
      </c>
      <c r="D58" s="171"/>
      <c r="E58" s="171"/>
      <c r="F58" s="171"/>
      <c r="G58" s="171"/>
      <c r="H58" s="171"/>
      <c r="I58" s="20"/>
      <c r="J58" s="192" t="s">
        <v>367</v>
      </c>
      <c r="K58" s="171"/>
      <c r="L58" s="171"/>
      <c r="M58" s="171"/>
      <c r="N58" s="171"/>
      <c r="O58" s="171"/>
    </row>
    <row r="59" spans="1:15" ht="14.25" customHeight="1">
      <c r="A59" s="20"/>
      <c r="B59" s="20"/>
      <c r="C59" s="193" t="s">
        <v>368</v>
      </c>
      <c r="D59" s="171"/>
      <c r="E59" s="171"/>
      <c r="F59" s="171"/>
      <c r="G59" s="171"/>
      <c r="H59" s="171"/>
      <c r="I59" s="20"/>
      <c r="J59" s="193" t="s">
        <v>368</v>
      </c>
      <c r="K59" s="171"/>
      <c r="L59" s="171"/>
      <c r="M59" s="171"/>
      <c r="N59" s="171"/>
      <c r="O59" s="171"/>
    </row>
    <row r="60" spans="1:15" ht="14.25" customHeight="1">
      <c r="A60" s="20"/>
      <c r="B60" s="20"/>
      <c r="C60" s="194" t="s">
        <v>342</v>
      </c>
      <c r="D60" s="186" t="s">
        <v>355</v>
      </c>
      <c r="E60" s="186" t="s">
        <v>343</v>
      </c>
      <c r="F60" s="186" t="s">
        <v>358</v>
      </c>
      <c r="G60" s="186" t="s">
        <v>345</v>
      </c>
      <c r="H60" s="187" t="s">
        <v>347</v>
      </c>
      <c r="I60" s="20"/>
      <c r="J60" s="194" t="s">
        <v>342</v>
      </c>
      <c r="K60" s="186" t="s">
        <v>355</v>
      </c>
      <c r="L60" s="186" t="s">
        <v>343</v>
      </c>
      <c r="M60" s="186" t="s">
        <v>358</v>
      </c>
      <c r="N60" s="186" t="s">
        <v>345</v>
      </c>
      <c r="O60" s="187" t="s">
        <v>347</v>
      </c>
    </row>
    <row r="61" spans="1:15" ht="14.25" customHeight="1">
      <c r="A61" s="20"/>
      <c r="B61" s="20"/>
      <c r="C61" s="195"/>
      <c r="D61" s="173"/>
      <c r="E61" s="173"/>
      <c r="F61" s="173"/>
      <c r="G61" s="173"/>
      <c r="H61" s="180"/>
      <c r="I61" s="20"/>
      <c r="J61" s="195"/>
      <c r="K61" s="173"/>
      <c r="L61" s="173"/>
      <c r="M61" s="173"/>
      <c r="N61" s="173"/>
      <c r="O61" s="180"/>
    </row>
    <row r="62" spans="1:15" ht="14.25" customHeight="1">
      <c r="A62" s="98" t="s">
        <v>369</v>
      </c>
      <c r="B62" s="98" t="s">
        <v>370</v>
      </c>
      <c r="C62" s="99"/>
      <c r="D62" s="40"/>
      <c r="E62" s="40"/>
      <c r="F62" s="40"/>
      <c r="G62" s="40"/>
      <c r="H62" s="100"/>
      <c r="I62" s="20"/>
      <c r="J62" s="81"/>
      <c r="K62" s="82"/>
      <c r="L62" s="82"/>
      <c r="M62" s="82"/>
      <c r="N62" s="82"/>
      <c r="O62" s="83"/>
    </row>
    <row r="63" spans="1:15" ht="14.25" customHeight="1">
      <c r="A63" s="196" t="s">
        <v>371</v>
      </c>
      <c r="B63" s="4" t="s">
        <v>342</v>
      </c>
      <c r="C63" s="101">
        <v>0.71090625226468696</v>
      </c>
      <c r="D63" s="56">
        <v>0.70314292614294205</v>
      </c>
      <c r="E63" s="56">
        <v>0.63596437867150402</v>
      </c>
      <c r="F63" s="56">
        <v>0.71497673798285899</v>
      </c>
      <c r="G63" s="56">
        <v>0.72947851056920499</v>
      </c>
      <c r="H63" s="57">
        <v>0.65471843376543604</v>
      </c>
      <c r="I63" s="20"/>
      <c r="J63" s="89">
        <v>9.5476164861864107E-3</v>
      </c>
      <c r="K63" s="45">
        <v>1.07430333527372E-2</v>
      </c>
      <c r="L63" s="45">
        <v>2.6220282191505202E-2</v>
      </c>
      <c r="M63" s="45">
        <v>8.9619855785355706E-3</v>
      </c>
      <c r="N63" s="45">
        <v>7.0913352364028398E-3</v>
      </c>
      <c r="O63" s="73">
        <v>2.0865422685948699E-2</v>
      </c>
    </row>
    <row r="64" spans="1:15" ht="14.25" customHeight="1">
      <c r="A64" s="176"/>
      <c r="B64" s="4" t="s">
        <v>355</v>
      </c>
      <c r="C64" s="102">
        <v>0.72852299445340296</v>
      </c>
      <c r="D64" s="88">
        <v>0.71445221567870598</v>
      </c>
      <c r="E64" s="56">
        <v>0.65728245319476697</v>
      </c>
      <c r="F64" s="56">
        <v>0.73069479509740798</v>
      </c>
      <c r="G64" s="56">
        <v>0.74733385488117299</v>
      </c>
      <c r="H64" s="57">
        <v>0.677518664440246</v>
      </c>
      <c r="I64" s="20"/>
      <c r="J64" s="72">
        <v>7.2046778719037996E-3</v>
      </c>
      <c r="K64" s="90">
        <v>9.0359037417829108E-3</v>
      </c>
      <c r="L64" s="45">
        <v>2.0200913294291401E-2</v>
      </c>
      <c r="M64" s="45">
        <v>6.9490016754293E-3</v>
      </c>
      <c r="N64" s="45">
        <v>5.2093689944159999E-3</v>
      </c>
      <c r="O64" s="73">
        <v>1.54858925886961E-2</v>
      </c>
    </row>
    <row r="65" spans="1:15" ht="14.25" customHeight="1">
      <c r="A65" s="176"/>
      <c r="B65" s="4" t="s">
        <v>343</v>
      </c>
      <c r="C65" s="102">
        <v>0.73741325873133301</v>
      </c>
      <c r="D65" s="56">
        <v>0.72328560242114304</v>
      </c>
      <c r="E65" s="88">
        <v>0.67634291702002602</v>
      </c>
      <c r="F65" s="56">
        <v>0.74185210041756799</v>
      </c>
      <c r="G65" s="56">
        <v>0.75456988523975099</v>
      </c>
      <c r="H65" s="57">
        <v>0.69329511457704995</v>
      </c>
      <c r="I65" s="20"/>
      <c r="J65" s="72">
        <v>6.2010390760206396E-3</v>
      </c>
      <c r="K65" s="45">
        <v>7.8502415858356604E-3</v>
      </c>
      <c r="L65" s="90">
        <v>1.57351562414162E-2</v>
      </c>
      <c r="M65" s="45">
        <v>5.7412213603155902E-3</v>
      </c>
      <c r="N65" s="45">
        <v>4.5652762446515196E-3</v>
      </c>
      <c r="O65" s="73">
        <v>1.24153230259611E-2</v>
      </c>
    </row>
    <row r="66" spans="1:15" ht="14.25" customHeight="1">
      <c r="A66" s="176"/>
      <c r="B66" s="4" t="s">
        <v>358</v>
      </c>
      <c r="C66" s="102">
        <v>0.73797728909923399</v>
      </c>
      <c r="D66" s="56">
        <v>0.71974969691802204</v>
      </c>
      <c r="E66" s="56">
        <v>0.66448703991292701</v>
      </c>
      <c r="F66" s="88">
        <v>0.73750220952822598</v>
      </c>
      <c r="G66" s="56">
        <v>0.75729033949750602</v>
      </c>
      <c r="H66" s="57">
        <v>0.68702960947018099</v>
      </c>
      <c r="I66" s="20"/>
      <c r="J66" s="72">
        <v>6.1411258594277797E-3</v>
      </c>
      <c r="K66" s="45">
        <v>8.3099248333111803E-3</v>
      </c>
      <c r="L66" s="45">
        <v>1.8416457999965399E-2</v>
      </c>
      <c r="M66" s="90">
        <v>6.19156134555669E-3</v>
      </c>
      <c r="N66" s="45">
        <v>4.33941317697521E-3</v>
      </c>
      <c r="O66" s="73">
        <v>1.35750491479367E-2</v>
      </c>
    </row>
    <row r="67" spans="1:15" ht="14.25" customHeight="1">
      <c r="A67" s="176"/>
      <c r="B67" s="4" t="s">
        <v>345</v>
      </c>
      <c r="C67" s="102">
        <v>0.71524496656250203</v>
      </c>
      <c r="D67" s="56">
        <v>0.70034209759435795</v>
      </c>
      <c r="E67" s="56">
        <v>0.64717751471422102</v>
      </c>
      <c r="F67" s="56">
        <v>0.71679898713230294</v>
      </c>
      <c r="G67" s="88">
        <v>0.73429400403775402</v>
      </c>
      <c r="H67" s="57">
        <v>0.66726906641296602</v>
      </c>
      <c r="I67" s="20"/>
      <c r="J67" s="72">
        <v>8.92436043631698E-3</v>
      </c>
      <c r="K67" s="45">
        <v>1.12004781714814E-2</v>
      </c>
      <c r="L67" s="45">
        <v>2.2912186830503899E-2</v>
      </c>
      <c r="M67" s="45">
        <v>8.7086895779425692E-3</v>
      </c>
      <c r="N67" s="90">
        <v>6.5403525477191601E-3</v>
      </c>
      <c r="O67" s="73">
        <v>1.77593113555609E-2</v>
      </c>
    </row>
    <row r="68" spans="1:15" ht="14.25" customHeight="1">
      <c r="A68" s="176"/>
      <c r="B68" s="4" t="s">
        <v>372</v>
      </c>
      <c r="C68" s="102">
        <v>0.71153048901744398</v>
      </c>
      <c r="D68" s="56">
        <v>0.69592949718685704</v>
      </c>
      <c r="E68" s="56">
        <v>0.64399126011992502</v>
      </c>
      <c r="F68" s="56">
        <v>0.71479583459389995</v>
      </c>
      <c r="G68" s="56">
        <v>0.73023753548850001</v>
      </c>
      <c r="H68" s="57">
        <v>0.66323332527717205</v>
      </c>
      <c r="I68" s="20"/>
      <c r="J68" s="72">
        <v>9.4560048813214607E-3</v>
      </c>
      <c r="K68" s="45">
        <v>1.19502984477492E-2</v>
      </c>
      <c r="L68" s="45">
        <v>2.38194250902093E-2</v>
      </c>
      <c r="M68" s="45">
        <v>8.9874281542395903E-3</v>
      </c>
      <c r="N68" s="45">
        <v>7.0022577822056696E-3</v>
      </c>
      <c r="O68" s="73">
        <v>1.8718347460542899E-2</v>
      </c>
    </row>
    <row r="69" spans="1:15" ht="14.25" customHeight="1">
      <c r="A69" s="195"/>
      <c r="B69" s="7" t="s">
        <v>350</v>
      </c>
      <c r="C69" s="103">
        <v>0.73242128604707701</v>
      </c>
      <c r="D69" s="95">
        <v>0.71679579122918502</v>
      </c>
      <c r="E69" s="95">
        <v>0.66987445333719497</v>
      </c>
      <c r="F69" s="95">
        <v>0.73639679490714405</v>
      </c>
      <c r="G69" s="95">
        <v>0.75007409871793895</v>
      </c>
      <c r="H69" s="96">
        <v>0.68758598405676996</v>
      </c>
      <c r="I69" s="20"/>
      <c r="J69" s="74">
        <v>6.75065716312492E-3</v>
      </c>
      <c r="K69" s="75">
        <v>8.70912907844653E-3</v>
      </c>
      <c r="L69" s="75">
        <v>1.7159634547982801E-2</v>
      </c>
      <c r="M69" s="75">
        <v>6.3101200499469899E-3</v>
      </c>
      <c r="N69" s="75">
        <v>4.957882940421E-3</v>
      </c>
      <c r="O69" s="92">
        <v>1.3468949558455999E-2</v>
      </c>
    </row>
    <row r="70" spans="1:15" ht="14.25" customHeight="1">
      <c r="A70" s="20"/>
      <c r="B70" s="20"/>
      <c r="C70" s="20"/>
      <c r="D70" s="20"/>
      <c r="E70" s="20"/>
      <c r="F70" s="20"/>
      <c r="G70" s="20"/>
      <c r="H70" s="20"/>
      <c r="I70" s="20"/>
      <c r="J70" s="20"/>
      <c r="K70" s="20"/>
      <c r="L70" s="20"/>
      <c r="M70" s="20"/>
      <c r="N70" s="20"/>
      <c r="O70" s="20"/>
    </row>
    <row r="71" spans="1:15" ht="14.25" customHeight="1">
      <c r="A71" s="39" t="s">
        <v>377</v>
      </c>
      <c r="B71" s="20"/>
      <c r="C71" s="97"/>
      <c r="D71" s="97"/>
      <c r="E71" s="97"/>
      <c r="F71" s="97"/>
      <c r="G71" s="97"/>
      <c r="H71" s="97"/>
      <c r="I71" s="20"/>
      <c r="J71" s="97"/>
      <c r="K71" s="97"/>
      <c r="L71" s="97"/>
      <c r="M71" s="97"/>
      <c r="N71" s="97"/>
      <c r="O71" s="97"/>
    </row>
    <row r="72" spans="1:15" ht="14.25" customHeight="1">
      <c r="A72" s="20"/>
      <c r="B72" s="20"/>
      <c r="C72" s="192" t="s">
        <v>366</v>
      </c>
      <c r="D72" s="171"/>
      <c r="E72" s="171"/>
      <c r="F72" s="171"/>
      <c r="G72" s="171"/>
      <c r="H72" s="171"/>
      <c r="I72" s="20"/>
      <c r="J72" s="192" t="s">
        <v>367</v>
      </c>
      <c r="K72" s="171"/>
      <c r="L72" s="171"/>
      <c r="M72" s="171"/>
      <c r="N72" s="171"/>
      <c r="O72" s="171"/>
    </row>
    <row r="73" spans="1:15" ht="14.25" customHeight="1">
      <c r="A73" s="20"/>
      <c r="B73" s="20"/>
      <c r="C73" s="193" t="s">
        <v>368</v>
      </c>
      <c r="D73" s="171"/>
      <c r="E73" s="171"/>
      <c r="F73" s="171"/>
      <c r="G73" s="171"/>
      <c r="H73" s="171"/>
      <c r="I73" s="20"/>
      <c r="J73" s="193" t="s">
        <v>368</v>
      </c>
      <c r="K73" s="171"/>
      <c r="L73" s="171"/>
      <c r="M73" s="171"/>
      <c r="N73" s="171"/>
      <c r="O73" s="171"/>
    </row>
    <row r="74" spans="1:15" ht="14.25" customHeight="1">
      <c r="A74" s="20"/>
      <c r="B74" s="20"/>
      <c r="C74" s="194" t="s">
        <v>342</v>
      </c>
      <c r="D74" s="186" t="s">
        <v>355</v>
      </c>
      <c r="E74" s="186" t="s">
        <v>343</v>
      </c>
      <c r="F74" s="186" t="s">
        <v>358</v>
      </c>
      <c r="G74" s="186" t="s">
        <v>345</v>
      </c>
      <c r="H74" s="187" t="s">
        <v>347</v>
      </c>
      <c r="I74" s="20"/>
      <c r="J74" s="194" t="s">
        <v>342</v>
      </c>
      <c r="K74" s="186" t="s">
        <v>355</v>
      </c>
      <c r="L74" s="186" t="s">
        <v>343</v>
      </c>
      <c r="M74" s="186" t="s">
        <v>358</v>
      </c>
      <c r="N74" s="186" t="s">
        <v>345</v>
      </c>
      <c r="O74" s="187" t="s">
        <v>347</v>
      </c>
    </row>
    <row r="75" spans="1:15" ht="14.25" customHeight="1">
      <c r="A75" s="20"/>
      <c r="B75" s="20"/>
      <c r="C75" s="195"/>
      <c r="D75" s="173"/>
      <c r="E75" s="173"/>
      <c r="F75" s="173"/>
      <c r="G75" s="173"/>
      <c r="H75" s="180"/>
      <c r="I75" s="20"/>
      <c r="J75" s="195"/>
      <c r="K75" s="173"/>
      <c r="L75" s="173"/>
      <c r="M75" s="173"/>
      <c r="N75" s="173"/>
      <c r="O75" s="180"/>
    </row>
    <row r="76" spans="1:15" ht="14.25" customHeight="1">
      <c r="A76" s="98" t="s">
        <v>369</v>
      </c>
      <c r="B76" s="98" t="s">
        <v>370</v>
      </c>
      <c r="C76" s="99"/>
      <c r="D76" s="40"/>
      <c r="E76" s="40"/>
      <c r="F76" s="40"/>
      <c r="G76" s="40"/>
      <c r="H76" s="100"/>
      <c r="I76" s="20"/>
      <c r="J76" s="81"/>
      <c r="K76" s="82"/>
      <c r="L76" s="82"/>
      <c r="M76" s="82"/>
      <c r="N76" s="82"/>
      <c r="O76" s="83"/>
    </row>
    <row r="77" spans="1:15" ht="14.25" customHeight="1">
      <c r="A77" s="196" t="s">
        <v>371</v>
      </c>
      <c r="B77" s="4" t="s">
        <v>342</v>
      </c>
      <c r="C77" s="101">
        <v>0.35342308821583801</v>
      </c>
      <c r="D77" s="56">
        <v>0.38638921531252102</v>
      </c>
      <c r="E77" s="56">
        <v>0.25152496607164798</v>
      </c>
      <c r="F77" s="56">
        <v>0.34964582919076498</v>
      </c>
      <c r="G77" s="56">
        <v>0.40833526614142202</v>
      </c>
      <c r="H77" s="57">
        <v>0.28186064801442401</v>
      </c>
      <c r="I77" s="20"/>
      <c r="J77" s="89">
        <v>0.64657691178416099</v>
      </c>
      <c r="K77" s="45">
        <v>0.61361078468747798</v>
      </c>
      <c r="L77" s="45">
        <v>0.74847503392835102</v>
      </c>
      <c r="M77" s="45">
        <v>0.65035417080923397</v>
      </c>
      <c r="N77" s="45">
        <v>0.59166473385857699</v>
      </c>
      <c r="O77" s="73">
        <v>0.71813935198557499</v>
      </c>
    </row>
    <row r="78" spans="1:15" ht="14.25" customHeight="1">
      <c r="A78" s="176"/>
      <c r="B78" s="4" t="s">
        <v>355</v>
      </c>
      <c r="C78" s="102">
        <v>0.34860083813090298</v>
      </c>
      <c r="D78" s="88">
        <v>0.37942788491899698</v>
      </c>
      <c r="E78" s="56">
        <v>0.23990207274193301</v>
      </c>
      <c r="F78" s="56">
        <v>0.34054985945426702</v>
      </c>
      <c r="G78" s="56">
        <v>0.404449687565206</v>
      </c>
      <c r="H78" s="57">
        <v>0.27476720847400199</v>
      </c>
      <c r="I78" s="20"/>
      <c r="J78" s="72">
        <v>0.65139916186909597</v>
      </c>
      <c r="K78" s="90">
        <v>0.62057211508100196</v>
      </c>
      <c r="L78" s="45">
        <v>0.76009792725806602</v>
      </c>
      <c r="M78" s="45">
        <v>0.65945014054573203</v>
      </c>
      <c r="N78" s="45">
        <v>0.59555031243479295</v>
      </c>
      <c r="O78" s="73">
        <v>0.72523279152599696</v>
      </c>
    </row>
    <row r="79" spans="1:15" ht="14.25" customHeight="1">
      <c r="A79" s="176"/>
      <c r="B79" s="4" t="s">
        <v>343</v>
      </c>
      <c r="C79" s="102">
        <v>0.32408855086045801</v>
      </c>
      <c r="D79" s="56">
        <v>0.35774923419867899</v>
      </c>
      <c r="E79" s="88">
        <v>0.22240458467111601</v>
      </c>
      <c r="F79" s="56">
        <v>0.32093866705073798</v>
      </c>
      <c r="G79" s="56">
        <v>0.37950191304162401</v>
      </c>
      <c r="H79" s="57">
        <v>0.25221673469639699</v>
      </c>
      <c r="I79" s="20"/>
      <c r="J79" s="72">
        <v>0.67591144913954104</v>
      </c>
      <c r="K79" s="45">
        <v>0.64225076580132001</v>
      </c>
      <c r="L79" s="90">
        <v>0.77759541532888299</v>
      </c>
      <c r="M79" s="45">
        <v>0.67906133294926097</v>
      </c>
      <c r="N79" s="45">
        <v>0.62049808695837505</v>
      </c>
      <c r="O79" s="73">
        <v>0.74778326530360195</v>
      </c>
    </row>
    <row r="80" spans="1:15" ht="14.25" customHeight="1">
      <c r="A80" s="176"/>
      <c r="B80" s="4" t="s">
        <v>358</v>
      </c>
      <c r="C80" s="102">
        <v>0.38548607948619701</v>
      </c>
      <c r="D80" s="56">
        <v>0.41501847693490801</v>
      </c>
      <c r="E80" s="56">
        <v>0.27628556116183001</v>
      </c>
      <c r="F80" s="88">
        <v>0.37618387928285202</v>
      </c>
      <c r="G80" s="56">
        <v>0.44050792255475102</v>
      </c>
      <c r="H80" s="57">
        <v>0.31216618916423899</v>
      </c>
      <c r="I80" s="20"/>
      <c r="J80" s="72">
        <v>0.61451392051380205</v>
      </c>
      <c r="K80" s="45">
        <v>0.58498152306509099</v>
      </c>
      <c r="L80" s="45">
        <v>0.72371443883816899</v>
      </c>
      <c r="M80" s="90">
        <v>0.62381612071714698</v>
      </c>
      <c r="N80" s="45">
        <v>0.55949207744524798</v>
      </c>
      <c r="O80" s="73">
        <v>0.68783381083576001</v>
      </c>
    </row>
    <row r="81" spans="1:15" ht="14.25" customHeight="1">
      <c r="A81" s="176"/>
      <c r="B81" s="4" t="s">
        <v>345</v>
      </c>
      <c r="C81" s="102">
        <v>0.301415697284388</v>
      </c>
      <c r="D81" s="56">
        <v>0.33228087721067401</v>
      </c>
      <c r="E81" s="56">
        <v>0.189968019341577</v>
      </c>
      <c r="F81" s="56">
        <v>0.29233918551362598</v>
      </c>
      <c r="G81" s="88">
        <v>0.358418356901614</v>
      </c>
      <c r="H81" s="57">
        <v>0.226114195982659</v>
      </c>
      <c r="I81" s="20"/>
      <c r="J81" s="72">
        <v>0.69858430271561101</v>
      </c>
      <c r="K81" s="45">
        <v>0.66771912278932499</v>
      </c>
      <c r="L81" s="45">
        <v>0.81003198065842197</v>
      </c>
      <c r="M81" s="45">
        <v>0.70766081448637297</v>
      </c>
      <c r="N81" s="90">
        <v>0.64158164309838495</v>
      </c>
      <c r="O81" s="73">
        <v>0.77388580401733997</v>
      </c>
    </row>
    <row r="82" spans="1:15" ht="14.25" customHeight="1">
      <c r="A82" s="176"/>
      <c r="B82" s="4" t="s">
        <v>372</v>
      </c>
      <c r="C82" s="102">
        <v>0.31003158621390697</v>
      </c>
      <c r="D82" s="56">
        <v>0.34265865311277</v>
      </c>
      <c r="E82" s="56">
        <v>0.20380706375319399</v>
      </c>
      <c r="F82" s="56">
        <v>0.30435862548322001</v>
      </c>
      <c r="G82" s="56">
        <v>0.36637288142998697</v>
      </c>
      <c r="H82" s="57">
        <v>0.23640807528973001</v>
      </c>
      <c r="I82" s="20"/>
      <c r="J82" s="72">
        <v>0.68996841378609197</v>
      </c>
      <c r="K82" s="45">
        <v>0.65734134688723</v>
      </c>
      <c r="L82" s="45">
        <v>0.79619293624680498</v>
      </c>
      <c r="M82" s="45">
        <v>0.69564137451677899</v>
      </c>
      <c r="N82" s="45">
        <v>0.63362711857001197</v>
      </c>
      <c r="O82" s="73">
        <v>0.76359192471026904</v>
      </c>
    </row>
    <row r="83" spans="1:15" ht="14.25" customHeight="1">
      <c r="A83" s="195"/>
      <c r="B83" s="7" t="s">
        <v>350</v>
      </c>
      <c r="C83" s="103">
        <v>0.32962519025949799</v>
      </c>
      <c r="D83" s="95">
        <v>0.36312739444084002</v>
      </c>
      <c r="E83" s="95">
        <v>0.22777434346382799</v>
      </c>
      <c r="F83" s="95">
        <v>0.32628892843627899</v>
      </c>
      <c r="G83" s="95">
        <v>0.38496913066369298</v>
      </c>
      <c r="H83" s="96">
        <v>0.257762385446342</v>
      </c>
      <c r="I83" s="20"/>
      <c r="J83" s="74">
        <v>0.67037480974050101</v>
      </c>
      <c r="K83" s="75">
        <v>0.63687260555915903</v>
      </c>
      <c r="L83" s="75">
        <v>0.77222565653617103</v>
      </c>
      <c r="M83" s="75">
        <v>0.67371107156372001</v>
      </c>
      <c r="N83" s="75">
        <v>0.61503086933630602</v>
      </c>
      <c r="O83" s="92">
        <v>0.742237614553657</v>
      </c>
    </row>
    <row r="84" spans="1:15" ht="14.25" customHeight="1">
      <c r="A84" s="20"/>
      <c r="B84" s="20"/>
      <c r="C84" s="20"/>
      <c r="D84" s="20"/>
      <c r="E84" s="20"/>
      <c r="F84" s="20"/>
      <c r="G84" s="20"/>
      <c r="H84" s="20"/>
      <c r="I84" s="20"/>
      <c r="J84" s="20"/>
      <c r="K84" s="20"/>
      <c r="L84" s="20"/>
      <c r="M84" s="20"/>
      <c r="N84" s="20"/>
      <c r="O84" s="20"/>
    </row>
    <row r="85" spans="1:15" ht="14.25" customHeight="1">
      <c r="A85" s="22"/>
      <c r="B85" s="22"/>
      <c r="C85" s="22"/>
      <c r="D85" s="22"/>
      <c r="E85" s="22"/>
      <c r="F85" s="22"/>
      <c r="G85" s="22"/>
      <c r="H85" s="22"/>
      <c r="I85" s="22"/>
      <c r="J85" s="20"/>
      <c r="K85" s="20"/>
      <c r="L85" s="20"/>
      <c r="M85" s="20"/>
      <c r="N85" s="20"/>
      <c r="O85" s="20"/>
    </row>
    <row r="86" spans="1:15" ht="14.25" customHeight="1">
      <c r="A86" s="182" t="s">
        <v>1216</v>
      </c>
      <c r="B86" s="171"/>
      <c r="C86" s="171"/>
      <c r="D86" s="171"/>
      <c r="E86" s="171"/>
      <c r="F86" s="171"/>
      <c r="G86" s="171"/>
      <c r="H86" s="171"/>
      <c r="I86" s="79"/>
      <c r="J86" s="20"/>
      <c r="K86" s="20"/>
      <c r="L86" s="20"/>
      <c r="M86" s="20"/>
      <c r="N86" s="20"/>
      <c r="O86" s="20"/>
    </row>
    <row r="87" spans="1:15" ht="14.25" customHeight="1">
      <c r="A87" s="171"/>
      <c r="B87" s="171"/>
      <c r="C87" s="171"/>
      <c r="D87" s="171"/>
      <c r="E87" s="171"/>
      <c r="F87" s="171"/>
      <c r="G87" s="171"/>
      <c r="H87" s="171"/>
      <c r="I87" s="79"/>
      <c r="J87" s="20"/>
      <c r="K87" s="20"/>
      <c r="L87" s="20"/>
      <c r="M87" s="20"/>
      <c r="N87" s="20"/>
      <c r="O87" s="20"/>
    </row>
    <row r="88" spans="1:15" ht="14.25" customHeight="1">
      <c r="A88" s="171"/>
      <c r="B88" s="171"/>
      <c r="C88" s="171"/>
      <c r="D88" s="171"/>
      <c r="E88" s="171"/>
      <c r="F88" s="171"/>
      <c r="G88" s="171"/>
      <c r="H88" s="171"/>
      <c r="I88" s="79"/>
      <c r="J88" s="20"/>
      <c r="K88" s="20"/>
      <c r="L88" s="20"/>
      <c r="M88" s="20"/>
      <c r="N88" s="20"/>
      <c r="O88" s="20"/>
    </row>
    <row r="89" spans="1:15" ht="14.25" customHeight="1">
      <c r="A89" s="171"/>
      <c r="B89" s="171"/>
      <c r="C89" s="171"/>
      <c r="D89" s="171"/>
      <c r="E89" s="171"/>
      <c r="F89" s="171"/>
      <c r="G89" s="171"/>
      <c r="H89" s="171"/>
      <c r="I89" s="79"/>
      <c r="J89" s="20"/>
      <c r="K89" s="20"/>
      <c r="L89" s="20"/>
      <c r="M89" s="20"/>
      <c r="N89" s="20"/>
      <c r="O89" s="20"/>
    </row>
    <row r="90" spans="1:15" ht="14.25" customHeight="1">
      <c r="A90" s="171"/>
      <c r="B90" s="171"/>
      <c r="C90" s="171"/>
      <c r="D90" s="171"/>
      <c r="E90" s="171"/>
      <c r="F90" s="171"/>
      <c r="G90" s="171"/>
      <c r="H90" s="171"/>
      <c r="I90" s="79"/>
      <c r="J90" s="20"/>
      <c r="K90" s="20"/>
      <c r="L90" s="20"/>
      <c r="M90" s="20"/>
      <c r="N90" s="20"/>
      <c r="O90" s="20"/>
    </row>
    <row r="91" spans="1:15" ht="14.25" customHeight="1">
      <c r="A91" s="171"/>
      <c r="B91" s="171"/>
      <c r="C91" s="171"/>
      <c r="D91" s="171"/>
      <c r="E91" s="171"/>
      <c r="F91" s="171"/>
      <c r="G91" s="171"/>
      <c r="H91" s="171"/>
      <c r="I91" s="79"/>
      <c r="J91" s="20"/>
      <c r="K91" s="20"/>
      <c r="L91" s="20"/>
      <c r="M91" s="20"/>
      <c r="N91" s="20"/>
      <c r="O91" s="20"/>
    </row>
    <row r="92" spans="1:15" ht="14.25" customHeight="1">
      <c r="A92" s="171"/>
      <c r="B92" s="171"/>
      <c r="C92" s="171"/>
      <c r="D92" s="171"/>
      <c r="E92" s="171"/>
      <c r="F92" s="171"/>
      <c r="G92" s="171"/>
      <c r="H92" s="171"/>
      <c r="I92" s="79"/>
      <c r="J92" s="20"/>
      <c r="K92" s="20"/>
      <c r="L92" s="20"/>
      <c r="M92" s="20"/>
      <c r="N92" s="20"/>
      <c r="O92" s="20"/>
    </row>
    <row r="93" spans="1:15" ht="14.25" customHeight="1">
      <c r="A93" s="171"/>
      <c r="B93" s="171"/>
      <c r="C93" s="171"/>
      <c r="D93" s="171"/>
      <c r="E93" s="171"/>
      <c r="F93" s="171"/>
      <c r="G93" s="171"/>
      <c r="H93" s="171"/>
      <c r="I93" s="79"/>
      <c r="J93" s="20"/>
      <c r="K93" s="20"/>
      <c r="L93" s="20"/>
      <c r="M93" s="20"/>
      <c r="N93" s="20"/>
      <c r="O93" s="20"/>
    </row>
    <row r="94" spans="1:15" ht="14.25" customHeight="1">
      <c r="A94" s="171"/>
      <c r="B94" s="171"/>
      <c r="C94" s="171"/>
      <c r="D94" s="171"/>
      <c r="E94" s="171"/>
      <c r="F94" s="171"/>
      <c r="G94" s="171"/>
      <c r="H94" s="171"/>
      <c r="I94" s="79"/>
      <c r="J94" s="20"/>
      <c r="K94" s="20"/>
      <c r="L94" s="20"/>
      <c r="M94" s="20"/>
      <c r="N94" s="20"/>
      <c r="O94" s="20"/>
    </row>
    <row r="95" spans="1:15" ht="14.25" customHeight="1">
      <c r="A95" s="171"/>
      <c r="B95" s="171"/>
      <c r="C95" s="171"/>
      <c r="D95" s="171"/>
      <c r="E95" s="171"/>
      <c r="F95" s="171"/>
      <c r="G95" s="171"/>
      <c r="H95" s="171"/>
      <c r="I95" s="79"/>
      <c r="J95" s="20"/>
      <c r="K95" s="20"/>
      <c r="L95" s="20"/>
      <c r="M95" s="20"/>
      <c r="N95" s="20"/>
      <c r="O95" s="20"/>
    </row>
    <row r="96" spans="1:15" ht="14.25" customHeight="1">
      <c r="A96" s="171"/>
      <c r="B96" s="171"/>
      <c r="C96" s="171"/>
      <c r="D96" s="171"/>
      <c r="E96" s="171"/>
      <c r="F96" s="171"/>
      <c r="G96" s="171"/>
      <c r="H96" s="171"/>
      <c r="I96" s="79"/>
      <c r="J96" s="20"/>
      <c r="K96" s="20"/>
      <c r="L96" s="20"/>
      <c r="M96" s="20"/>
      <c r="N96" s="20"/>
      <c r="O96" s="20"/>
    </row>
    <row r="97" spans="1:15" ht="14.25" customHeight="1">
      <c r="A97" s="171"/>
      <c r="B97" s="171"/>
      <c r="C97" s="171"/>
      <c r="D97" s="171"/>
      <c r="E97" s="171"/>
      <c r="F97" s="171"/>
      <c r="G97" s="171"/>
      <c r="H97" s="171"/>
      <c r="I97" s="20"/>
      <c r="J97" s="20"/>
      <c r="K97" s="20"/>
      <c r="L97" s="20"/>
      <c r="M97" s="20"/>
      <c r="N97" s="20"/>
      <c r="O97" s="20"/>
    </row>
    <row r="98" spans="1:15" ht="14.25" customHeight="1">
      <c r="A98" s="171"/>
      <c r="B98" s="171"/>
      <c r="C98" s="171"/>
      <c r="D98" s="171"/>
      <c r="E98" s="171"/>
      <c r="F98" s="171"/>
      <c r="G98" s="171"/>
      <c r="H98" s="171"/>
    </row>
    <row r="99" spans="1:15" ht="14.25" customHeight="1"/>
    <row r="100" spans="1:15" ht="14.25" customHeight="1"/>
    <row r="101" spans="1:15" ht="14.25" customHeight="1"/>
    <row r="102" spans="1:15" ht="14.25" customHeight="1"/>
    <row r="103" spans="1:15" ht="14.25" customHeight="1"/>
    <row r="104" spans="1:15" ht="14.25" customHeight="1"/>
    <row r="105" spans="1:15" ht="14.25" customHeight="1"/>
    <row r="106" spans="1:15" ht="14.25" customHeight="1"/>
    <row r="107" spans="1:15" ht="14.25" customHeight="1"/>
    <row r="108" spans="1:15" ht="14.25" customHeight="1"/>
    <row r="109" spans="1:15" ht="14.25" customHeight="1"/>
    <row r="110" spans="1:15" ht="14.25" customHeight="1"/>
    <row r="111" spans="1:15" ht="14.25" customHeight="1"/>
    <row r="112" spans="1:15"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73">
    <mergeCell ref="O32:O33"/>
    <mergeCell ref="J58:O58"/>
    <mergeCell ref="J59:O59"/>
    <mergeCell ref="A7:A13"/>
    <mergeCell ref="A14:A20"/>
    <mergeCell ref="A21:A27"/>
    <mergeCell ref="C30:H30"/>
    <mergeCell ref="C31:H31"/>
    <mergeCell ref="C32:C33"/>
    <mergeCell ref="D32:D33"/>
    <mergeCell ref="E32:E33"/>
    <mergeCell ref="F32:F33"/>
    <mergeCell ref="G32:G33"/>
    <mergeCell ref="C2:H2"/>
    <mergeCell ref="J2:O2"/>
    <mergeCell ref="C3:H3"/>
    <mergeCell ref="J3:O3"/>
    <mergeCell ref="C4:C5"/>
    <mergeCell ref="D4:D5"/>
    <mergeCell ref="E4:E5"/>
    <mergeCell ref="O4:O5"/>
    <mergeCell ref="F4:F5"/>
    <mergeCell ref="G4:G5"/>
    <mergeCell ref="O60:O61"/>
    <mergeCell ref="J72:O72"/>
    <mergeCell ref="H4:H5"/>
    <mergeCell ref="J4:J5"/>
    <mergeCell ref="K4:K5"/>
    <mergeCell ref="L4:L5"/>
    <mergeCell ref="M4:M5"/>
    <mergeCell ref="N4:N5"/>
    <mergeCell ref="J30:O30"/>
    <mergeCell ref="J31:O31"/>
    <mergeCell ref="H32:H33"/>
    <mergeCell ref="J32:J33"/>
    <mergeCell ref="K32:K33"/>
    <mergeCell ref="L32:L33"/>
    <mergeCell ref="M32:M33"/>
    <mergeCell ref="N32:N33"/>
    <mergeCell ref="J60:J61"/>
    <mergeCell ref="K60:K61"/>
    <mergeCell ref="L60:L61"/>
    <mergeCell ref="M60:M61"/>
    <mergeCell ref="N60:N61"/>
    <mergeCell ref="J73:O73"/>
    <mergeCell ref="J74:J75"/>
    <mergeCell ref="K74:K75"/>
    <mergeCell ref="L74:L75"/>
    <mergeCell ref="M74:M75"/>
    <mergeCell ref="N74:N75"/>
    <mergeCell ref="O74:O75"/>
    <mergeCell ref="A63:A69"/>
    <mergeCell ref="C72:H72"/>
    <mergeCell ref="C73:H73"/>
    <mergeCell ref="C74:C75"/>
    <mergeCell ref="D74:D75"/>
    <mergeCell ref="E74:E75"/>
    <mergeCell ref="F74:F75"/>
    <mergeCell ref="A77:A83"/>
    <mergeCell ref="A86:H98"/>
    <mergeCell ref="G74:G75"/>
    <mergeCell ref="H74:H75"/>
    <mergeCell ref="G60:G61"/>
    <mergeCell ref="H60:H61"/>
    <mergeCell ref="A35:A41"/>
    <mergeCell ref="A42:A48"/>
    <mergeCell ref="A49:A55"/>
    <mergeCell ref="C58:H58"/>
    <mergeCell ref="C59:H59"/>
    <mergeCell ref="C60:C61"/>
    <mergeCell ref="D60:D61"/>
    <mergeCell ref="E60:E61"/>
    <mergeCell ref="F60:F61"/>
  </mergeCell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7481A-D432-4FB9-9A5E-39FEFFB0856B}">
  <dimension ref="A1:G20"/>
  <sheetViews>
    <sheetView tabSelected="1" workbookViewId="0">
      <selection activeCell="H2" sqref="H2"/>
    </sheetView>
  </sheetViews>
  <sheetFormatPr defaultRowHeight="14.4"/>
  <sheetData>
    <row r="1" spans="1:7">
      <c r="B1" s="220" t="s">
        <v>1223</v>
      </c>
      <c r="C1" s="221"/>
      <c r="D1" s="220" t="s">
        <v>1224</v>
      </c>
      <c r="E1" s="222"/>
      <c r="F1" s="221" t="s">
        <v>1225</v>
      </c>
      <c r="G1" s="222"/>
    </row>
    <row r="2" spans="1:7">
      <c r="B2" s="223" t="s">
        <v>1204</v>
      </c>
      <c r="C2" s="224" t="s">
        <v>1205</v>
      </c>
      <c r="D2" s="223" t="s">
        <v>1204</v>
      </c>
      <c r="E2" s="225" t="s">
        <v>1205</v>
      </c>
      <c r="F2" s="224" t="s">
        <v>1204</v>
      </c>
      <c r="G2" s="225" t="s">
        <v>1205</v>
      </c>
    </row>
    <row r="3" spans="1:7">
      <c r="A3" s="226" t="s">
        <v>1206</v>
      </c>
      <c r="B3" s="208">
        <v>100</v>
      </c>
      <c r="C3" s="209">
        <v>100</v>
      </c>
      <c r="D3" s="209">
        <v>100</v>
      </c>
      <c r="E3" s="209">
        <v>100</v>
      </c>
      <c r="F3" s="209">
        <v>100</v>
      </c>
      <c r="G3" s="210">
        <v>100</v>
      </c>
    </row>
    <row r="4" spans="1:7">
      <c r="A4" s="227" t="s">
        <v>1207</v>
      </c>
      <c r="B4" s="211">
        <v>0.5702908564408774</v>
      </c>
      <c r="C4" s="212">
        <v>0.54079659812202696</v>
      </c>
      <c r="D4" s="212">
        <v>0.44326052621988282</v>
      </c>
      <c r="E4" s="212">
        <v>0.33224494684952249</v>
      </c>
      <c r="F4" s="212">
        <v>-5.5572368835189373E-2</v>
      </c>
      <c r="G4" s="213">
        <v>-9.5716147760041753E-2</v>
      </c>
    </row>
    <row r="5" spans="1:7">
      <c r="A5" s="227" t="s">
        <v>1208</v>
      </c>
      <c r="B5" s="211">
        <v>2.440715058503649E-2</v>
      </c>
      <c r="C5" s="212">
        <v>3.1996467850793027E-2</v>
      </c>
      <c r="D5" s="212">
        <v>3.8796313077850218E-2</v>
      </c>
      <c r="E5" s="212">
        <v>6.0198602872934583E-2</v>
      </c>
      <c r="F5" s="212">
        <v>7.0240013871963977E-2</v>
      </c>
      <c r="G5" s="213">
        <v>8.9490181928736326E-2</v>
      </c>
    </row>
    <row r="6" spans="1:7">
      <c r="A6" s="227" t="s">
        <v>1209</v>
      </c>
      <c r="B6" s="211">
        <v>0.50415762788433693</v>
      </c>
      <c r="C6" s="212">
        <v>0.46490347144935229</v>
      </c>
      <c r="D6" s="212">
        <v>0.350501084898791</v>
      </c>
      <c r="E6" s="212">
        <v>0.19346288538619219</v>
      </c>
      <c r="F6" s="212">
        <v>-0.18373888023377871</v>
      </c>
      <c r="G6" s="213">
        <v>-0.28730520358479761</v>
      </c>
    </row>
    <row r="7" spans="1:7">
      <c r="A7" s="227" t="s">
        <v>1210</v>
      </c>
      <c r="B7" s="211">
        <v>0.53129970048534625</v>
      </c>
      <c r="C7" s="212">
        <v>0.489832709604613</v>
      </c>
      <c r="D7" s="212">
        <v>0.37524140400446199</v>
      </c>
      <c r="E7" s="212">
        <v>0.22474774337316489</v>
      </c>
      <c r="F7" s="212">
        <v>-0.15846474648371561</v>
      </c>
      <c r="G7" s="213">
        <v>-0.22688964551614921</v>
      </c>
    </row>
    <row r="8" spans="1:7">
      <c r="A8" s="227" t="s">
        <v>1211</v>
      </c>
      <c r="B8" s="211">
        <v>0.56958875035872136</v>
      </c>
      <c r="C8" s="212">
        <v>0.54078387634181135</v>
      </c>
      <c r="D8" s="212">
        <v>0.44486389557462991</v>
      </c>
      <c r="E8" s="212">
        <v>0.33292769444047882</v>
      </c>
      <c r="F8" s="212">
        <v>-5.9814282538164988E-2</v>
      </c>
      <c r="G8" s="213">
        <v>-9.9977539308463537E-2</v>
      </c>
    </row>
    <row r="9" spans="1:7">
      <c r="A9" s="227" t="s">
        <v>1212</v>
      </c>
      <c r="B9" s="211">
        <v>0.60918795439558615</v>
      </c>
      <c r="C9" s="212">
        <v>0.59404616175968961</v>
      </c>
      <c r="D9" s="212">
        <v>0.50983291441753442</v>
      </c>
      <c r="E9" s="212">
        <v>0.42895567468621859</v>
      </c>
      <c r="F9" s="212">
        <v>5.9341671524076531E-2</v>
      </c>
      <c r="G9" s="213">
        <v>5.872929714714363E-2</v>
      </c>
    </row>
    <row r="10" spans="1:7">
      <c r="A10" s="227" t="s">
        <v>1213</v>
      </c>
      <c r="B10" s="211">
        <v>0.63230625381141148</v>
      </c>
      <c r="C10" s="212">
        <v>0.61844835548605159</v>
      </c>
      <c r="D10" s="212">
        <v>0.52960691599961052</v>
      </c>
      <c r="E10" s="212">
        <v>0.52077256053205789</v>
      </c>
      <c r="F10" s="212">
        <v>0.1147272944538371</v>
      </c>
      <c r="G10" s="213">
        <v>0.1551162635136959</v>
      </c>
    </row>
    <row r="11" spans="1:7">
      <c r="A11" s="228" t="s">
        <v>1214</v>
      </c>
      <c r="B11" s="214">
        <v>4.8429081928854463E-3</v>
      </c>
      <c r="C11" s="215">
        <v>6.3487933897946134E-3</v>
      </c>
      <c r="D11" s="215">
        <v>7.6980302065108403E-3</v>
      </c>
      <c r="E11" s="215">
        <v>1.1944708827761609E-2</v>
      </c>
      <c r="F11" s="215">
        <v>1.3937142619895589E-2</v>
      </c>
      <c r="G11" s="216">
        <v>1.775679359765946E-2</v>
      </c>
    </row>
    <row r="13" spans="1:7" ht="14.4" customHeight="1">
      <c r="A13" s="217" t="s">
        <v>1217</v>
      </c>
      <c r="B13" s="217"/>
      <c r="C13" s="217"/>
      <c r="D13" s="217"/>
      <c r="E13" s="217"/>
      <c r="F13" s="217"/>
      <c r="G13" s="217"/>
    </row>
    <row r="14" spans="1:7">
      <c r="A14" s="217"/>
      <c r="B14" s="217"/>
      <c r="C14" s="217"/>
      <c r="D14" s="217"/>
      <c r="E14" s="217"/>
      <c r="F14" s="217"/>
      <c r="G14" s="217"/>
    </row>
    <row r="15" spans="1:7">
      <c r="A15" s="217"/>
      <c r="B15" s="217"/>
      <c r="C15" s="217"/>
      <c r="D15" s="217"/>
      <c r="E15" s="217"/>
      <c r="F15" s="217"/>
      <c r="G15" s="217"/>
    </row>
    <row r="16" spans="1:7">
      <c r="A16" s="217"/>
      <c r="B16" s="217"/>
      <c r="C16" s="217"/>
      <c r="D16" s="217"/>
      <c r="E16" s="217"/>
      <c r="F16" s="217"/>
      <c r="G16" s="217"/>
    </row>
    <row r="17" spans="1:7">
      <c r="A17" s="217"/>
      <c r="B17" s="217"/>
      <c r="C17" s="217"/>
      <c r="D17" s="217"/>
      <c r="E17" s="217"/>
      <c r="F17" s="217"/>
      <c r="G17" s="217"/>
    </row>
    <row r="18" spans="1:7">
      <c r="A18" s="217"/>
      <c r="B18" s="217"/>
      <c r="C18" s="217"/>
      <c r="D18" s="217"/>
      <c r="E18" s="217"/>
      <c r="F18" s="217"/>
      <c r="G18" s="217"/>
    </row>
    <row r="19" spans="1:7">
      <c r="A19" s="217"/>
      <c r="B19" s="217"/>
      <c r="C19" s="217"/>
      <c r="D19" s="217"/>
      <c r="E19" s="217"/>
      <c r="F19" s="217"/>
      <c r="G19" s="217"/>
    </row>
    <row r="20" spans="1:7">
      <c r="A20" s="217"/>
      <c r="B20" s="217"/>
      <c r="C20" s="217"/>
      <c r="D20" s="217"/>
      <c r="E20" s="217"/>
      <c r="F20" s="217"/>
      <c r="G20" s="217"/>
    </row>
  </sheetData>
  <mergeCells count="1">
    <mergeCell ref="A13:G2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000"/>
  <sheetViews>
    <sheetView topLeftCell="A21" workbookViewId="0">
      <selection activeCell="A43" sqref="A43"/>
    </sheetView>
  </sheetViews>
  <sheetFormatPr defaultColWidth="12.6640625" defaultRowHeight="15" customHeight="1"/>
  <cols>
    <col min="1" max="5" width="8.6640625" customWidth="1"/>
    <col min="6" max="6" width="12" customWidth="1"/>
    <col min="7" max="7" width="14.44140625" customWidth="1"/>
    <col min="8" max="8" width="14.109375" customWidth="1"/>
    <col min="9" max="10" width="8.6640625" customWidth="1"/>
    <col min="11" max="11" width="12.88671875" customWidth="1"/>
    <col min="12" max="12" width="13.21875" customWidth="1"/>
    <col min="13" max="26" width="8.6640625" customWidth="1"/>
  </cols>
  <sheetData>
    <row r="1" spans="1:12" ht="33.75" customHeight="1">
      <c r="A1" s="104" t="s">
        <v>378</v>
      </c>
      <c r="B1" s="104" t="s">
        <v>379</v>
      </c>
      <c r="C1" s="104" t="s">
        <v>380</v>
      </c>
      <c r="D1" s="105" t="s">
        <v>381</v>
      </c>
      <c r="E1" s="104" t="s">
        <v>382</v>
      </c>
      <c r="F1" s="105" t="s">
        <v>383</v>
      </c>
      <c r="G1" s="104" t="s">
        <v>384</v>
      </c>
      <c r="H1" s="104" t="s">
        <v>385</v>
      </c>
      <c r="I1" s="104" t="s">
        <v>386</v>
      </c>
      <c r="J1" s="104" t="s">
        <v>387</v>
      </c>
      <c r="K1" s="104" t="s">
        <v>388</v>
      </c>
      <c r="L1" s="105" t="s">
        <v>389</v>
      </c>
    </row>
    <row r="2" spans="1:12" ht="14.25" customHeight="1">
      <c r="A2" s="106">
        <v>0</v>
      </c>
      <c r="B2" s="107">
        <v>67</v>
      </c>
      <c r="C2" s="107">
        <v>416</v>
      </c>
      <c r="D2" s="108">
        <v>350</v>
      </c>
      <c r="E2" s="109" t="s">
        <v>390</v>
      </c>
      <c r="F2" s="108" t="s">
        <v>391</v>
      </c>
      <c r="G2" s="107">
        <v>100</v>
      </c>
      <c r="H2" s="107">
        <v>0</v>
      </c>
      <c r="I2" s="107">
        <v>91</v>
      </c>
      <c r="J2" s="107">
        <v>0</v>
      </c>
      <c r="K2" s="110">
        <f t="shared" ref="K2:K34" si="0">(G2/D2)-(H2/D2)</f>
        <v>0.2857142857142857</v>
      </c>
      <c r="L2" s="111">
        <f t="shared" ref="L2:L34" si="1">(I2/D2)-(J2/D2)</f>
        <v>0.26</v>
      </c>
    </row>
    <row r="3" spans="1:12" ht="14.25" customHeight="1">
      <c r="A3" s="106">
        <v>1</v>
      </c>
      <c r="B3" s="107">
        <v>862</v>
      </c>
      <c r="C3" s="107">
        <v>1123</v>
      </c>
      <c r="D3" s="108">
        <v>262</v>
      </c>
      <c r="E3" s="109" t="s">
        <v>392</v>
      </c>
      <c r="F3" s="108" t="s">
        <v>391</v>
      </c>
      <c r="G3" s="107">
        <v>0</v>
      </c>
      <c r="H3" s="107">
        <v>12</v>
      </c>
      <c r="I3" s="107">
        <v>0</v>
      </c>
      <c r="J3" s="107">
        <v>0</v>
      </c>
      <c r="K3" s="110">
        <f t="shared" si="0"/>
        <v>-4.5801526717557252E-2</v>
      </c>
      <c r="L3" s="111">
        <f t="shared" si="1"/>
        <v>0</v>
      </c>
    </row>
    <row r="4" spans="1:12" ht="14.25" customHeight="1">
      <c r="A4" s="106">
        <v>2</v>
      </c>
      <c r="B4" s="107">
        <v>2863</v>
      </c>
      <c r="C4" s="107">
        <v>3212</v>
      </c>
      <c r="D4" s="108">
        <v>350</v>
      </c>
      <c r="E4" s="109" t="s">
        <v>393</v>
      </c>
      <c r="F4" s="108"/>
      <c r="G4" s="107">
        <v>100</v>
      </c>
      <c r="H4" s="107">
        <v>0</v>
      </c>
      <c r="I4" s="107">
        <v>0</v>
      </c>
      <c r="J4" s="107">
        <v>0</v>
      </c>
      <c r="K4" s="110">
        <f t="shared" si="0"/>
        <v>0.2857142857142857</v>
      </c>
      <c r="L4" s="111">
        <f t="shared" si="1"/>
        <v>0</v>
      </c>
    </row>
    <row r="5" spans="1:12" ht="14.25" customHeight="1">
      <c r="A5" s="106">
        <v>3</v>
      </c>
      <c r="B5" s="107">
        <v>4247</v>
      </c>
      <c r="C5" s="107">
        <v>4531</v>
      </c>
      <c r="D5" s="108">
        <v>285</v>
      </c>
      <c r="E5" s="109" t="s">
        <v>393</v>
      </c>
      <c r="F5" s="108"/>
      <c r="G5" s="107">
        <v>0</v>
      </c>
      <c r="H5" s="107">
        <v>27</v>
      </c>
      <c r="I5" s="107">
        <v>0</v>
      </c>
      <c r="J5" s="107">
        <v>0</v>
      </c>
      <c r="K5" s="110">
        <f t="shared" si="0"/>
        <v>-9.4736842105263161E-2</v>
      </c>
      <c r="L5" s="111">
        <f t="shared" si="1"/>
        <v>0</v>
      </c>
    </row>
    <row r="6" spans="1:12" ht="14.25" customHeight="1">
      <c r="A6" s="106">
        <v>4</v>
      </c>
      <c r="B6" s="107">
        <v>4957</v>
      </c>
      <c r="C6" s="107">
        <v>5219</v>
      </c>
      <c r="D6" s="108">
        <v>263</v>
      </c>
      <c r="E6" s="109" t="s">
        <v>393</v>
      </c>
      <c r="F6" s="108" t="s">
        <v>394</v>
      </c>
      <c r="G6" s="107">
        <v>0</v>
      </c>
      <c r="H6" s="107">
        <v>13</v>
      </c>
      <c r="I6" s="107">
        <v>0</v>
      </c>
      <c r="J6" s="107">
        <v>0</v>
      </c>
      <c r="K6" s="110">
        <f t="shared" si="0"/>
        <v>-4.9429657794676805E-2</v>
      </c>
      <c r="L6" s="111">
        <f t="shared" si="1"/>
        <v>0</v>
      </c>
    </row>
    <row r="7" spans="1:12" ht="14.25" customHeight="1">
      <c r="A7" s="106">
        <v>5</v>
      </c>
      <c r="B7" s="107">
        <v>5318</v>
      </c>
      <c r="C7" s="107">
        <v>5572</v>
      </c>
      <c r="D7" s="108">
        <v>255</v>
      </c>
      <c r="E7" s="109" t="s">
        <v>393</v>
      </c>
      <c r="F7" s="108" t="s">
        <v>394</v>
      </c>
      <c r="G7" s="107">
        <v>0</v>
      </c>
      <c r="H7" s="107">
        <v>5</v>
      </c>
      <c r="I7" s="107">
        <v>0</v>
      </c>
      <c r="J7" s="107">
        <v>0</v>
      </c>
      <c r="K7" s="110">
        <f t="shared" si="0"/>
        <v>-1.9607843137254902E-2</v>
      </c>
      <c r="L7" s="111">
        <f t="shared" si="1"/>
        <v>0</v>
      </c>
    </row>
    <row r="8" spans="1:12" ht="14.25" customHeight="1">
      <c r="A8" s="106">
        <v>6</v>
      </c>
      <c r="B8" s="107">
        <v>6008</v>
      </c>
      <c r="C8" s="107">
        <v>6258</v>
      </c>
      <c r="D8" s="108">
        <v>251</v>
      </c>
      <c r="E8" s="109" t="s">
        <v>393</v>
      </c>
      <c r="F8" s="108" t="s">
        <v>394</v>
      </c>
      <c r="G8" s="107">
        <v>0</v>
      </c>
      <c r="H8" s="107">
        <v>1</v>
      </c>
      <c r="I8" s="107">
        <v>0</v>
      </c>
      <c r="J8" s="107">
        <v>0</v>
      </c>
      <c r="K8" s="110">
        <f t="shared" si="0"/>
        <v>-3.9840637450199202E-3</v>
      </c>
      <c r="L8" s="111">
        <f t="shared" si="1"/>
        <v>0</v>
      </c>
    </row>
    <row r="9" spans="1:12" ht="14.25" customHeight="1">
      <c r="A9" s="106">
        <v>7</v>
      </c>
      <c r="B9" s="107">
        <v>7346</v>
      </c>
      <c r="C9" s="107">
        <v>7815</v>
      </c>
      <c r="D9" s="108">
        <v>470</v>
      </c>
      <c r="E9" s="109" t="s">
        <v>393</v>
      </c>
      <c r="F9" s="108"/>
      <c r="G9" s="107">
        <v>0</v>
      </c>
      <c r="H9" s="107">
        <v>117</v>
      </c>
      <c r="I9" s="107">
        <v>0</v>
      </c>
      <c r="J9" s="107">
        <v>185</v>
      </c>
      <c r="K9" s="110">
        <f t="shared" si="0"/>
        <v>-0.24893617021276596</v>
      </c>
      <c r="L9" s="111">
        <f t="shared" si="1"/>
        <v>-0.39361702127659576</v>
      </c>
    </row>
    <row r="10" spans="1:12" ht="14.25" customHeight="1">
      <c r="A10" s="106">
        <v>8</v>
      </c>
      <c r="B10" s="107">
        <v>8066</v>
      </c>
      <c r="C10" s="107">
        <v>8678</v>
      </c>
      <c r="D10" s="108">
        <v>613</v>
      </c>
      <c r="E10" s="109" t="s">
        <v>395</v>
      </c>
      <c r="F10" s="108"/>
      <c r="G10" s="107">
        <v>0</v>
      </c>
      <c r="H10" s="107">
        <v>128</v>
      </c>
      <c r="I10" s="107">
        <v>0</v>
      </c>
      <c r="J10" s="107">
        <v>132</v>
      </c>
      <c r="K10" s="110">
        <f t="shared" si="0"/>
        <v>-0.20880913539967375</v>
      </c>
      <c r="L10" s="111">
        <f t="shared" si="1"/>
        <v>-0.21533442088091354</v>
      </c>
    </row>
    <row r="11" spans="1:12" ht="14.25" customHeight="1">
      <c r="A11" s="106">
        <v>9</v>
      </c>
      <c r="B11" s="107">
        <v>9152</v>
      </c>
      <c r="C11" s="107">
        <v>9403</v>
      </c>
      <c r="D11" s="108">
        <v>252</v>
      </c>
      <c r="E11" s="109" t="s">
        <v>396</v>
      </c>
      <c r="F11" s="108"/>
      <c r="G11" s="107">
        <v>0</v>
      </c>
      <c r="H11" s="107">
        <v>2</v>
      </c>
      <c r="I11" s="107">
        <v>0</v>
      </c>
      <c r="J11" s="107">
        <v>0</v>
      </c>
      <c r="K11" s="110">
        <f t="shared" si="0"/>
        <v>-7.9365079365079361E-3</v>
      </c>
      <c r="L11" s="111">
        <f t="shared" si="1"/>
        <v>0</v>
      </c>
    </row>
    <row r="12" spans="1:12" ht="14.25" customHeight="1">
      <c r="A12" s="106">
        <v>10</v>
      </c>
      <c r="B12" s="107">
        <v>9487</v>
      </c>
      <c r="C12" s="107">
        <v>9928</v>
      </c>
      <c r="D12" s="108">
        <v>442</v>
      </c>
      <c r="E12" s="109" t="s">
        <v>396</v>
      </c>
      <c r="F12" s="108"/>
      <c r="G12" s="107">
        <v>0</v>
      </c>
      <c r="H12" s="107">
        <v>42</v>
      </c>
      <c r="I12" s="107">
        <v>0</v>
      </c>
      <c r="J12" s="107">
        <v>51</v>
      </c>
      <c r="K12" s="110">
        <f t="shared" si="0"/>
        <v>-9.5022624434389136E-2</v>
      </c>
      <c r="L12" s="111">
        <f t="shared" si="1"/>
        <v>-0.11538461538461539</v>
      </c>
    </row>
    <row r="13" spans="1:12" ht="14.25" customHeight="1">
      <c r="A13" s="106">
        <v>11</v>
      </c>
      <c r="B13" s="107">
        <v>10275</v>
      </c>
      <c r="C13" s="107">
        <v>10622</v>
      </c>
      <c r="D13" s="108">
        <v>348</v>
      </c>
      <c r="E13" s="109" t="s">
        <v>397</v>
      </c>
      <c r="F13" s="108"/>
      <c r="G13" s="107">
        <v>98</v>
      </c>
      <c r="H13" s="107">
        <v>0</v>
      </c>
      <c r="I13" s="107">
        <v>0</v>
      </c>
      <c r="J13" s="107">
        <v>103</v>
      </c>
      <c r="K13" s="110">
        <f t="shared" si="0"/>
        <v>0.28160919540229884</v>
      </c>
      <c r="L13" s="111">
        <f t="shared" si="1"/>
        <v>-0.29597701149425287</v>
      </c>
    </row>
    <row r="14" spans="1:12" ht="14.25" customHeight="1">
      <c r="A14" s="106">
        <v>12</v>
      </c>
      <c r="B14" s="107">
        <v>10760</v>
      </c>
      <c r="C14" s="107">
        <v>11052</v>
      </c>
      <c r="D14" s="108">
        <v>293</v>
      </c>
      <c r="E14" s="109" t="s">
        <v>398</v>
      </c>
      <c r="F14" s="108"/>
      <c r="G14" s="107">
        <v>0</v>
      </c>
      <c r="H14" s="107">
        <v>43</v>
      </c>
      <c r="I14" s="107">
        <v>0</v>
      </c>
      <c r="J14" s="107">
        <v>46</v>
      </c>
      <c r="K14" s="110">
        <f t="shared" si="0"/>
        <v>-0.14675767918088736</v>
      </c>
      <c r="L14" s="111">
        <f t="shared" si="1"/>
        <v>-0.15699658703071673</v>
      </c>
    </row>
    <row r="15" spans="1:12" ht="14.25" customHeight="1">
      <c r="A15" s="106">
        <v>13</v>
      </c>
      <c r="B15" s="107">
        <v>11708</v>
      </c>
      <c r="C15" s="107">
        <v>12025</v>
      </c>
      <c r="D15" s="108">
        <v>318</v>
      </c>
      <c r="E15" s="109" t="s">
        <v>399</v>
      </c>
      <c r="F15" s="108"/>
      <c r="G15" s="107">
        <v>0</v>
      </c>
      <c r="H15" s="107">
        <v>68</v>
      </c>
      <c r="I15" s="107">
        <v>0</v>
      </c>
      <c r="J15" s="107">
        <v>0</v>
      </c>
      <c r="K15" s="110">
        <f t="shared" si="0"/>
        <v>-0.21383647798742139</v>
      </c>
      <c r="L15" s="111">
        <f t="shared" si="1"/>
        <v>0</v>
      </c>
    </row>
    <row r="16" spans="1:12" ht="14.25" customHeight="1">
      <c r="A16" s="106">
        <v>14</v>
      </c>
      <c r="B16" s="107">
        <v>12088</v>
      </c>
      <c r="C16" s="107">
        <v>12816</v>
      </c>
      <c r="D16" s="108">
        <v>729</v>
      </c>
      <c r="E16" s="109" t="s">
        <v>400</v>
      </c>
      <c r="F16" s="108"/>
      <c r="G16" s="107">
        <v>0</v>
      </c>
      <c r="H16" s="107">
        <v>188</v>
      </c>
      <c r="I16" s="107">
        <v>0</v>
      </c>
      <c r="J16" s="107">
        <v>136</v>
      </c>
      <c r="K16" s="110">
        <f t="shared" si="0"/>
        <v>-0.25788751714677638</v>
      </c>
      <c r="L16" s="111">
        <f t="shared" si="1"/>
        <v>-0.18655692729766804</v>
      </c>
    </row>
    <row r="17" spans="1:12" ht="14.25" customHeight="1">
      <c r="A17" s="106">
        <v>15</v>
      </c>
      <c r="B17" s="107">
        <v>12985</v>
      </c>
      <c r="C17" s="107">
        <v>13404</v>
      </c>
      <c r="D17" s="108">
        <v>420</v>
      </c>
      <c r="E17" s="109" t="s">
        <v>401</v>
      </c>
      <c r="F17" s="108" t="s">
        <v>402</v>
      </c>
      <c r="G17" s="107">
        <v>0</v>
      </c>
      <c r="H17" s="107">
        <v>22</v>
      </c>
      <c r="I17" s="107">
        <v>0</v>
      </c>
      <c r="J17" s="107">
        <v>0</v>
      </c>
      <c r="K17" s="110">
        <f t="shared" si="0"/>
        <v>-5.2380952380952382E-2</v>
      </c>
      <c r="L17" s="111">
        <f t="shared" si="1"/>
        <v>0</v>
      </c>
    </row>
    <row r="18" spans="1:12" ht="14.25" customHeight="1">
      <c r="A18" s="106">
        <v>16</v>
      </c>
      <c r="B18" s="107">
        <v>13642</v>
      </c>
      <c r="C18" s="107">
        <v>13935</v>
      </c>
      <c r="D18" s="108">
        <v>294</v>
      </c>
      <c r="E18" s="109" t="s">
        <v>403</v>
      </c>
      <c r="F18" s="108"/>
      <c r="G18" s="107">
        <v>0</v>
      </c>
      <c r="H18" s="107">
        <v>39</v>
      </c>
      <c r="I18" s="107">
        <v>0</v>
      </c>
      <c r="J18" s="107">
        <v>0</v>
      </c>
      <c r="K18" s="110">
        <f t="shared" si="0"/>
        <v>-0.1326530612244898</v>
      </c>
      <c r="L18" s="111">
        <f t="shared" si="1"/>
        <v>0</v>
      </c>
    </row>
    <row r="19" spans="1:12" ht="14.25" customHeight="1">
      <c r="A19" s="106">
        <v>17</v>
      </c>
      <c r="B19" s="107">
        <v>14183</v>
      </c>
      <c r="C19" s="107">
        <v>14673</v>
      </c>
      <c r="D19" s="108">
        <v>491</v>
      </c>
      <c r="E19" s="109" t="s">
        <v>403</v>
      </c>
      <c r="F19" s="108"/>
      <c r="G19" s="107">
        <v>100</v>
      </c>
      <c r="H19" s="107">
        <v>68</v>
      </c>
      <c r="I19" s="107">
        <v>0</v>
      </c>
      <c r="J19" s="107">
        <v>0</v>
      </c>
      <c r="K19" s="110">
        <f t="shared" si="0"/>
        <v>6.5173116089613042E-2</v>
      </c>
      <c r="L19" s="111">
        <f t="shared" si="1"/>
        <v>0</v>
      </c>
    </row>
    <row r="20" spans="1:12" ht="14.25" customHeight="1">
      <c r="A20" s="106">
        <v>18</v>
      </c>
      <c r="B20" s="107">
        <v>15022</v>
      </c>
      <c r="C20" s="107">
        <v>16368</v>
      </c>
      <c r="D20" s="108">
        <v>1347</v>
      </c>
      <c r="E20" s="109" t="s">
        <v>404</v>
      </c>
      <c r="F20" s="108"/>
      <c r="G20" s="107">
        <v>0</v>
      </c>
      <c r="H20" s="107">
        <v>97</v>
      </c>
      <c r="I20" s="107">
        <v>0</v>
      </c>
      <c r="J20" s="107">
        <v>344</v>
      </c>
      <c r="K20" s="110">
        <f t="shared" si="0"/>
        <v>-7.2011878247958433E-2</v>
      </c>
      <c r="L20" s="111">
        <f t="shared" si="1"/>
        <v>-0.25538233110616182</v>
      </c>
    </row>
    <row r="21" spans="1:12" ht="14.25" customHeight="1">
      <c r="A21" s="106">
        <v>19</v>
      </c>
      <c r="B21" s="107">
        <v>16400</v>
      </c>
      <c r="C21" s="107">
        <v>16953</v>
      </c>
      <c r="D21" s="108">
        <v>554</v>
      </c>
      <c r="E21" s="109" t="s">
        <v>405</v>
      </c>
      <c r="F21" s="108" t="s">
        <v>406</v>
      </c>
      <c r="G21" s="107">
        <v>0</v>
      </c>
      <c r="H21" s="107">
        <v>64</v>
      </c>
      <c r="I21" s="107">
        <v>0</v>
      </c>
      <c r="J21" s="107">
        <v>32</v>
      </c>
      <c r="K21" s="110">
        <f t="shared" si="0"/>
        <v>-0.11552346570397112</v>
      </c>
      <c r="L21" s="111">
        <f t="shared" si="1"/>
        <v>-5.7761732851985562E-2</v>
      </c>
    </row>
    <row r="22" spans="1:12" ht="14.25" customHeight="1">
      <c r="A22" s="106">
        <v>20</v>
      </c>
      <c r="B22" s="107">
        <v>17053</v>
      </c>
      <c r="C22" s="107">
        <v>17311</v>
      </c>
      <c r="D22" s="108">
        <v>259</v>
      </c>
      <c r="E22" s="109" t="s">
        <v>405</v>
      </c>
      <c r="F22" s="108"/>
      <c r="G22" s="107">
        <v>0</v>
      </c>
      <c r="H22" s="107">
        <v>9</v>
      </c>
      <c r="I22" s="107">
        <v>0</v>
      </c>
      <c r="J22" s="107">
        <v>3</v>
      </c>
      <c r="K22" s="110">
        <f t="shared" si="0"/>
        <v>-3.4749034749034749E-2</v>
      </c>
      <c r="L22" s="111">
        <f t="shared" si="1"/>
        <v>-1.1583011583011582E-2</v>
      </c>
    </row>
    <row r="23" spans="1:12" ht="14.25" customHeight="1">
      <c r="A23" s="106">
        <v>21</v>
      </c>
      <c r="B23" s="107">
        <v>17785</v>
      </c>
      <c r="C23" s="107">
        <v>18093</v>
      </c>
      <c r="D23" s="108">
        <v>309</v>
      </c>
      <c r="E23" s="109" t="s">
        <v>407</v>
      </c>
      <c r="F23" s="108"/>
      <c r="G23" s="107">
        <v>0</v>
      </c>
      <c r="H23" s="107">
        <v>59</v>
      </c>
      <c r="I23" s="107">
        <v>0</v>
      </c>
      <c r="J23" s="107">
        <v>0</v>
      </c>
      <c r="K23" s="110">
        <f t="shared" si="0"/>
        <v>-0.19093851132686085</v>
      </c>
      <c r="L23" s="111">
        <f t="shared" si="1"/>
        <v>0</v>
      </c>
    </row>
    <row r="24" spans="1:12" ht="14.25" customHeight="1">
      <c r="A24" s="106">
        <v>22</v>
      </c>
      <c r="B24" s="107">
        <v>18961</v>
      </c>
      <c r="C24" s="107">
        <v>19227</v>
      </c>
      <c r="D24" s="108">
        <v>267</v>
      </c>
      <c r="E24" s="109" t="s">
        <v>408</v>
      </c>
      <c r="F24" s="108"/>
      <c r="G24" s="107">
        <v>0</v>
      </c>
      <c r="H24" s="107">
        <v>17</v>
      </c>
      <c r="I24" s="107">
        <v>0</v>
      </c>
      <c r="J24" s="107">
        <v>0</v>
      </c>
      <c r="K24" s="110">
        <f t="shared" si="0"/>
        <v>-6.3670411985018729E-2</v>
      </c>
      <c r="L24" s="111">
        <f t="shared" si="1"/>
        <v>0</v>
      </c>
    </row>
    <row r="25" spans="1:12" ht="14.25" customHeight="1">
      <c r="A25" s="106">
        <v>23</v>
      </c>
      <c r="B25" s="107">
        <v>19309</v>
      </c>
      <c r="C25" s="107">
        <v>19934</v>
      </c>
      <c r="D25" s="108">
        <v>626</v>
      </c>
      <c r="E25" s="109" t="s">
        <v>409</v>
      </c>
      <c r="F25" s="108"/>
      <c r="G25" s="107">
        <v>0</v>
      </c>
      <c r="H25" s="107">
        <v>128</v>
      </c>
      <c r="I25" s="107">
        <v>0</v>
      </c>
      <c r="J25" s="107">
        <v>44</v>
      </c>
      <c r="K25" s="110">
        <f t="shared" si="0"/>
        <v>-0.20447284345047922</v>
      </c>
      <c r="L25" s="111">
        <f t="shared" si="1"/>
        <v>-7.0287539936102233E-2</v>
      </c>
    </row>
    <row r="26" spans="1:12" ht="14.25" customHeight="1">
      <c r="A26" s="106">
        <v>24</v>
      </c>
      <c r="B26" s="107">
        <v>20417</v>
      </c>
      <c r="C26" s="107">
        <v>20667</v>
      </c>
      <c r="D26" s="108">
        <v>251</v>
      </c>
      <c r="E26" s="109" t="s">
        <v>410</v>
      </c>
      <c r="F26" s="108"/>
      <c r="G26" s="107">
        <v>0</v>
      </c>
      <c r="H26" s="107">
        <v>1</v>
      </c>
      <c r="I26" s="107">
        <v>0</v>
      </c>
      <c r="J26" s="107">
        <v>0</v>
      </c>
      <c r="K26" s="110">
        <f t="shared" si="0"/>
        <v>-3.9840637450199202E-3</v>
      </c>
      <c r="L26" s="111">
        <f t="shared" si="1"/>
        <v>0</v>
      </c>
    </row>
    <row r="27" spans="1:12" ht="14.25" customHeight="1">
      <c r="A27" s="106">
        <v>25</v>
      </c>
      <c r="B27" s="107">
        <v>20688</v>
      </c>
      <c r="C27" s="107">
        <v>21123</v>
      </c>
      <c r="D27" s="108">
        <v>436</v>
      </c>
      <c r="E27" s="109" t="s">
        <v>411</v>
      </c>
      <c r="F27" s="108"/>
      <c r="G27" s="107">
        <v>0</v>
      </c>
      <c r="H27" s="107">
        <v>77</v>
      </c>
      <c r="I27" s="107">
        <v>0</v>
      </c>
      <c r="J27" s="107">
        <v>106</v>
      </c>
      <c r="K27" s="110">
        <f t="shared" si="0"/>
        <v>-0.17660550458715596</v>
      </c>
      <c r="L27" s="111">
        <f t="shared" si="1"/>
        <v>-0.24311926605504589</v>
      </c>
    </row>
    <row r="28" spans="1:12" ht="14.25" customHeight="1">
      <c r="A28" s="106">
        <v>26</v>
      </c>
      <c r="B28" s="107">
        <v>21298</v>
      </c>
      <c r="C28" s="107">
        <v>21645</v>
      </c>
      <c r="D28" s="108">
        <v>348</v>
      </c>
      <c r="E28" s="109" t="s">
        <v>412</v>
      </c>
      <c r="F28" s="108"/>
      <c r="G28" s="107">
        <v>0</v>
      </c>
      <c r="H28" s="107">
        <v>98</v>
      </c>
      <c r="I28" s="107">
        <v>0</v>
      </c>
      <c r="J28" s="107">
        <v>0</v>
      </c>
      <c r="K28" s="110">
        <f t="shared" si="0"/>
        <v>-0.28160919540229884</v>
      </c>
      <c r="L28" s="111">
        <f t="shared" si="1"/>
        <v>0</v>
      </c>
    </row>
    <row r="29" spans="1:12" ht="14.25" customHeight="1">
      <c r="A29" s="112">
        <v>27</v>
      </c>
      <c r="B29" s="113">
        <v>22499</v>
      </c>
      <c r="C29" s="113">
        <v>24029</v>
      </c>
      <c r="D29" s="114">
        <v>1531</v>
      </c>
      <c r="E29" s="115" t="s">
        <v>413</v>
      </c>
      <c r="F29" s="114" t="s">
        <v>414</v>
      </c>
      <c r="G29" s="113">
        <v>672</v>
      </c>
      <c r="H29" s="113">
        <v>21</v>
      </c>
      <c r="I29" s="113">
        <v>0</v>
      </c>
      <c r="J29" s="113">
        <v>0</v>
      </c>
      <c r="K29" s="116">
        <f t="shared" si="0"/>
        <v>0.42521227955584584</v>
      </c>
      <c r="L29" s="117">
        <f t="shared" si="1"/>
        <v>0</v>
      </c>
    </row>
    <row r="30" spans="1:12" ht="14.25" customHeight="1">
      <c r="A30" s="106">
        <v>28</v>
      </c>
      <c r="B30" s="107">
        <v>24134</v>
      </c>
      <c r="C30" s="107">
        <v>24839</v>
      </c>
      <c r="D30" s="108">
        <v>706</v>
      </c>
      <c r="E30" s="109" t="s">
        <v>413</v>
      </c>
      <c r="F30" s="108"/>
      <c r="G30" s="107">
        <v>100</v>
      </c>
      <c r="H30" s="107">
        <v>77</v>
      </c>
      <c r="I30" s="107">
        <v>0</v>
      </c>
      <c r="J30" s="107">
        <v>169</v>
      </c>
      <c r="K30" s="110">
        <f t="shared" si="0"/>
        <v>3.2577903682719553E-2</v>
      </c>
      <c r="L30" s="111">
        <f t="shared" si="1"/>
        <v>-0.23937677053824363</v>
      </c>
    </row>
    <row r="31" spans="1:12" ht="14.25" customHeight="1">
      <c r="A31" s="106">
        <v>29</v>
      </c>
      <c r="B31" s="107">
        <v>26201</v>
      </c>
      <c r="C31" s="107">
        <v>26884</v>
      </c>
      <c r="D31" s="108">
        <v>684</v>
      </c>
      <c r="E31" s="109" t="s">
        <v>415</v>
      </c>
      <c r="F31" s="108" t="s">
        <v>416</v>
      </c>
      <c r="G31" s="107">
        <v>60</v>
      </c>
      <c r="H31" s="107">
        <v>68</v>
      </c>
      <c r="I31" s="107">
        <v>0</v>
      </c>
      <c r="J31" s="107">
        <v>8</v>
      </c>
      <c r="K31" s="110">
        <f t="shared" si="0"/>
        <v>-1.1695906432748537E-2</v>
      </c>
      <c r="L31" s="111">
        <f t="shared" si="1"/>
        <v>-1.1695906432748537E-2</v>
      </c>
    </row>
    <row r="32" spans="1:12" ht="14.25" customHeight="1">
      <c r="A32" s="106">
        <v>30</v>
      </c>
      <c r="B32" s="107">
        <v>27633</v>
      </c>
      <c r="C32" s="107">
        <v>27982</v>
      </c>
      <c r="D32" s="108">
        <v>350</v>
      </c>
      <c r="E32" s="109" t="s">
        <v>417</v>
      </c>
      <c r="F32" s="108" t="s">
        <v>418</v>
      </c>
      <c r="G32" s="107">
        <v>78</v>
      </c>
      <c r="H32" s="107">
        <v>0</v>
      </c>
      <c r="I32" s="107">
        <v>78</v>
      </c>
      <c r="J32" s="107">
        <v>0</v>
      </c>
      <c r="K32" s="110">
        <f t="shared" si="0"/>
        <v>0.22285714285714286</v>
      </c>
      <c r="L32" s="111">
        <f t="shared" si="1"/>
        <v>0.22285714285714286</v>
      </c>
    </row>
    <row r="33" spans="1:12" ht="14.25" customHeight="1">
      <c r="A33" s="106">
        <v>31</v>
      </c>
      <c r="B33" s="107">
        <v>28125</v>
      </c>
      <c r="C33" s="107">
        <v>28455</v>
      </c>
      <c r="D33" s="108">
        <v>331</v>
      </c>
      <c r="E33" s="109" t="s">
        <v>419</v>
      </c>
      <c r="F33" s="108" t="s">
        <v>420</v>
      </c>
      <c r="G33" s="107">
        <v>81</v>
      </c>
      <c r="H33" s="107">
        <v>0</v>
      </c>
      <c r="I33" s="107">
        <v>163</v>
      </c>
      <c r="J33" s="107">
        <v>0</v>
      </c>
      <c r="K33" s="110">
        <f t="shared" si="0"/>
        <v>0.24471299093655588</v>
      </c>
      <c r="L33" s="111">
        <f t="shared" si="1"/>
        <v>0.49244712990936557</v>
      </c>
    </row>
    <row r="34" spans="1:12" ht="14.25" customHeight="1">
      <c r="A34" s="118">
        <v>32</v>
      </c>
      <c r="B34" s="119">
        <v>28707</v>
      </c>
      <c r="C34" s="119">
        <v>29058</v>
      </c>
      <c r="D34" s="120">
        <v>352</v>
      </c>
      <c r="E34" s="121" t="s">
        <v>293</v>
      </c>
      <c r="F34" s="120" t="s">
        <v>420</v>
      </c>
      <c r="G34" s="119">
        <v>102</v>
      </c>
      <c r="H34" s="119">
        <v>0</v>
      </c>
      <c r="I34" s="119">
        <v>116</v>
      </c>
      <c r="J34" s="119">
        <v>0</v>
      </c>
      <c r="K34" s="122">
        <f t="shared" si="0"/>
        <v>0.28977272727272729</v>
      </c>
      <c r="L34" s="123">
        <f t="shared" si="1"/>
        <v>0.32954545454545453</v>
      </c>
    </row>
    <row r="35" spans="1:12" ht="14.25" customHeight="1"/>
    <row r="36" spans="1:12" ht="14.25" customHeight="1">
      <c r="A36" s="218" t="s">
        <v>1218</v>
      </c>
      <c r="B36" s="171"/>
      <c r="C36" s="171"/>
      <c r="D36" s="171"/>
      <c r="E36" s="171"/>
      <c r="F36" s="171"/>
      <c r="G36" s="171"/>
      <c r="H36" s="171"/>
      <c r="I36" s="171"/>
      <c r="J36" s="171"/>
      <c r="K36" s="171"/>
      <c r="L36" s="171"/>
    </row>
    <row r="37" spans="1:12" ht="14.25" customHeight="1">
      <c r="A37" s="171"/>
      <c r="B37" s="171"/>
      <c r="C37" s="171"/>
      <c r="D37" s="171"/>
      <c r="E37" s="171"/>
      <c r="F37" s="171"/>
      <c r="G37" s="171"/>
      <c r="H37" s="171"/>
      <c r="I37" s="171"/>
      <c r="J37" s="171"/>
      <c r="K37" s="171"/>
      <c r="L37" s="171"/>
    </row>
    <row r="38" spans="1:12" ht="14.25" customHeight="1">
      <c r="A38" s="171"/>
      <c r="B38" s="171"/>
      <c r="C38" s="171"/>
      <c r="D38" s="171"/>
      <c r="E38" s="171"/>
      <c r="F38" s="171"/>
      <c r="G38" s="171"/>
      <c r="H38" s="171"/>
      <c r="I38" s="171"/>
      <c r="J38" s="171"/>
      <c r="K38" s="171"/>
      <c r="L38" s="171"/>
    </row>
    <row r="39" spans="1:12" ht="14.25" customHeight="1">
      <c r="A39" s="171"/>
      <c r="B39" s="171"/>
      <c r="C39" s="171"/>
      <c r="D39" s="171"/>
      <c r="E39" s="171"/>
      <c r="F39" s="171"/>
      <c r="G39" s="171"/>
      <c r="H39" s="171"/>
      <c r="I39" s="171"/>
      <c r="J39" s="171"/>
      <c r="K39" s="171"/>
      <c r="L39" s="171"/>
    </row>
    <row r="40" spans="1:12" ht="14.25" customHeight="1">
      <c r="A40" s="171"/>
      <c r="B40" s="171"/>
      <c r="C40" s="171"/>
      <c r="D40" s="171"/>
      <c r="E40" s="171"/>
      <c r="F40" s="171"/>
      <c r="G40" s="171"/>
      <c r="H40" s="171"/>
      <c r="I40" s="171"/>
      <c r="J40" s="171"/>
      <c r="K40" s="171"/>
      <c r="L40" s="171"/>
    </row>
    <row r="41" spans="1:12" ht="14.25" customHeight="1">
      <c r="A41" s="171"/>
      <c r="B41" s="171"/>
      <c r="C41" s="171"/>
      <c r="D41" s="171"/>
      <c r="E41" s="171"/>
      <c r="F41" s="171"/>
      <c r="G41" s="171"/>
      <c r="H41" s="171"/>
      <c r="I41" s="171"/>
      <c r="J41" s="171"/>
      <c r="K41" s="171"/>
      <c r="L41" s="171"/>
    </row>
    <row r="42" spans="1:12" ht="14.25" customHeight="1">
      <c r="A42" s="171"/>
      <c r="B42" s="171"/>
      <c r="C42" s="171"/>
      <c r="D42" s="171"/>
      <c r="E42" s="171"/>
      <c r="F42" s="171"/>
      <c r="G42" s="171"/>
      <c r="H42" s="171"/>
      <c r="I42" s="171"/>
      <c r="J42" s="171"/>
      <c r="K42" s="171"/>
      <c r="L42" s="171"/>
    </row>
    <row r="43" spans="1:12" ht="14.25" customHeight="1">
      <c r="A43" s="22"/>
      <c r="B43" s="22"/>
      <c r="C43" s="22"/>
      <c r="D43" s="22"/>
      <c r="E43" s="22"/>
      <c r="F43" s="22"/>
      <c r="G43" s="22"/>
      <c r="H43" s="22"/>
      <c r="I43" s="22"/>
      <c r="J43" s="22"/>
      <c r="K43" s="22"/>
      <c r="L43" s="22"/>
    </row>
    <row r="44" spans="1:12" ht="14.25" customHeight="1"/>
    <row r="45" spans="1:12" ht="14.25" customHeight="1"/>
    <row r="46" spans="1:12" ht="14.25" customHeight="1"/>
    <row r="47" spans="1:12" ht="14.25" customHeight="1"/>
    <row r="48" spans="1: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A36:L42"/>
  </mergeCell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A1000"/>
  <sheetViews>
    <sheetView topLeftCell="A241" workbookViewId="0">
      <selection activeCell="A266" sqref="A266"/>
    </sheetView>
  </sheetViews>
  <sheetFormatPr defaultColWidth="12.6640625" defaultRowHeight="15" customHeight="1"/>
  <cols>
    <col min="1" max="12" width="8.6640625" customWidth="1"/>
    <col min="13" max="13" width="12.77734375" customWidth="1"/>
    <col min="14" max="14" width="13.21875" customWidth="1"/>
    <col min="15" max="15" width="10.77734375" customWidth="1"/>
    <col min="16" max="16" width="13.33203125" customWidth="1"/>
    <col min="17" max="17" width="8.44140625" customWidth="1"/>
    <col min="18" max="18" width="10.6640625" customWidth="1"/>
    <col min="19" max="19" width="8.6640625" customWidth="1"/>
    <col min="20" max="20" width="11.21875" customWidth="1"/>
    <col min="21" max="21" width="8.6640625" customWidth="1"/>
    <col min="22" max="22" width="9.21875" customWidth="1"/>
    <col min="23" max="23" width="10.44140625" customWidth="1"/>
    <col min="24" max="24" width="8.6640625" customWidth="1"/>
    <col min="25" max="25" width="11" customWidth="1"/>
    <col min="26" max="26" width="10.88671875" customWidth="1"/>
    <col min="27" max="27" width="10.44140625" customWidth="1"/>
  </cols>
  <sheetData>
    <row r="1" spans="1:27" ht="14.25" customHeight="1">
      <c r="A1" s="201" t="s">
        <v>421</v>
      </c>
      <c r="B1" s="175" t="s">
        <v>422</v>
      </c>
      <c r="C1" s="177" t="s">
        <v>423</v>
      </c>
      <c r="D1" s="177" t="s">
        <v>424</v>
      </c>
      <c r="E1" s="174" t="s">
        <v>425</v>
      </c>
      <c r="F1" s="174" t="s">
        <v>426</v>
      </c>
      <c r="G1" s="178" t="s">
        <v>424</v>
      </c>
      <c r="H1" s="174" t="s">
        <v>427</v>
      </c>
      <c r="I1" s="174" t="s">
        <v>428</v>
      </c>
      <c r="J1" s="178" t="s">
        <v>429</v>
      </c>
      <c r="K1" s="197" t="s">
        <v>430</v>
      </c>
      <c r="L1" s="185"/>
      <c r="M1" s="185"/>
      <c r="N1" s="185"/>
      <c r="O1" s="185"/>
      <c r="P1" s="185"/>
      <c r="Q1" s="185"/>
      <c r="R1" s="185"/>
      <c r="S1" s="185"/>
      <c r="T1" s="185"/>
      <c r="U1" s="185"/>
      <c r="V1" s="185"/>
      <c r="W1" s="185"/>
      <c r="X1" s="185"/>
      <c r="Y1" s="198" t="s">
        <v>431</v>
      </c>
      <c r="Z1" s="174" t="s">
        <v>432</v>
      </c>
      <c r="AA1" s="178" t="s">
        <v>433</v>
      </c>
    </row>
    <row r="2" spans="1:27" ht="14.25" customHeight="1">
      <c r="A2" s="171"/>
      <c r="B2" s="176"/>
      <c r="C2" s="171"/>
      <c r="D2" s="171"/>
      <c r="E2" s="171"/>
      <c r="F2" s="171"/>
      <c r="G2" s="179"/>
      <c r="H2" s="171"/>
      <c r="I2" s="173"/>
      <c r="J2" s="179"/>
      <c r="K2" s="2" t="s">
        <v>434</v>
      </c>
      <c r="L2" s="21" t="s">
        <v>435</v>
      </c>
      <c r="M2" s="21" t="s">
        <v>436</v>
      </c>
      <c r="N2" s="21" t="s">
        <v>437</v>
      </c>
      <c r="O2" s="87" t="s">
        <v>438</v>
      </c>
      <c r="P2" s="21" t="s">
        <v>439</v>
      </c>
      <c r="Q2" s="21" t="s">
        <v>440</v>
      </c>
      <c r="R2" s="21" t="s">
        <v>441</v>
      </c>
      <c r="S2" s="21" t="s">
        <v>442</v>
      </c>
      <c r="T2" s="21" t="s">
        <v>443</v>
      </c>
      <c r="U2" s="21" t="s">
        <v>444</v>
      </c>
      <c r="V2" s="21" t="s">
        <v>445</v>
      </c>
      <c r="W2" s="21" t="s">
        <v>446</v>
      </c>
      <c r="X2" s="21" t="s">
        <v>447</v>
      </c>
      <c r="Y2" s="176"/>
      <c r="Z2" s="171"/>
      <c r="AA2" s="179"/>
    </row>
    <row r="3" spans="1:27" ht="14.25" customHeight="1">
      <c r="A3" s="21" t="s">
        <v>267</v>
      </c>
      <c r="B3" s="26">
        <v>405</v>
      </c>
      <c r="C3" s="27" t="s">
        <v>262</v>
      </c>
      <c r="D3" s="27" t="s">
        <v>261</v>
      </c>
      <c r="E3" s="27" t="s">
        <v>448</v>
      </c>
      <c r="F3" s="27" t="s">
        <v>449</v>
      </c>
      <c r="G3" s="124" t="s">
        <v>450</v>
      </c>
      <c r="H3" s="27" t="s">
        <v>451</v>
      </c>
      <c r="I3" s="125" t="s">
        <v>451</v>
      </c>
      <c r="J3" s="124" t="b">
        <v>1</v>
      </c>
      <c r="K3" s="126">
        <v>6.2617887105729999E-4</v>
      </c>
      <c r="L3" s="85">
        <v>1.4794030115699999E-5</v>
      </c>
      <c r="M3" s="85">
        <v>0.99707287217764995</v>
      </c>
      <c r="N3" s="85">
        <v>9.4729897024800001E-5</v>
      </c>
      <c r="O3" s="76">
        <v>1.0432226094790999E-3</v>
      </c>
      <c r="P3" s="85">
        <v>0.99766343141785996</v>
      </c>
      <c r="Q3" s="85">
        <v>0</v>
      </c>
      <c r="R3" s="85">
        <v>0</v>
      </c>
      <c r="S3" s="85">
        <v>0</v>
      </c>
      <c r="T3" s="85">
        <v>7.6105238323500004E-5</v>
      </c>
      <c r="U3" s="85">
        <v>0</v>
      </c>
      <c r="V3" s="85">
        <v>0</v>
      </c>
      <c r="W3" s="85">
        <v>0</v>
      </c>
      <c r="X3" s="85">
        <v>1.1567379988430001E-4</v>
      </c>
      <c r="Y3" s="26">
        <v>1</v>
      </c>
      <c r="Z3" s="27">
        <v>0</v>
      </c>
      <c r="AA3" s="124">
        <v>2</v>
      </c>
    </row>
    <row r="4" spans="1:27" ht="14.25" customHeight="1">
      <c r="A4" s="39"/>
      <c r="B4" s="30">
        <v>670</v>
      </c>
      <c r="C4" s="20" t="s">
        <v>452</v>
      </c>
      <c r="D4" s="20" t="s">
        <v>261</v>
      </c>
      <c r="E4" s="20" t="s">
        <v>453</v>
      </c>
      <c r="F4" s="20" t="s">
        <v>454</v>
      </c>
      <c r="G4" s="29" t="s">
        <v>455</v>
      </c>
      <c r="H4" s="20" t="s">
        <v>456</v>
      </c>
      <c r="I4" s="125" t="s">
        <v>456</v>
      </c>
      <c r="J4" s="29" t="b">
        <v>1</v>
      </c>
      <c r="K4" s="102">
        <v>1.6965658114799999E-5</v>
      </c>
      <c r="L4" s="56">
        <v>2.14386686586E-5</v>
      </c>
      <c r="M4" s="56">
        <v>0.99516645582176599</v>
      </c>
      <c r="N4" s="56">
        <v>0.60608159627384495</v>
      </c>
      <c r="O4" s="57">
        <v>0.99603677253405598</v>
      </c>
      <c r="P4" s="56">
        <v>0.99733051274302398</v>
      </c>
      <c r="Q4" s="56">
        <v>6.8541661906800007E-5</v>
      </c>
      <c r="R4" s="56">
        <v>0</v>
      </c>
      <c r="S4" s="56">
        <v>0</v>
      </c>
      <c r="T4" s="56">
        <v>0</v>
      </c>
      <c r="U4" s="56">
        <v>0</v>
      </c>
      <c r="V4" s="56">
        <v>0</v>
      </c>
      <c r="W4" s="56">
        <v>0</v>
      </c>
      <c r="X4" s="56">
        <v>0</v>
      </c>
      <c r="Y4" s="30">
        <v>3</v>
      </c>
      <c r="Z4" s="20">
        <v>0</v>
      </c>
      <c r="AA4" s="29">
        <v>4</v>
      </c>
    </row>
    <row r="5" spans="1:27" ht="14.25" customHeight="1">
      <c r="A5" s="127"/>
      <c r="B5" s="35">
        <v>733</v>
      </c>
      <c r="C5" s="33" t="s">
        <v>452</v>
      </c>
      <c r="D5" s="33" t="s">
        <v>263</v>
      </c>
      <c r="E5" s="33" t="s">
        <v>457</v>
      </c>
      <c r="F5" s="33" t="s">
        <v>458</v>
      </c>
      <c r="G5" s="32" t="s">
        <v>459</v>
      </c>
      <c r="H5" s="33" t="s">
        <v>460</v>
      </c>
      <c r="I5" s="128" t="s">
        <v>460</v>
      </c>
      <c r="J5" s="32" t="b">
        <v>0</v>
      </c>
      <c r="K5" s="103">
        <v>1.122851907742E-4</v>
      </c>
      <c r="L5" s="95">
        <v>2.013212940216E-4</v>
      </c>
      <c r="M5" s="95">
        <v>1.669929451903E-4</v>
      </c>
      <c r="N5" s="95">
        <v>6.1755022149900004E-5</v>
      </c>
      <c r="O5" s="77">
        <v>1.472143557241E-4</v>
      </c>
      <c r="P5" s="95">
        <v>5.0294221193899998E-5</v>
      </c>
      <c r="Q5" s="95">
        <v>2.31401133865E-5</v>
      </c>
      <c r="R5" s="95">
        <v>1.712306213037E-4</v>
      </c>
      <c r="S5" s="95">
        <v>0</v>
      </c>
      <c r="T5" s="95">
        <v>0.993778129783491</v>
      </c>
      <c r="U5" s="95">
        <v>2.177321024211E-4</v>
      </c>
      <c r="V5" s="95">
        <v>0</v>
      </c>
      <c r="W5" s="95">
        <v>4.6860356138699998E-4</v>
      </c>
      <c r="X5" s="95">
        <v>2.8843380444180001E-4</v>
      </c>
      <c r="Y5" s="35">
        <v>0</v>
      </c>
      <c r="Z5" s="33">
        <v>1</v>
      </c>
      <c r="AA5" s="32">
        <v>0</v>
      </c>
    </row>
    <row r="6" spans="1:27" ht="14.25" customHeight="1">
      <c r="A6" s="21" t="s">
        <v>268</v>
      </c>
      <c r="B6" s="26">
        <v>897</v>
      </c>
      <c r="C6" s="27" t="s">
        <v>263</v>
      </c>
      <c r="D6" s="27" t="s">
        <v>262</v>
      </c>
      <c r="E6" s="27" t="s">
        <v>461</v>
      </c>
      <c r="F6" s="27" t="s">
        <v>457</v>
      </c>
      <c r="G6" s="124" t="s">
        <v>462</v>
      </c>
      <c r="H6" s="27" t="s">
        <v>463</v>
      </c>
      <c r="I6" s="125" t="s">
        <v>463</v>
      </c>
      <c r="J6" s="124" t="b">
        <v>1</v>
      </c>
      <c r="K6" s="126">
        <v>5.1037898190999996E-6</v>
      </c>
      <c r="L6" s="85">
        <v>1.18625953344E-5</v>
      </c>
      <c r="M6" s="85">
        <v>5.3896180557300001E-5</v>
      </c>
      <c r="N6" s="85">
        <v>6.6365746878000001E-6</v>
      </c>
      <c r="O6" s="76">
        <v>0.99571692862584105</v>
      </c>
      <c r="P6" s="85">
        <v>2.5124365609759998E-4</v>
      </c>
      <c r="Q6" s="85">
        <v>0</v>
      </c>
      <c r="R6" s="85">
        <v>0</v>
      </c>
      <c r="S6" s="85">
        <v>0</v>
      </c>
      <c r="T6" s="85">
        <v>0</v>
      </c>
      <c r="U6" s="85">
        <v>0</v>
      </c>
      <c r="V6" s="85">
        <v>0</v>
      </c>
      <c r="W6" s="85">
        <v>0</v>
      </c>
      <c r="X6" s="85">
        <v>0</v>
      </c>
      <c r="Y6" s="26">
        <v>1</v>
      </c>
      <c r="Z6" s="27">
        <v>0</v>
      </c>
      <c r="AA6" s="124">
        <v>1</v>
      </c>
    </row>
    <row r="7" spans="1:27" ht="14.25" customHeight="1">
      <c r="A7" s="39"/>
      <c r="B7" s="30">
        <v>913</v>
      </c>
      <c r="C7" s="20" t="s">
        <v>263</v>
      </c>
      <c r="D7" s="20" t="s">
        <v>452</v>
      </c>
      <c r="E7" s="20" t="s">
        <v>464</v>
      </c>
      <c r="F7" s="20" t="s">
        <v>465</v>
      </c>
      <c r="G7" s="29" t="s">
        <v>466</v>
      </c>
      <c r="H7" s="20" t="s">
        <v>467</v>
      </c>
      <c r="I7" s="125" t="s">
        <v>467</v>
      </c>
      <c r="J7" s="29" t="b">
        <v>0</v>
      </c>
      <c r="K7" s="102">
        <v>0.99814293252197905</v>
      </c>
      <c r="L7" s="56">
        <v>7.3885717456719999E-4</v>
      </c>
      <c r="M7" s="56">
        <v>7.3401276566250001E-4</v>
      </c>
      <c r="N7" s="56">
        <v>1.428215835125E-3</v>
      </c>
      <c r="O7" s="57">
        <v>4.1807962094109999E-4</v>
      </c>
      <c r="P7" s="56">
        <v>1.3317921399135001E-3</v>
      </c>
      <c r="Q7" s="56">
        <v>2.5939135670943001E-3</v>
      </c>
      <c r="R7" s="56">
        <v>1.8710553015429E-3</v>
      </c>
      <c r="S7" s="56">
        <v>1.9277597402596999E-3</v>
      </c>
      <c r="T7" s="56">
        <v>9.2753799484529998E-4</v>
      </c>
      <c r="U7" s="56">
        <v>2.1780323655609E-3</v>
      </c>
      <c r="V7" s="56">
        <v>9.1887634549749997E-4</v>
      </c>
      <c r="W7" s="56">
        <v>7.4927414067620004E-4</v>
      </c>
      <c r="X7" s="56">
        <v>7.5036075036070005E-4</v>
      </c>
      <c r="Y7" s="30">
        <v>1</v>
      </c>
      <c r="Z7" s="20">
        <v>0</v>
      </c>
      <c r="AA7" s="29">
        <v>0</v>
      </c>
    </row>
    <row r="8" spans="1:27" ht="14.25" customHeight="1">
      <c r="A8" s="39"/>
      <c r="B8" s="30">
        <v>1059</v>
      </c>
      <c r="C8" s="20" t="s">
        <v>263</v>
      </c>
      <c r="D8" s="20" t="s">
        <v>452</v>
      </c>
      <c r="E8" s="20" t="s">
        <v>468</v>
      </c>
      <c r="F8" s="20" t="s">
        <v>469</v>
      </c>
      <c r="G8" s="29" t="s">
        <v>470</v>
      </c>
      <c r="H8" s="20" t="s">
        <v>471</v>
      </c>
      <c r="I8" s="125" t="s">
        <v>471</v>
      </c>
      <c r="J8" s="29" t="b">
        <v>1</v>
      </c>
      <c r="K8" s="102">
        <v>2.0880148458366E-3</v>
      </c>
      <c r="L8" s="56">
        <v>1.2896782911851999E-3</v>
      </c>
      <c r="M8" s="56">
        <v>7.7415054921110003E-4</v>
      </c>
      <c r="N8" s="56">
        <v>6.0863341633860001E-4</v>
      </c>
      <c r="O8" s="57">
        <v>3.8961747356440002E-4</v>
      </c>
      <c r="P8" s="56">
        <v>4.5373194524960002E-4</v>
      </c>
      <c r="Q8" s="56">
        <v>0.992241219104255</v>
      </c>
      <c r="R8" s="56">
        <v>0.99874633798727797</v>
      </c>
      <c r="S8" s="56">
        <v>3.1281533804237999E-3</v>
      </c>
      <c r="T8" s="56">
        <v>2.8763183125598999E-3</v>
      </c>
      <c r="U8" s="56">
        <v>0.99640154406472803</v>
      </c>
      <c r="V8" s="56">
        <v>0</v>
      </c>
      <c r="W8" s="56">
        <v>4.1183077499063999E-3</v>
      </c>
      <c r="X8" s="56">
        <v>1.5009814109225E-3</v>
      </c>
      <c r="Y8" s="30">
        <v>0</v>
      </c>
      <c r="Z8" s="20">
        <v>3</v>
      </c>
      <c r="AA8" s="29">
        <v>0</v>
      </c>
    </row>
    <row r="9" spans="1:27" ht="14.25" customHeight="1">
      <c r="A9" s="39"/>
      <c r="B9" s="30">
        <v>1498</v>
      </c>
      <c r="C9" s="20" t="s">
        <v>263</v>
      </c>
      <c r="D9" s="20" t="s">
        <v>452</v>
      </c>
      <c r="E9" s="20" t="s">
        <v>472</v>
      </c>
      <c r="F9" s="20" t="s">
        <v>473</v>
      </c>
      <c r="G9" s="29" t="s">
        <v>474</v>
      </c>
      <c r="H9" s="20" t="s">
        <v>475</v>
      </c>
      <c r="I9" s="125" t="s">
        <v>475</v>
      </c>
      <c r="J9" s="29" t="b">
        <v>0</v>
      </c>
      <c r="K9" s="102">
        <v>1.008992862658E-4</v>
      </c>
      <c r="L9" s="56">
        <v>3.004316208431E-4</v>
      </c>
      <c r="M9" s="56">
        <v>2.6227349983409999E-4</v>
      </c>
      <c r="N9" s="56">
        <v>2.8912063717650001E-4</v>
      </c>
      <c r="O9" s="57">
        <v>1.6461550521279999E-4</v>
      </c>
      <c r="P9" s="56">
        <v>1.0105348255559999E-4</v>
      </c>
      <c r="Q9" s="56">
        <v>9.0445269016690001E-4</v>
      </c>
      <c r="R9" s="56">
        <v>1.1957113818430001E-4</v>
      </c>
      <c r="S9" s="56">
        <v>0.99219792629093495</v>
      </c>
      <c r="T9" s="56">
        <v>6.90448791714E-5</v>
      </c>
      <c r="U9" s="56">
        <v>2.1922613175399999E-5</v>
      </c>
      <c r="V9" s="56">
        <v>0</v>
      </c>
      <c r="W9" s="56">
        <v>8.4586466165409999E-4</v>
      </c>
      <c r="X9" s="56">
        <v>5.8387341624299997E-5</v>
      </c>
      <c r="Y9" s="30">
        <v>0</v>
      </c>
      <c r="Z9" s="20">
        <v>1</v>
      </c>
      <c r="AA9" s="29">
        <v>0</v>
      </c>
    </row>
    <row r="10" spans="1:27" ht="14.25" customHeight="1">
      <c r="A10" s="39"/>
      <c r="B10" s="30">
        <v>1807</v>
      </c>
      <c r="C10" s="20" t="s">
        <v>262</v>
      </c>
      <c r="D10" s="20" t="s">
        <v>261</v>
      </c>
      <c r="E10" s="20" t="s">
        <v>476</v>
      </c>
      <c r="F10" s="20" t="s">
        <v>477</v>
      </c>
      <c r="G10" s="29" t="s">
        <v>478</v>
      </c>
      <c r="H10" s="20" t="s">
        <v>479</v>
      </c>
      <c r="I10" s="125" t="s">
        <v>479</v>
      </c>
      <c r="J10" s="29" t="b">
        <v>0</v>
      </c>
      <c r="K10" s="102">
        <v>3.3175649753599997E-5</v>
      </c>
      <c r="L10" s="56">
        <v>2.1248271061699999E-5</v>
      </c>
      <c r="M10" s="56">
        <v>1.2722905300800001E-5</v>
      </c>
      <c r="N10" s="56">
        <v>2.0581497970500001E-5</v>
      </c>
      <c r="O10" s="57">
        <v>1.92489076244E-5</v>
      </c>
      <c r="P10" s="56">
        <v>0</v>
      </c>
      <c r="Q10" s="56">
        <v>1.1509069146479999E-4</v>
      </c>
      <c r="R10" s="56">
        <v>0</v>
      </c>
      <c r="S10" s="56">
        <v>0.992263706693575</v>
      </c>
      <c r="T10" s="56">
        <v>0</v>
      </c>
      <c r="U10" s="56">
        <v>0</v>
      </c>
      <c r="V10" s="56">
        <v>0</v>
      </c>
      <c r="W10" s="56">
        <v>0</v>
      </c>
      <c r="X10" s="56">
        <v>0</v>
      </c>
      <c r="Y10" s="30">
        <v>0</v>
      </c>
      <c r="Z10" s="20">
        <v>1</v>
      </c>
      <c r="AA10" s="29">
        <v>0</v>
      </c>
    </row>
    <row r="11" spans="1:27" ht="14.25" customHeight="1">
      <c r="A11" s="39"/>
      <c r="B11" s="30">
        <v>2334</v>
      </c>
      <c r="C11" s="20" t="s">
        <v>263</v>
      </c>
      <c r="D11" s="20" t="s">
        <v>452</v>
      </c>
      <c r="E11" s="20" t="s">
        <v>461</v>
      </c>
      <c r="F11" s="20" t="s">
        <v>480</v>
      </c>
      <c r="G11" s="29" t="s">
        <v>481</v>
      </c>
      <c r="H11" s="20" t="s">
        <v>482</v>
      </c>
      <c r="I11" s="125" t="s">
        <v>482</v>
      </c>
      <c r="J11" s="29" t="b">
        <v>1</v>
      </c>
      <c r="K11" s="102">
        <v>4.3005925583276001E-3</v>
      </c>
      <c r="L11" s="56">
        <v>1.3637114402815999E-3</v>
      </c>
      <c r="M11" s="56">
        <v>2.9253192312652999E-3</v>
      </c>
      <c r="N11" s="56">
        <v>9.8920443765720002E-4</v>
      </c>
      <c r="O11" s="57">
        <v>1.2554127604015E-3</v>
      </c>
      <c r="P11" s="56">
        <v>0.99723937158058495</v>
      </c>
      <c r="Q11" s="56">
        <v>9.5803346107109998E-4</v>
      </c>
      <c r="R11" s="56">
        <v>1.4074595355382999E-3</v>
      </c>
      <c r="S11" s="56">
        <v>6.1037639877920002E-4</v>
      </c>
      <c r="T11" s="56">
        <v>2.3259728534484E-3</v>
      </c>
      <c r="U11" s="56">
        <v>8.3191032882350005E-4</v>
      </c>
      <c r="V11" s="56">
        <v>5.4506780111671996E-3</v>
      </c>
      <c r="W11" s="56">
        <v>2.6325686348251001E-3</v>
      </c>
      <c r="X11" s="56">
        <v>9.3126127699200004E-4</v>
      </c>
      <c r="Y11" s="30">
        <v>0</v>
      </c>
      <c r="Z11" s="20">
        <v>0</v>
      </c>
      <c r="AA11" s="29">
        <v>1</v>
      </c>
    </row>
    <row r="12" spans="1:27" ht="14.25" customHeight="1">
      <c r="A12" s="39"/>
      <c r="B12" s="30">
        <v>2395</v>
      </c>
      <c r="C12" s="20" t="s">
        <v>263</v>
      </c>
      <c r="D12" s="20" t="s">
        <v>452</v>
      </c>
      <c r="E12" s="20" t="s">
        <v>483</v>
      </c>
      <c r="F12" s="20" t="s">
        <v>480</v>
      </c>
      <c r="G12" s="29" t="s">
        <v>484</v>
      </c>
      <c r="H12" s="20" t="s">
        <v>485</v>
      </c>
      <c r="I12" s="125" t="s">
        <v>485</v>
      </c>
      <c r="J12" s="29" t="b">
        <v>0</v>
      </c>
      <c r="K12" s="102">
        <v>1.1398192523503E-3</v>
      </c>
      <c r="L12" s="56">
        <v>3.0706735231586998E-3</v>
      </c>
      <c r="M12" s="56">
        <v>4.582526671335E-4</v>
      </c>
      <c r="N12" s="56">
        <v>2.5135971937189998E-4</v>
      </c>
      <c r="O12" s="57">
        <v>4.8664995577659998E-4</v>
      </c>
      <c r="P12" s="56">
        <v>8.4210526315789003E-3</v>
      </c>
      <c r="Q12" s="56">
        <v>2.5664356874539998E-4</v>
      </c>
      <c r="R12" s="56">
        <v>0.68077634256980502</v>
      </c>
      <c r="S12" s="56">
        <v>2.0298386278290001E-4</v>
      </c>
      <c r="T12" s="56">
        <v>4.2075950916490001E-4</v>
      </c>
      <c r="U12" s="56">
        <v>1.312623058411E-4</v>
      </c>
      <c r="V12" s="56">
        <v>5.3483085974060003E-4</v>
      </c>
      <c r="W12" s="56">
        <v>6.5820404325340001E-4</v>
      </c>
      <c r="X12" s="56">
        <v>1.163737926219E-4</v>
      </c>
      <c r="Y12" s="30">
        <v>0</v>
      </c>
      <c r="Z12" s="20">
        <v>1</v>
      </c>
      <c r="AA12" s="29">
        <v>0</v>
      </c>
    </row>
    <row r="13" spans="1:27" ht="14.25" customHeight="1">
      <c r="A13" s="39"/>
      <c r="B13" s="30">
        <v>2597</v>
      </c>
      <c r="C13" s="20" t="s">
        <v>452</v>
      </c>
      <c r="D13" s="20" t="s">
        <v>263</v>
      </c>
      <c r="E13" s="20" t="s">
        <v>486</v>
      </c>
      <c r="F13" s="20" t="s">
        <v>487</v>
      </c>
      <c r="G13" s="29" t="s">
        <v>488</v>
      </c>
      <c r="H13" s="20" t="s">
        <v>489</v>
      </c>
      <c r="I13" s="125" t="s">
        <v>489</v>
      </c>
      <c r="J13" s="29" t="b">
        <v>0</v>
      </c>
      <c r="K13" s="102">
        <v>3.8842527215599999E-5</v>
      </c>
      <c r="L13" s="56">
        <v>1.9934826708499999E-5</v>
      </c>
      <c r="M13" s="56">
        <v>6.9068016647900001E-5</v>
      </c>
      <c r="N13" s="56">
        <v>3.4076790808900003E-5</v>
      </c>
      <c r="O13" s="57">
        <v>1.000046155976E-4</v>
      </c>
      <c r="P13" s="56">
        <v>2.49993750156E-5</v>
      </c>
      <c r="Q13" s="56">
        <v>2.4168016047499998E-5</v>
      </c>
      <c r="R13" s="56">
        <v>0.67456870140657099</v>
      </c>
      <c r="S13" s="56">
        <v>0</v>
      </c>
      <c r="T13" s="56">
        <v>7.79806140193E-5</v>
      </c>
      <c r="U13" s="56">
        <v>1.110025752597E-4</v>
      </c>
      <c r="V13" s="56">
        <v>0</v>
      </c>
      <c r="W13" s="56">
        <v>9.5156532495900003E-5</v>
      </c>
      <c r="X13" s="56">
        <v>0</v>
      </c>
      <c r="Y13" s="30">
        <v>0</v>
      </c>
      <c r="Z13" s="20">
        <v>1</v>
      </c>
      <c r="AA13" s="29">
        <v>0</v>
      </c>
    </row>
    <row r="14" spans="1:27" ht="14.25" customHeight="1">
      <c r="A14" s="39"/>
      <c r="B14" s="30">
        <v>2659</v>
      </c>
      <c r="C14" s="20" t="s">
        <v>261</v>
      </c>
      <c r="D14" s="20" t="s">
        <v>262</v>
      </c>
      <c r="E14" s="20" t="s">
        <v>490</v>
      </c>
      <c r="F14" s="20" t="s">
        <v>448</v>
      </c>
      <c r="G14" s="29" t="s">
        <v>491</v>
      </c>
      <c r="H14" s="20" t="s">
        <v>492</v>
      </c>
      <c r="I14" s="125" t="s">
        <v>492</v>
      </c>
      <c r="J14" s="29" t="b">
        <v>0</v>
      </c>
      <c r="K14" s="102">
        <v>9.9074216064399994E-5</v>
      </c>
      <c r="L14" s="56">
        <v>1.9241587514620001E-4</v>
      </c>
      <c r="M14" s="56">
        <v>9.2399618081499997E-5</v>
      </c>
      <c r="N14" s="56">
        <v>6.0669102820000003E-5</v>
      </c>
      <c r="O14" s="57">
        <v>8.6699507389100005E-5</v>
      </c>
      <c r="P14" s="56">
        <v>1.007886713533E-4</v>
      </c>
      <c r="Q14" s="56">
        <v>2.4034417285500002E-5</v>
      </c>
      <c r="R14" s="56">
        <v>4.0383372819200001E-5</v>
      </c>
      <c r="S14" s="56">
        <v>0.99113382705747299</v>
      </c>
      <c r="T14" s="56">
        <v>8.5567154658700007E-5</v>
      </c>
      <c r="U14" s="56">
        <v>2.2150356620700001E-5</v>
      </c>
      <c r="V14" s="56">
        <v>6.7177213489180005E-4</v>
      </c>
      <c r="W14" s="56">
        <v>0</v>
      </c>
      <c r="X14" s="56">
        <v>0</v>
      </c>
      <c r="Y14" s="30">
        <v>0</v>
      </c>
      <c r="Z14" s="20">
        <v>1</v>
      </c>
      <c r="AA14" s="29">
        <v>0</v>
      </c>
    </row>
    <row r="15" spans="1:27" ht="14.25" customHeight="1">
      <c r="A15" s="127"/>
      <c r="B15" s="35">
        <v>2692</v>
      </c>
      <c r="C15" s="33" t="s">
        <v>262</v>
      </c>
      <c r="D15" s="33" t="s">
        <v>452</v>
      </c>
      <c r="E15" s="33" t="s">
        <v>493</v>
      </c>
      <c r="F15" s="33" t="s">
        <v>494</v>
      </c>
      <c r="G15" s="32" t="s">
        <v>495</v>
      </c>
      <c r="H15" s="33" t="s">
        <v>496</v>
      </c>
      <c r="I15" s="128" t="s">
        <v>496</v>
      </c>
      <c r="J15" s="32" t="b">
        <v>0</v>
      </c>
      <c r="K15" s="103">
        <v>2.5048801976199999E-5</v>
      </c>
      <c r="L15" s="95">
        <v>4.47070586999E-5</v>
      </c>
      <c r="M15" s="95">
        <v>0</v>
      </c>
      <c r="N15" s="95">
        <v>2.2637357430709999E-4</v>
      </c>
      <c r="O15" s="77">
        <v>0</v>
      </c>
      <c r="P15" s="95">
        <v>0</v>
      </c>
      <c r="Q15" s="95">
        <v>0.69351916712964001</v>
      </c>
      <c r="R15" s="95">
        <v>1.3714787283599999E-5</v>
      </c>
      <c r="S15" s="95">
        <v>7.2599045841110002E-4</v>
      </c>
      <c r="T15" s="95">
        <v>2.3425787106399999E-5</v>
      </c>
      <c r="U15" s="95">
        <v>0</v>
      </c>
      <c r="V15" s="95">
        <v>0</v>
      </c>
      <c r="W15" s="95">
        <v>0</v>
      </c>
      <c r="X15" s="95">
        <v>6.1285775571399997E-5</v>
      </c>
      <c r="Y15" s="35">
        <v>0</v>
      </c>
      <c r="Z15" s="33">
        <v>1</v>
      </c>
      <c r="AA15" s="32">
        <v>0</v>
      </c>
    </row>
    <row r="16" spans="1:27" ht="14.25" customHeight="1">
      <c r="A16" s="39" t="s">
        <v>269</v>
      </c>
      <c r="B16" s="30">
        <v>2749</v>
      </c>
      <c r="C16" s="20" t="s">
        <v>263</v>
      </c>
      <c r="D16" s="20" t="s">
        <v>452</v>
      </c>
      <c r="E16" s="20" t="s">
        <v>458</v>
      </c>
      <c r="F16" s="20" t="s">
        <v>457</v>
      </c>
      <c r="G16" s="29" t="s">
        <v>497</v>
      </c>
      <c r="H16" s="20" t="s">
        <v>498</v>
      </c>
      <c r="I16" s="125" t="s">
        <v>498</v>
      </c>
      <c r="J16" s="29" t="b">
        <v>0</v>
      </c>
      <c r="K16" s="102">
        <v>1.5543362072629999E-4</v>
      </c>
      <c r="L16" s="56">
        <v>1.2260984532137999E-3</v>
      </c>
      <c r="M16" s="56">
        <v>1.3358200136660001E-4</v>
      </c>
      <c r="N16" s="56">
        <v>2.8571021740589998E-4</v>
      </c>
      <c r="O16" s="57">
        <v>2.8518126834360002E-4</v>
      </c>
      <c r="P16" s="56">
        <v>1.008929021843E-4</v>
      </c>
      <c r="Q16" s="56">
        <v>5.1243805032959002E-3</v>
      </c>
      <c r="R16" s="56">
        <v>1.2390867788016E-3</v>
      </c>
      <c r="S16" s="56">
        <v>0</v>
      </c>
      <c r="T16" s="56">
        <v>0.98854155166159297</v>
      </c>
      <c r="U16" s="56">
        <v>2.4912805181860002E-4</v>
      </c>
      <c r="V16" s="56">
        <v>0</v>
      </c>
      <c r="W16" s="56">
        <v>4.784688995215E-4</v>
      </c>
      <c r="X16" s="56">
        <v>6.2527355718120002E-4</v>
      </c>
      <c r="Y16" s="30">
        <v>0</v>
      </c>
      <c r="Z16" s="20">
        <v>1</v>
      </c>
      <c r="AA16" s="29">
        <v>0</v>
      </c>
    </row>
    <row r="17" spans="1:27" ht="14.25" customHeight="1">
      <c r="A17" s="39"/>
      <c r="B17" s="30">
        <v>2790</v>
      </c>
      <c r="C17" s="20" t="s">
        <v>263</v>
      </c>
      <c r="D17" s="20" t="s">
        <v>452</v>
      </c>
      <c r="E17" s="20" t="s">
        <v>494</v>
      </c>
      <c r="F17" s="20" t="s">
        <v>499</v>
      </c>
      <c r="G17" s="29" t="s">
        <v>500</v>
      </c>
      <c r="H17" s="20" t="s">
        <v>501</v>
      </c>
      <c r="I17" s="125" t="s">
        <v>501</v>
      </c>
      <c r="J17" s="29" t="b">
        <v>1</v>
      </c>
      <c r="K17" s="102">
        <v>2.8752826713700002E-4</v>
      </c>
      <c r="L17" s="56">
        <v>2.4540316185219999E-4</v>
      </c>
      <c r="M17" s="56">
        <v>0.99570961257827295</v>
      </c>
      <c r="N17" s="56">
        <v>0.61070092004006404</v>
      </c>
      <c r="O17" s="57">
        <v>0.99717770906189496</v>
      </c>
      <c r="P17" s="56">
        <v>0.98424043439828202</v>
      </c>
      <c r="Q17" s="56">
        <v>9.6213979891199996E-5</v>
      </c>
      <c r="R17" s="56">
        <v>2.4482134842149998E-4</v>
      </c>
      <c r="S17" s="56">
        <v>1.8658650357624E-3</v>
      </c>
      <c r="T17" s="56">
        <v>1.0985243934742001E-3</v>
      </c>
      <c r="U17" s="56">
        <v>5.3349931089669998E-4</v>
      </c>
      <c r="V17" s="56">
        <v>1.3442667025130001E-4</v>
      </c>
      <c r="W17" s="56">
        <v>0</v>
      </c>
      <c r="X17" s="56">
        <v>1.222792858889E-4</v>
      </c>
      <c r="Y17" s="30">
        <v>3</v>
      </c>
      <c r="Z17" s="20">
        <v>0</v>
      </c>
      <c r="AA17" s="29">
        <v>4</v>
      </c>
    </row>
    <row r="18" spans="1:27" ht="14.25" customHeight="1">
      <c r="A18" s="39"/>
      <c r="B18" s="30">
        <v>2832</v>
      </c>
      <c r="C18" s="20" t="s">
        <v>262</v>
      </c>
      <c r="D18" s="20" t="s">
        <v>261</v>
      </c>
      <c r="E18" s="20" t="s">
        <v>490</v>
      </c>
      <c r="F18" s="20" t="s">
        <v>454</v>
      </c>
      <c r="G18" s="29" t="s">
        <v>502</v>
      </c>
      <c r="H18" s="20" t="s">
        <v>503</v>
      </c>
      <c r="I18" s="125" t="s">
        <v>503</v>
      </c>
      <c r="J18" s="29" t="b">
        <v>1</v>
      </c>
      <c r="K18" s="102">
        <v>4.0550975595999998E-5</v>
      </c>
      <c r="L18" s="56">
        <v>3.7077496494839998E-4</v>
      </c>
      <c r="M18" s="56">
        <v>4.4156647003900003E-5</v>
      </c>
      <c r="N18" s="56">
        <v>0.380089129620379</v>
      </c>
      <c r="O18" s="57">
        <v>2.00293229287E-5</v>
      </c>
      <c r="P18" s="56">
        <v>2.5443997760900001E-5</v>
      </c>
      <c r="Q18" s="56">
        <v>4.7898455274799998E-5</v>
      </c>
      <c r="R18" s="56">
        <v>0</v>
      </c>
      <c r="S18" s="56">
        <v>0</v>
      </c>
      <c r="T18" s="56">
        <v>4.6727516276700002E-5</v>
      </c>
      <c r="U18" s="56">
        <v>4.4456299457600002E-5</v>
      </c>
      <c r="V18" s="56">
        <v>1.4660802345728E-3</v>
      </c>
      <c r="W18" s="56">
        <v>0</v>
      </c>
      <c r="X18" s="56">
        <v>0</v>
      </c>
      <c r="Y18" s="30">
        <v>1</v>
      </c>
      <c r="Z18" s="20">
        <v>0</v>
      </c>
      <c r="AA18" s="29">
        <v>1</v>
      </c>
    </row>
    <row r="19" spans="1:27" ht="14.25" customHeight="1">
      <c r="A19" s="39"/>
      <c r="B19" s="30">
        <v>3037</v>
      </c>
      <c r="C19" s="20" t="s">
        <v>263</v>
      </c>
      <c r="D19" s="20" t="s">
        <v>452</v>
      </c>
      <c r="E19" s="20" t="s">
        <v>472</v>
      </c>
      <c r="F19" s="20" t="s">
        <v>473</v>
      </c>
      <c r="G19" s="29" t="s">
        <v>504</v>
      </c>
      <c r="H19" s="20" t="s">
        <v>505</v>
      </c>
      <c r="I19" s="125" t="s">
        <v>505</v>
      </c>
      <c r="J19" s="29" t="b">
        <v>0</v>
      </c>
      <c r="K19" s="102">
        <v>0.99929566022921601</v>
      </c>
      <c r="L19" s="56">
        <v>0.99721839154089997</v>
      </c>
      <c r="M19" s="56">
        <v>0.99910259482666297</v>
      </c>
      <c r="N19" s="56">
        <v>0.99881664940529502</v>
      </c>
      <c r="O19" s="57">
        <v>0.999230588715044</v>
      </c>
      <c r="P19" s="56">
        <v>0.99833358582033005</v>
      </c>
      <c r="Q19" s="56">
        <v>0.99826348691826805</v>
      </c>
      <c r="R19" s="56">
        <v>0.99899466910062495</v>
      </c>
      <c r="S19" s="56">
        <v>0.99868327762584796</v>
      </c>
      <c r="T19" s="56">
        <v>0.99717238540920305</v>
      </c>
      <c r="U19" s="56">
        <v>0.99877926494310498</v>
      </c>
      <c r="V19" s="56">
        <v>0.999341238471673</v>
      </c>
      <c r="W19" s="56">
        <v>0.99896926536731601</v>
      </c>
      <c r="X19" s="56">
        <v>0.99811808986120898</v>
      </c>
      <c r="Y19" s="30">
        <v>5</v>
      </c>
      <c r="Z19" s="20">
        <v>8</v>
      </c>
      <c r="AA19" s="29">
        <v>4</v>
      </c>
    </row>
    <row r="20" spans="1:27" ht="14.25" customHeight="1">
      <c r="A20" s="39"/>
      <c r="B20" s="30">
        <v>3267</v>
      </c>
      <c r="C20" s="20" t="s">
        <v>263</v>
      </c>
      <c r="D20" s="20" t="s">
        <v>452</v>
      </c>
      <c r="E20" s="20" t="s">
        <v>494</v>
      </c>
      <c r="F20" s="20" t="s">
        <v>499</v>
      </c>
      <c r="G20" s="29" t="s">
        <v>506</v>
      </c>
      <c r="H20" s="20" t="s">
        <v>507</v>
      </c>
      <c r="I20" s="125" t="s">
        <v>507</v>
      </c>
      <c r="J20" s="29" t="b">
        <v>1</v>
      </c>
      <c r="K20" s="102">
        <v>0.99778735089501203</v>
      </c>
      <c r="L20" s="56">
        <v>9.8566857123429997E-4</v>
      </c>
      <c r="M20" s="56">
        <v>1.3351100828837999E-3</v>
      </c>
      <c r="N20" s="56">
        <v>5.7124565344880002E-4</v>
      </c>
      <c r="O20" s="57">
        <v>7.5463561880119998E-4</v>
      </c>
      <c r="P20" s="56">
        <v>5.7665789143780005E-4</v>
      </c>
      <c r="Q20" s="56">
        <v>1.1943589508015E-3</v>
      </c>
      <c r="R20" s="56">
        <v>9.2327578247620003E-4</v>
      </c>
      <c r="S20" s="56">
        <v>2.7280048318904699E-2</v>
      </c>
      <c r="T20" s="56">
        <v>8.4510259240930003E-4</v>
      </c>
      <c r="U20" s="56">
        <v>1.6121301904056E-3</v>
      </c>
      <c r="V20" s="56">
        <v>1.8336607727570001E-3</v>
      </c>
      <c r="W20" s="56">
        <v>1.6961859244681798E-2</v>
      </c>
      <c r="X20" s="56">
        <v>8.6610081413470005E-4</v>
      </c>
      <c r="Y20" s="30">
        <v>1</v>
      </c>
      <c r="Z20" s="20">
        <v>0</v>
      </c>
      <c r="AA20" s="29">
        <v>0</v>
      </c>
    </row>
    <row r="21" spans="1:27" ht="14.25" customHeight="1">
      <c r="A21" s="39"/>
      <c r="B21" s="30">
        <v>3428</v>
      </c>
      <c r="C21" s="20" t="s">
        <v>262</v>
      </c>
      <c r="D21" s="20" t="s">
        <v>261</v>
      </c>
      <c r="E21" s="20" t="s">
        <v>493</v>
      </c>
      <c r="F21" s="20" t="s">
        <v>508</v>
      </c>
      <c r="G21" s="29" t="s">
        <v>509</v>
      </c>
      <c r="H21" s="20" t="s">
        <v>510</v>
      </c>
      <c r="I21" s="125" t="s">
        <v>510</v>
      </c>
      <c r="J21" s="29" t="b">
        <v>1</v>
      </c>
      <c r="K21" s="102">
        <v>8.0742902698799994E-5</v>
      </c>
      <c r="L21" s="56">
        <v>1.17732003535E-4</v>
      </c>
      <c r="M21" s="56">
        <v>4.5857769579900001E-5</v>
      </c>
      <c r="N21" s="56">
        <v>7.5220276439100006E-5</v>
      </c>
      <c r="O21" s="57">
        <v>4.4047394997E-5</v>
      </c>
      <c r="P21" s="56">
        <v>2.50896956619E-5</v>
      </c>
      <c r="Q21" s="56">
        <v>9.1871655297499994E-5</v>
      </c>
      <c r="R21" s="56">
        <v>5.2769752377900002E-5</v>
      </c>
      <c r="S21" s="56">
        <v>0</v>
      </c>
      <c r="T21" s="56">
        <v>9.1415337970100004E-5</v>
      </c>
      <c r="U21" s="56">
        <v>2.1798840301600001E-5</v>
      </c>
      <c r="V21" s="56">
        <v>0</v>
      </c>
      <c r="W21" s="56">
        <v>8.4324932071579996E-4</v>
      </c>
      <c r="X21" s="56">
        <v>0.99371179039301305</v>
      </c>
      <c r="Y21" s="30">
        <v>0</v>
      </c>
      <c r="Z21" s="20">
        <v>1</v>
      </c>
      <c r="AA21" s="29">
        <v>0</v>
      </c>
    </row>
    <row r="22" spans="1:27" ht="14.25" customHeight="1">
      <c r="A22" s="39"/>
      <c r="B22" s="30">
        <v>3431</v>
      </c>
      <c r="C22" s="20" t="s">
        <v>261</v>
      </c>
      <c r="D22" s="20" t="s">
        <v>452</v>
      </c>
      <c r="E22" s="20" t="s">
        <v>511</v>
      </c>
      <c r="F22" s="20" t="s">
        <v>486</v>
      </c>
      <c r="G22" s="29" t="s">
        <v>512</v>
      </c>
      <c r="H22" s="20" t="s">
        <v>513</v>
      </c>
      <c r="I22" s="125" t="s">
        <v>513</v>
      </c>
      <c r="J22" s="29" t="b">
        <v>1</v>
      </c>
      <c r="K22" s="102">
        <v>4.7850793915209998E-4</v>
      </c>
      <c r="L22" s="56">
        <v>1.2090464015119E-3</v>
      </c>
      <c r="M22" s="56">
        <v>6.8012654938940005E-4</v>
      </c>
      <c r="N22" s="56">
        <v>4.1355235950500002E-4</v>
      </c>
      <c r="O22" s="57">
        <v>0.99810915514161203</v>
      </c>
      <c r="P22" s="56">
        <v>7.5250206938059995E-4</v>
      </c>
      <c r="Q22" s="56">
        <v>2.2970024118520001E-4</v>
      </c>
      <c r="R22" s="56">
        <v>1.0818370120189E-3</v>
      </c>
      <c r="S22" s="56">
        <v>3.0196275792650001E-4</v>
      </c>
      <c r="T22" s="56">
        <v>1.1502132845824999E-3</v>
      </c>
      <c r="U22" s="56">
        <v>3.0519041702090001E-4</v>
      </c>
      <c r="V22" s="56">
        <v>3.9282440748979999E-4</v>
      </c>
      <c r="W22" s="56">
        <v>1.1244377811094001E-3</v>
      </c>
      <c r="X22" s="56">
        <v>1.0971243792584999E-3</v>
      </c>
      <c r="Y22" s="30">
        <v>1</v>
      </c>
      <c r="Z22" s="20">
        <v>0</v>
      </c>
      <c r="AA22" s="29">
        <v>1</v>
      </c>
    </row>
    <row r="23" spans="1:27" ht="14.25" customHeight="1">
      <c r="A23" s="39"/>
      <c r="B23" s="30">
        <v>3457</v>
      </c>
      <c r="C23" s="20" t="s">
        <v>263</v>
      </c>
      <c r="D23" s="20" t="s">
        <v>452</v>
      </c>
      <c r="E23" s="20" t="s">
        <v>514</v>
      </c>
      <c r="F23" s="20" t="s">
        <v>515</v>
      </c>
      <c r="G23" s="29" t="s">
        <v>516</v>
      </c>
      <c r="H23" s="20" t="s">
        <v>517</v>
      </c>
      <c r="I23" s="125" t="s">
        <v>517</v>
      </c>
      <c r="J23" s="29" t="b">
        <v>0</v>
      </c>
      <c r="K23" s="102">
        <v>1.147523983251E-4</v>
      </c>
      <c r="L23" s="56">
        <v>2.0444748124049999E-4</v>
      </c>
      <c r="M23" s="56">
        <v>1.9871801404269999E-4</v>
      </c>
      <c r="N23" s="56">
        <v>1.175826240512E-4</v>
      </c>
      <c r="O23" s="57">
        <v>3.0501386609080002E-4</v>
      </c>
      <c r="P23" s="56">
        <v>1.0038648797869999E-4</v>
      </c>
      <c r="Q23" s="56">
        <v>6.6587068332099998E-4</v>
      </c>
      <c r="R23" s="56">
        <v>3.9564265555300002E-5</v>
      </c>
      <c r="S23" s="56">
        <v>0</v>
      </c>
      <c r="T23" s="56">
        <v>9.1368007492099995E-5</v>
      </c>
      <c r="U23" s="56">
        <v>2.1789815440200001E-5</v>
      </c>
      <c r="V23" s="56">
        <v>0.98942777851195896</v>
      </c>
      <c r="W23" s="56">
        <v>0</v>
      </c>
      <c r="X23" s="56">
        <v>5.77233895174E-5</v>
      </c>
      <c r="Y23" s="30">
        <v>0</v>
      </c>
      <c r="Z23" s="20">
        <v>1</v>
      </c>
      <c r="AA23" s="29">
        <v>0</v>
      </c>
    </row>
    <row r="24" spans="1:27" ht="14.25" customHeight="1">
      <c r="A24" s="39"/>
      <c r="B24" s="30">
        <v>3565</v>
      </c>
      <c r="C24" s="20" t="s">
        <v>452</v>
      </c>
      <c r="D24" s="20" t="s">
        <v>263</v>
      </c>
      <c r="E24" s="20" t="s">
        <v>518</v>
      </c>
      <c r="F24" s="20" t="s">
        <v>519</v>
      </c>
      <c r="G24" s="29" t="s">
        <v>520</v>
      </c>
      <c r="H24" s="20" t="s">
        <v>521</v>
      </c>
      <c r="I24" s="125" t="s">
        <v>521</v>
      </c>
      <c r="J24" s="29" t="b">
        <v>0</v>
      </c>
      <c r="K24" s="102">
        <v>1.7103694568999999E-6</v>
      </c>
      <c r="L24" s="56">
        <v>7.7248024488699998E-5</v>
      </c>
      <c r="M24" s="56">
        <v>5.10303017932E-5</v>
      </c>
      <c r="N24" s="56">
        <v>1.12768621034E-5</v>
      </c>
      <c r="O24" s="57">
        <v>0.91077257466669204</v>
      </c>
      <c r="P24" s="56">
        <v>3.2540675844800002E-4</v>
      </c>
      <c r="Q24" s="56">
        <v>0</v>
      </c>
      <c r="R24" s="56">
        <v>0</v>
      </c>
      <c r="S24" s="56">
        <v>0</v>
      </c>
      <c r="T24" s="56">
        <v>1.8616427135299999E-5</v>
      </c>
      <c r="U24" s="56">
        <v>0</v>
      </c>
      <c r="V24" s="56">
        <v>0</v>
      </c>
      <c r="W24" s="56">
        <v>0</v>
      </c>
      <c r="X24" s="56">
        <v>1.177232326799E-4</v>
      </c>
      <c r="Y24" s="30">
        <v>1</v>
      </c>
      <c r="Z24" s="20">
        <v>0</v>
      </c>
      <c r="AA24" s="29">
        <v>1</v>
      </c>
    </row>
    <row r="25" spans="1:27" ht="14.25" customHeight="1">
      <c r="A25" s="39"/>
      <c r="B25" s="30">
        <v>3828</v>
      </c>
      <c r="C25" s="20" t="s">
        <v>263</v>
      </c>
      <c r="D25" s="20" t="s">
        <v>452</v>
      </c>
      <c r="E25" s="20" t="s">
        <v>522</v>
      </c>
      <c r="F25" s="20" t="s">
        <v>523</v>
      </c>
      <c r="G25" s="29" t="s">
        <v>524</v>
      </c>
      <c r="H25" s="20" t="s">
        <v>525</v>
      </c>
      <c r="I25" s="125" t="s">
        <v>525</v>
      </c>
      <c r="J25" s="29" t="b">
        <v>1</v>
      </c>
      <c r="K25" s="102">
        <v>1.1766573034665999E-3</v>
      </c>
      <c r="L25" s="56">
        <v>1.9109774814362001E-3</v>
      </c>
      <c r="M25" s="56">
        <v>8.6121696182370005E-4</v>
      </c>
      <c r="N25" s="56">
        <v>6.2511104049000005E-4</v>
      </c>
      <c r="O25" s="57">
        <v>9.6203427920539997E-4</v>
      </c>
      <c r="P25" s="56">
        <v>5.9967018140020005E-4</v>
      </c>
      <c r="Q25" s="56">
        <v>8.5401038661280003E-4</v>
      </c>
      <c r="R25" s="56">
        <v>7.7001712624290004E-4</v>
      </c>
      <c r="S25" s="56">
        <v>1.0094891984655E-3</v>
      </c>
      <c r="T25" s="56">
        <v>0.99191677904064701</v>
      </c>
      <c r="U25" s="56">
        <v>2.0605449483767002E-3</v>
      </c>
      <c r="V25" s="56">
        <v>5.252790544977E-4</v>
      </c>
      <c r="W25" s="56">
        <v>1.9788918205804001E-3</v>
      </c>
      <c r="X25" s="56">
        <v>1.1879306248515E-3</v>
      </c>
      <c r="Y25" s="30">
        <v>0</v>
      </c>
      <c r="Z25" s="20">
        <v>1</v>
      </c>
      <c r="AA25" s="29">
        <v>0</v>
      </c>
    </row>
    <row r="26" spans="1:27" ht="14.25" customHeight="1">
      <c r="A26" s="39"/>
      <c r="B26" s="30">
        <v>4002</v>
      </c>
      <c r="C26" s="20" t="s">
        <v>263</v>
      </c>
      <c r="D26" s="20" t="s">
        <v>452</v>
      </c>
      <c r="E26" s="20" t="s">
        <v>494</v>
      </c>
      <c r="F26" s="20" t="s">
        <v>499</v>
      </c>
      <c r="G26" s="29" t="s">
        <v>526</v>
      </c>
      <c r="H26" s="20" t="s">
        <v>527</v>
      </c>
      <c r="I26" s="125" t="s">
        <v>527</v>
      </c>
      <c r="J26" s="29" t="b">
        <v>1</v>
      </c>
      <c r="K26" s="102">
        <v>5.9719599818870001E-4</v>
      </c>
      <c r="L26" s="56">
        <v>4.9008822489770003E-4</v>
      </c>
      <c r="M26" s="56">
        <v>3.2761511672900001E-4</v>
      </c>
      <c r="N26" s="56">
        <v>3.2091245171489999E-4</v>
      </c>
      <c r="O26" s="57">
        <v>3.7821774535909999E-4</v>
      </c>
      <c r="P26" s="56">
        <v>1.0007004903432001E-3</v>
      </c>
      <c r="Q26" s="56">
        <v>1.3670381612178001E-3</v>
      </c>
      <c r="R26" s="56">
        <v>6.2259901973770002E-4</v>
      </c>
      <c r="S26" s="56">
        <v>6.4777327935222001E-3</v>
      </c>
      <c r="T26" s="56">
        <v>3.6782736635599999E-4</v>
      </c>
      <c r="U26" s="56">
        <v>1.3336831518649E-3</v>
      </c>
      <c r="V26" s="56">
        <v>5.2410901467499996E-4</v>
      </c>
      <c r="W26" s="56">
        <v>0.99640559969731302</v>
      </c>
      <c r="X26" s="56">
        <v>1.1840625185000001E-4</v>
      </c>
      <c r="Y26" s="30">
        <v>0</v>
      </c>
      <c r="Z26" s="20">
        <v>1</v>
      </c>
      <c r="AA26" s="29">
        <v>0</v>
      </c>
    </row>
    <row r="27" spans="1:27" ht="14.25" customHeight="1">
      <c r="A27" s="39"/>
      <c r="B27" s="30">
        <v>4181</v>
      </c>
      <c r="C27" s="20" t="s">
        <v>261</v>
      </c>
      <c r="D27" s="20" t="s">
        <v>452</v>
      </c>
      <c r="E27" s="20" t="s">
        <v>461</v>
      </c>
      <c r="F27" s="20" t="s">
        <v>465</v>
      </c>
      <c r="G27" s="29" t="s">
        <v>528</v>
      </c>
      <c r="H27" s="20" t="s">
        <v>529</v>
      </c>
      <c r="I27" s="125" t="s">
        <v>529</v>
      </c>
      <c r="J27" s="29" t="b">
        <v>1</v>
      </c>
      <c r="K27" s="102">
        <v>1.027611321728E-4</v>
      </c>
      <c r="L27" s="56">
        <v>0.90019925305854998</v>
      </c>
      <c r="M27" s="56">
        <v>1.6817043308980001E-4</v>
      </c>
      <c r="N27" s="56">
        <v>1.6862303750699999E-4</v>
      </c>
      <c r="O27" s="57">
        <v>3.84594675671E-5</v>
      </c>
      <c r="P27" s="56">
        <v>1.2497500499900001E-4</v>
      </c>
      <c r="Q27" s="56">
        <v>4.3792928594469998E-4</v>
      </c>
      <c r="R27" s="56">
        <v>1.1875544295779999E-4</v>
      </c>
      <c r="S27" s="56">
        <v>1.007759750075E-4</v>
      </c>
      <c r="T27" s="56">
        <v>2.5091240875910003E-4</v>
      </c>
      <c r="U27" s="56">
        <v>1.5259188211179999E-4</v>
      </c>
      <c r="V27" s="56">
        <v>3.92618767177E-4</v>
      </c>
      <c r="W27" s="56">
        <v>2.8108310690519998E-4</v>
      </c>
      <c r="X27" s="56">
        <v>1.2133818686079999E-3</v>
      </c>
      <c r="Y27" s="30">
        <v>1</v>
      </c>
      <c r="Z27" s="20">
        <v>0</v>
      </c>
      <c r="AA27" s="29">
        <v>0</v>
      </c>
    </row>
    <row r="28" spans="1:27" ht="14.25" customHeight="1">
      <c r="A28" s="39"/>
      <c r="B28" s="30">
        <v>4184</v>
      </c>
      <c r="C28" s="20" t="s">
        <v>261</v>
      </c>
      <c r="D28" s="20" t="s">
        <v>262</v>
      </c>
      <c r="E28" s="20" t="s">
        <v>518</v>
      </c>
      <c r="F28" s="20" t="s">
        <v>453</v>
      </c>
      <c r="G28" s="29" t="s">
        <v>530</v>
      </c>
      <c r="H28" s="20" t="s">
        <v>531</v>
      </c>
      <c r="I28" s="125" t="s">
        <v>531</v>
      </c>
      <c r="J28" s="29" t="b">
        <v>1</v>
      </c>
      <c r="K28" s="102">
        <v>7.6432017541899996E-5</v>
      </c>
      <c r="L28" s="56">
        <v>1.8668408157130001E-4</v>
      </c>
      <c r="M28" s="56">
        <v>0.99933157638270498</v>
      </c>
      <c r="N28" s="56">
        <v>0.61180409184615403</v>
      </c>
      <c r="O28" s="57">
        <v>0.99673986258924896</v>
      </c>
      <c r="P28" s="56">
        <v>0.99567348572000203</v>
      </c>
      <c r="Q28" s="56">
        <v>2.30451916207E-5</v>
      </c>
      <c r="R28" s="56">
        <v>1.31955715661E-5</v>
      </c>
      <c r="S28" s="56">
        <v>1.0075566750629001E-3</v>
      </c>
      <c r="T28" s="56">
        <v>1.0645173554340001E-4</v>
      </c>
      <c r="U28" s="56">
        <v>4.3596730245200003E-5</v>
      </c>
      <c r="V28" s="56">
        <v>1.3073604392730001E-4</v>
      </c>
      <c r="W28" s="56">
        <v>1.8733608092910001E-4</v>
      </c>
      <c r="X28" s="56">
        <v>0</v>
      </c>
      <c r="Y28" s="30">
        <v>3</v>
      </c>
      <c r="Z28" s="20">
        <v>0</v>
      </c>
      <c r="AA28" s="29">
        <v>4</v>
      </c>
    </row>
    <row r="29" spans="1:27" ht="14.25" customHeight="1">
      <c r="A29" s="39"/>
      <c r="B29" s="30">
        <v>4321</v>
      </c>
      <c r="C29" s="20" t="s">
        <v>263</v>
      </c>
      <c r="D29" s="20" t="s">
        <v>452</v>
      </c>
      <c r="E29" s="20" t="s">
        <v>532</v>
      </c>
      <c r="F29" s="20" t="s">
        <v>461</v>
      </c>
      <c r="G29" s="29" t="s">
        <v>533</v>
      </c>
      <c r="H29" s="20" t="s">
        <v>534</v>
      </c>
      <c r="I29" s="125" t="s">
        <v>534</v>
      </c>
      <c r="J29" s="29" t="b">
        <v>0</v>
      </c>
      <c r="K29" s="102">
        <v>1.202973049838E-3</v>
      </c>
      <c r="L29" s="56">
        <v>9.7651422339039996E-3</v>
      </c>
      <c r="M29" s="56">
        <v>0.99223152336102904</v>
      </c>
      <c r="N29" s="56">
        <v>0.60693905969073902</v>
      </c>
      <c r="O29" s="57">
        <v>0.99352086212518798</v>
      </c>
      <c r="P29" s="56">
        <v>0.995306593601745</v>
      </c>
      <c r="Q29" s="56">
        <v>6.6797189911319997E-4</v>
      </c>
      <c r="R29" s="56">
        <v>4.3577012465660002E-4</v>
      </c>
      <c r="S29" s="56">
        <v>2.3157470801449002E-3</v>
      </c>
      <c r="T29" s="56">
        <v>1.467379321356E-3</v>
      </c>
      <c r="U29" s="56">
        <v>1.7485956591112E-3</v>
      </c>
      <c r="V29" s="56">
        <v>5.2008841503050002E-4</v>
      </c>
      <c r="W29" s="56">
        <v>4.1190788241901996E-3</v>
      </c>
      <c r="X29" s="56">
        <v>1.0980754782407001E-3</v>
      </c>
      <c r="Y29" s="30">
        <v>3</v>
      </c>
      <c r="Z29" s="20">
        <v>0</v>
      </c>
      <c r="AA29" s="29">
        <v>4</v>
      </c>
    </row>
    <row r="30" spans="1:27" ht="14.25" customHeight="1">
      <c r="A30" s="39"/>
      <c r="B30" s="30">
        <v>4878</v>
      </c>
      <c r="C30" s="20" t="s">
        <v>263</v>
      </c>
      <c r="D30" s="20" t="s">
        <v>452</v>
      </c>
      <c r="E30" s="20" t="s">
        <v>494</v>
      </c>
      <c r="F30" s="20" t="s">
        <v>499</v>
      </c>
      <c r="G30" s="29" t="s">
        <v>535</v>
      </c>
      <c r="H30" s="20" t="s">
        <v>536</v>
      </c>
      <c r="I30" s="125" t="s">
        <v>536</v>
      </c>
      <c r="J30" s="29" t="b">
        <v>1</v>
      </c>
      <c r="K30" s="102">
        <v>1.2670477447400001E-4</v>
      </c>
      <c r="L30" s="56">
        <v>3.663604475916E-4</v>
      </c>
      <c r="M30" s="56">
        <v>2.8828074973400001E-4</v>
      </c>
      <c r="N30" s="56">
        <v>2.175672285818E-4</v>
      </c>
      <c r="O30" s="57">
        <v>2.8108166384940001E-4</v>
      </c>
      <c r="P30" s="56">
        <v>1.502893069158E-4</v>
      </c>
      <c r="Q30" s="56">
        <v>2.077370510571E-4</v>
      </c>
      <c r="R30" s="56">
        <v>3.958775946477E-4</v>
      </c>
      <c r="S30" s="56">
        <v>0</v>
      </c>
      <c r="T30" s="56">
        <v>2.822208492559E-4</v>
      </c>
      <c r="U30" s="56">
        <v>1.5329698004940001E-4</v>
      </c>
      <c r="V30" s="56">
        <v>1.322051824431E-4</v>
      </c>
      <c r="W30" s="56">
        <v>9.3676814988200003E-5</v>
      </c>
      <c r="X30" s="56">
        <v>0.99315755323541499</v>
      </c>
      <c r="Y30" s="30">
        <v>0</v>
      </c>
      <c r="Z30" s="20">
        <v>1</v>
      </c>
      <c r="AA30" s="29">
        <v>0</v>
      </c>
    </row>
    <row r="31" spans="1:27" ht="14.25" customHeight="1">
      <c r="A31" s="39"/>
      <c r="B31" s="30">
        <v>4965</v>
      </c>
      <c r="C31" s="20" t="s">
        <v>263</v>
      </c>
      <c r="D31" s="20" t="s">
        <v>452</v>
      </c>
      <c r="E31" s="20" t="s">
        <v>494</v>
      </c>
      <c r="F31" s="20" t="s">
        <v>499</v>
      </c>
      <c r="G31" s="29" t="s">
        <v>537</v>
      </c>
      <c r="H31" s="20" t="s">
        <v>538</v>
      </c>
      <c r="I31" s="125" t="s">
        <v>538</v>
      </c>
      <c r="J31" s="29" t="b">
        <v>1</v>
      </c>
      <c r="K31" s="102">
        <v>1.8454314930374E-3</v>
      </c>
      <c r="L31" s="56">
        <v>1.3199494168839999E-3</v>
      </c>
      <c r="M31" s="56">
        <v>6.5716578153049996E-4</v>
      </c>
      <c r="N31" s="56">
        <v>3.9226128698349998E-4</v>
      </c>
      <c r="O31" s="57">
        <v>4.6162901184459998E-4</v>
      </c>
      <c r="P31" s="56">
        <v>5.2547292563299996E-4</v>
      </c>
      <c r="Q31" s="56">
        <v>9.22487950001E-5</v>
      </c>
      <c r="R31" s="56">
        <v>3.8359280961890001E-4</v>
      </c>
      <c r="S31" s="56">
        <v>1.3102197137673001E-3</v>
      </c>
      <c r="T31" s="56">
        <v>1.1346415979408E-3</v>
      </c>
      <c r="U31" s="56">
        <v>3.7094416199339998E-4</v>
      </c>
      <c r="V31" s="56">
        <v>0.98760495801679304</v>
      </c>
      <c r="W31" s="56">
        <v>3.7435657463729999E-4</v>
      </c>
      <c r="X31" s="56">
        <v>5.836348780203E-4</v>
      </c>
      <c r="Y31" s="30">
        <v>0</v>
      </c>
      <c r="Z31" s="20">
        <v>1</v>
      </c>
      <c r="AA31" s="29">
        <v>0</v>
      </c>
    </row>
    <row r="32" spans="1:27" ht="14.25" customHeight="1">
      <c r="A32" s="39"/>
      <c r="B32" s="30">
        <v>5230</v>
      </c>
      <c r="C32" s="20" t="s">
        <v>261</v>
      </c>
      <c r="D32" s="20" t="s">
        <v>452</v>
      </c>
      <c r="E32" s="20" t="s">
        <v>490</v>
      </c>
      <c r="F32" s="20" t="s">
        <v>539</v>
      </c>
      <c r="G32" s="29" t="s">
        <v>540</v>
      </c>
      <c r="H32" s="20" t="s">
        <v>541</v>
      </c>
      <c r="I32" s="125" t="s">
        <v>541</v>
      </c>
      <c r="J32" s="29" t="b">
        <v>1</v>
      </c>
      <c r="K32" s="102">
        <v>6.566388855703E-4</v>
      </c>
      <c r="L32" s="56">
        <v>1.8316773548256999E-3</v>
      </c>
      <c r="M32" s="56">
        <v>1.5452787130182E-3</v>
      </c>
      <c r="N32" s="56">
        <v>4.7955675320479998E-4</v>
      </c>
      <c r="O32" s="57">
        <v>8.4085798371510002E-4</v>
      </c>
      <c r="P32" s="56">
        <v>1.0521569216894E-3</v>
      </c>
      <c r="Q32" s="56">
        <v>0.96233970539161895</v>
      </c>
      <c r="R32" s="56">
        <v>1.3725464067267999E-3</v>
      </c>
      <c r="S32" s="56">
        <v>3.1030202730649998E-4</v>
      </c>
      <c r="T32" s="56">
        <v>2.6854545594851001E-3</v>
      </c>
      <c r="U32" s="56">
        <v>4.4178392348299999E-4</v>
      </c>
      <c r="V32" s="56">
        <v>1.6204829039050001E-4</v>
      </c>
      <c r="W32" s="56">
        <v>1.0402874976357E-3</v>
      </c>
      <c r="X32" s="56">
        <v>3.6878060576747999E-3</v>
      </c>
      <c r="Y32" s="30">
        <v>0</v>
      </c>
      <c r="Z32" s="20">
        <v>1</v>
      </c>
      <c r="AA32" s="29">
        <v>0</v>
      </c>
    </row>
    <row r="33" spans="1:27" ht="14.25" customHeight="1">
      <c r="A33" s="39"/>
      <c r="B33" s="30">
        <v>5386</v>
      </c>
      <c r="C33" s="20" t="s">
        <v>452</v>
      </c>
      <c r="D33" s="20" t="s">
        <v>261</v>
      </c>
      <c r="E33" s="20" t="s">
        <v>461</v>
      </c>
      <c r="F33" s="20" t="s">
        <v>542</v>
      </c>
      <c r="G33" s="29" t="s">
        <v>543</v>
      </c>
      <c r="H33" s="20" t="s">
        <v>544</v>
      </c>
      <c r="I33" s="125" t="s">
        <v>544</v>
      </c>
      <c r="J33" s="29" t="b">
        <v>0</v>
      </c>
      <c r="K33" s="102">
        <v>8.5278100413257604E-7</v>
      </c>
      <c r="L33" s="56">
        <v>1.7261161826189999E-4</v>
      </c>
      <c r="M33" s="56">
        <v>1.2759626500199999E-5</v>
      </c>
      <c r="N33" s="56">
        <v>0.38645461308549001</v>
      </c>
      <c r="O33" s="57">
        <v>1.1564258731E-5</v>
      </c>
      <c r="P33" s="56">
        <v>0</v>
      </c>
      <c r="Q33" s="56">
        <v>0</v>
      </c>
      <c r="R33" s="56">
        <v>2.6829791800799999E-5</v>
      </c>
      <c r="S33" s="56">
        <v>0</v>
      </c>
      <c r="T33" s="56">
        <v>7.6229389478E-6</v>
      </c>
      <c r="U33" s="56">
        <v>0</v>
      </c>
      <c r="V33" s="56">
        <v>0</v>
      </c>
      <c r="W33" s="56">
        <v>0</v>
      </c>
      <c r="X33" s="56">
        <v>0</v>
      </c>
      <c r="Y33" s="30">
        <v>1</v>
      </c>
      <c r="Z33" s="20">
        <v>0</v>
      </c>
      <c r="AA33" s="29">
        <v>1</v>
      </c>
    </row>
    <row r="34" spans="1:27" ht="14.25" customHeight="1">
      <c r="A34" s="39"/>
      <c r="B34" s="30">
        <v>5388</v>
      </c>
      <c r="C34" s="20" t="s">
        <v>263</v>
      </c>
      <c r="D34" s="20" t="s">
        <v>262</v>
      </c>
      <c r="E34" s="20" t="s">
        <v>461</v>
      </c>
      <c r="F34" s="20" t="s">
        <v>457</v>
      </c>
      <c r="G34" s="29" t="s">
        <v>545</v>
      </c>
      <c r="H34" s="20" t="s">
        <v>546</v>
      </c>
      <c r="I34" s="125" t="s">
        <v>546</v>
      </c>
      <c r="J34" s="29" t="b">
        <v>1</v>
      </c>
      <c r="K34" s="102">
        <v>0.99739419910470395</v>
      </c>
      <c r="L34" s="56">
        <v>2.901187696098E-4</v>
      </c>
      <c r="M34" s="56">
        <v>1.27584218342E-5</v>
      </c>
      <c r="N34" s="56">
        <v>8.6224205105E-6</v>
      </c>
      <c r="O34" s="57">
        <v>3.8548420671E-6</v>
      </c>
      <c r="P34" s="56">
        <v>0</v>
      </c>
      <c r="Q34" s="56">
        <v>1.8660633061976001E-3</v>
      </c>
      <c r="R34" s="56">
        <v>2.4150700370309999E-4</v>
      </c>
      <c r="S34" s="56">
        <v>7.0649979814290005E-4</v>
      </c>
      <c r="T34" s="56">
        <v>4.1166694619360002E-4</v>
      </c>
      <c r="U34" s="56">
        <v>1.0864985919864999E-3</v>
      </c>
      <c r="V34" s="56">
        <v>1.5741833923652001E-3</v>
      </c>
      <c r="W34" s="56">
        <v>1.874414245548E-4</v>
      </c>
      <c r="X34" s="56">
        <v>5.79911853398E-5</v>
      </c>
      <c r="Y34" s="30">
        <v>1</v>
      </c>
      <c r="Z34" s="20">
        <v>0</v>
      </c>
      <c r="AA34" s="29">
        <v>0</v>
      </c>
    </row>
    <row r="35" spans="1:27" ht="14.25" customHeight="1">
      <c r="A35" s="39"/>
      <c r="B35" s="30">
        <v>5648</v>
      </c>
      <c r="C35" s="20" t="s">
        <v>262</v>
      </c>
      <c r="D35" s="20" t="s">
        <v>263</v>
      </c>
      <c r="E35" s="20" t="s">
        <v>448</v>
      </c>
      <c r="F35" s="20" t="s">
        <v>547</v>
      </c>
      <c r="G35" s="29" t="s">
        <v>548</v>
      </c>
      <c r="H35" s="20" t="s">
        <v>549</v>
      </c>
      <c r="I35" s="125" t="s">
        <v>549</v>
      </c>
      <c r="J35" s="29" t="b">
        <v>1</v>
      </c>
      <c r="K35" s="102">
        <v>1.7471729888759999E-4</v>
      </c>
      <c r="L35" s="56">
        <v>9.6226597076099998E-5</v>
      </c>
      <c r="M35" s="56">
        <v>8.1478218580499995E-5</v>
      </c>
      <c r="N35" s="56">
        <v>7.2537825934999999E-5</v>
      </c>
      <c r="O35" s="57">
        <v>1.9266783294899999E-5</v>
      </c>
      <c r="P35" s="56">
        <v>0</v>
      </c>
      <c r="Q35" s="56">
        <v>1.6134608735730001E-4</v>
      </c>
      <c r="R35" s="56">
        <v>6.7018738439199993E-5</v>
      </c>
      <c r="S35" s="56">
        <v>0</v>
      </c>
      <c r="T35" s="56">
        <v>0.99806833365145997</v>
      </c>
      <c r="U35" s="56">
        <v>8.8646588214400004E-5</v>
      </c>
      <c r="V35" s="56">
        <v>1.308386759125E-4</v>
      </c>
      <c r="W35" s="56">
        <v>1.0304449648711001E-3</v>
      </c>
      <c r="X35" s="56">
        <v>2.3227454851630001E-4</v>
      </c>
      <c r="Y35" s="30">
        <v>0</v>
      </c>
      <c r="Z35" s="20">
        <v>1</v>
      </c>
      <c r="AA35" s="29">
        <v>0</v>
      </c>
    </row>
    <row r="36" spans="1:27" ht="14.25" customHeight="1">
      <c r="A36" s="39"/>
      <c r="B36" s="30">
        <v>5720</v>
      </c>
      <c r="C36" s="20" t="s">
        <v>261</v>
      </c>
      <c r="D36" s="20" t="s">
        <v>262</v>
      </c>
      <c r="E36" s="20" t="s">
        <v>518</v>
      </c>
      <c r="F36" s="20" t="s">
        <v>453</v>
      </c>
      <c r="G36" s="29" t="s">
        <v>550</v>
      </c>
      <c r="H36" s="20" t="s">
        <v>551</v>
      </c>
      <c r="I36" s="125" t="s">
        <v>551</v>
      </c>
      <c r="J36" s="29" t="b">
        <v>1</v>
      </c>
      <c r="K36" s="102">
        <v>5.9664142020999997E-6</v>
      </c>
      <c r="L36" s="56">
        <v>2.6630336025599999E-5</v>
      </c>
      <c r="M36" s="56">
        <v>4.5209342242380002E-4</v>
      </c>
      <c r="N36" s="56">
        <v>2.12776914506E-5</v>
      </c>
      <c r="O36" s="57">
        <v>3.872441768156E-4</v>
      </c>
      <c r="P36" s="56">
        <v>0.99853428015465795</v>
      </c>
      <c r="Q36" s="56">
        <v>2.3056349718700001E-5</v>
      </c>
      <c r="R36" s="56">
        <v>0</v>
      </c>
      <c r="S36" s="56">
        <v>0</v>
      </c>
      <c r="T36" s="56">
        <v>0</v>
      </c>
      <c r="U36" s="56">
        <v>0</v>
      </c>
      <c r="V36" s="56">
        <v>0</v>
      </c>
      <c r="W36" s="56">
        <v>0</v>
      </c>
      <c r="X36" s="56">
        <v>0</v>
      </c>
      <c r="Y36" s="30">
        <v>0</v>
      </c>
      <c r="Z36" s="20">
        <v>0</v>
      </c>
      <c r="AA36" s="29">
        <v>1</v>
      </c>
    </row>
    <row r="37" spans="1:27" ht="14.25" customHeight="1">
      <c r="A37" s="39"/>
      <c r="B37" s="30">
        <v>5986</v>
      </c>
      <c r="C37" s="20" t="s">
        <v>263</v>
      </c>
      <c r="D37" s="20" t="s">
        <v>452</v>
      </c>
      <c r="E37" s="20" t="s">
        <v>472</v>
      </c>
      <c r="F37" s="20" t="s">
        <v>473</v>
      </c>
      <c r="G37" s="29" t="s">
        <v>552</v>
      </c>
      <c r="H37" s="20" t="s">
        <v>553</v>
      </c>
      <c r="I37" s="125" t="s">
        <v>553</v>
      </c>
      <c r="J37" s="29" t="b">
        <v>0</v>
      </c>
      <c r="K37" s="102">
        <v>0.99699203043114204</v>
      </c>
      <c r="L37" s="56">
        <v>1.1852048358342001E-3</v>
      </c>
      <c r="M37" s="56">
        <v>1.8169644682503E-3</v>
      </c>
      <c r="N37" s="56">
        <v>1.0924223684391E-3</v>
      </c>
      <c r="O37" s="57">
        <v>1.21689914639466E-2</v>
      </c>
      <c r="P37" s="56">
        <v>2.8560691469372E-3</v>
      </c>
      <c r="Q37" s="56">
        <v>4.9704804797796997E-3</v>
      </c>
      <c r="R37" s="56">
        <v>4.0718595276101003E-3</v>
      </c>
      <c r="S37" s="56">
        <v>1.3403443653983999E-3</v>
      </c>
      <c r="T37" s="56">
        <v>1.1913234520530001E-3</v>
      </c>
      <c r="U37" s="56">
        <v>9.6261724184355003E-3</v>
      </c>
      <c r="V37" s="56">
        <v>3.0707610146862001E-3</v>
      </c>
      <c r="W37" s="56">
        <v>4.5325779036827002E-3</v>
      </c>
      <c r="X37" s="56">
        <v>4.3810970266953998E-3</v>
      </c>
      <c r="Y37" s="30">
        <v>1</v>
      </c>
      <c r="Z37" s="20">
        <v>0</v>
      </c>
      <c r="AA37" s="29">
        <v>0</v>
      </c>
    </row>
    <row r="38" spans="1:27" ht="14.25" customHeight="1">
      <c r="A38" s="39"/>
      <c r="B38" s="30">
        <v>6037</v>
      </c>
      <c r="C38" s="20" t="s">
        <v>263</v>
      </c>
      <c r="D38" s="20" t="s">
        <v>452</v>
      </c>
      <c r="E38" s="20" t="s">
        <v>554</v>
      </c>
      <c r="F38" s="20" t="s">
        <v>453</v>
      </c>
      <c r="G38" s="29" t="s">
        <v>555</v>
      </c>
      <c r="H38" s="20" t="s">
        <v>556</v>
      </c>
      <c r="I38" s="125" t="s">
        <v>556</v>
      </c>
      <c r="J38" s="29" t="b">
        <v>0</v>
      </c>
      <c r="K38" s="102">
        <v>4.3038704707140001E-4</v>
      </c>
      <c r="L38" s="56">
        <v>1.5939741137881E-3</v>
      </c>
      <c r="M38" s="56">
        <v>3.4070415607830002E-4</v>
      </c>
      <c r="N38" s="56">
        <v>2.61584118731E-4</v>
      </c>
      <c r="O38" s="57">
        <v>3.6686619038419998E-4</v>
      </c>
      <c r="P38" s="56">
        <v>3.0109145652990001E-4</v>
      </c>
      <c r="Q38" s="56">
        <v>1.863802623302E-4</v>
      </c>
      <c r="R38" s="56">
        <v>8.0148886745539999E-4</v>
      </c>
      <c r="S38" s="56">
        <v>1.4403292181068999E-3</v>
      </c>
      <c r="T38" s="56">
        <v>7.0363182271569995E-4</v>
      </c>
      <c r="U38" s="56">
        <v>3.1488978857390003E-4</v>
      </c>
      <c r="V38" s="56">
        <v>2.6763013515319998E-4</v>
      </c>
      <c r="W38" s="56">
        <v>1.8887524789869999E-4</v>
      </c>
      <c r="X38" s="56">
        <v>0.99465523317279403</v>
      </c>
      <c r="Y38" s="30">
        <v>0</v>
      </c>
      <c r="Z38" s="20">
        <v>1</v>
      </c>
      <c r="AA38" s="29">
        <v>0</v>
      </c>
    </row>
    <row r="39" spans="1:27" ht="14.25" customHeight="1">
      <c r="A39" s="39"/>
      <c r="B39" s="30">
        <v>6101</v>
      </c>
      <c r="C39" s="20" t="s">
        <v>261</v>
      </c>
      <c r="D39" s="20" t="s">
        <v>262</v>
      </c>
      <c r="E39" s="20" t="s">
        <v>518</v>
      </c>
      <c r="F39" s="20" t="s">
        <v>453</v>
      </c>
      <c r="G39" s="29" t="s">
        <v>557</v>
      </c>
      <c r="H39" s="20" t="s">
        <v>558</v>
      </c>
      <c r="I39" s="125" t="s">
        <v>558</v>
      </c>
      <c r="J39" s="29" t="b">
        <v>1</v>
      </c>
      <c r="K39" s="102">
        <v>1.3795833658229999E-4</v>
      </c>
      <c r="L39" s="56">
        <v>2.8380807366300001E-5</v>
      </c>
      <c r="M39" s="56">
        <v>2.29874488529E-5</v>
      </c>
      <c r="N39" s="56">
        <v>1.3433013498899999E-5</v>
      </c>
      <c r="O39" s="57">
        <v>3.0897693873300003E-5</v>
      </c>
      <c r="P39" s="56">
        <v>5.0139136102599997E-5</v>
      </c>
      <c r="Q39" s="56">
        <v>2.3238520171E-5</v>
      </c>
      <c r="R39" s="56">
        <v>8.1042750050599999E-5</v>
      </c>
      <c r="S39" s="56">
        <v>0</v>
      </c>
      <c r="T39" s="56">
        <v>6.9408561931699994E-5</v>
      </c>
      <c r="U39" s="56">
        <v>0.34820004940600502</v>
      </c>
      <c r="V39" s="56">
        <v>0</v>
      </c>
      <c r="W39" s="56">
        <v>1.886258606054E-4</v>
      </c>
      <c r="X39" s="56">
        <v>5.8407803282499998E-5</v>
      </c>
      <c r="Y39" s="30">
        <v>0</v>
      </c>
      <c r="Z39" s="20">
        <v>1</v>
      </c>
      <c r="AA39" s="29">
        <v>0</v>
      </c>
    </row>
    <row r="40" spans="1:27" ht="14.25" customHeight="1">
      <c r="A40" s="39"/>
      <c r="B40" s="30">
        <v>6183</v>
      </c>
      <c r="C40" s="20" t="s">
        <v>262</v>
      </c>
      <c r="D40" s="20" t="s">
        <v>261</v>
      </c>
      <c r="E40" s="20" t="s">
        <v>448</v>
      </c>
      <c r="F40" s="20" t="s">
        <v>449</v>
      </c>
      <c r="G40" s="29" t="s">
        <v>559</v>
      </c>
      <c r="H40" s="20" t="s">
        <v>560</v>
      </c>
      <c r="I40" s="125" t="s">
        <v>560</v>
      </c>
      <c r="J40" s="29" t="b">
        <v>1</v>
      </c>
      <c r="K40" s="102">
        <v>3.15660066527E-5</v>
      </c>
      <c r="L40" s="56">
        <v>2.02216426849E-5</v>
      </c>
      <c r="M40" s="56">
        <v>5.8779482382700002E-5</v>
      </c>
      <c r="N40" s="56">
        <v>3.2394929360499997E-5</v>
      </c>
      <c r="O40" s="57">
        <v>0.97801516840357605</v>
      </c>
      <c r="P40" s="56">
        <v>3.0094043887140003E-4</v>
      </c>
      <c r="Q40" s="56">
        <v>6.9471782877499996E-5</v>
      </c>
      <c r="R40" s="56">
        <v>1.34750912937E-5</v>
      </c>
      <c r="S40" s="56">
        <v>0</v>
      </c>
      <c r="T40" s="56">
        <v>7.6360359809999999E-5</v>
      </c>
      <c r="U40" s="56">
        <v>0</v>
      </c>
      <c r="V40" s="56">
        <v>1.307531380753E-4</v>
      </c>
      <c r="W40" s="56">
        <v>0</v>
      </c>
      <c r="X40" s="56">
        <v>1.161507636912E-4</v>
      </c>
      <c r="Y40" s="30">
        <v>1</v>
      </c>
      <c r="Z40" s="20">
        <v>0</v>
      </c>
      <c r="AA40" s="29">
        <v>1</v>
      </c>
    </row>
    <row r="41" spans="1:27" ht="14.25" customHeight="1">
      <c r="A41" s="39"/>
      <c r="B41" s="30">
        <v>6285</v>
      </c>
      <c r="C41" s="20" t="s">
        <v>263</v>
      </c>
      <c r="D41" s="20" t="s">
        <v>452</v>
      </c>
      <c r="E41" s="20" t="s">
        <v>468</v>
      </c>
      <c r="F41" s="20" t="s">
        <v>469</v>
      </c>
      <c r="G41" s="29" t="s">
        <v>561</v>
      </c>
      <c r="H41" s="20" t="s">
        <v>562</v>
      </c>
      <c r="I41" s="125" t="s">
        <v>562</v>
      </c>
      <c r="J41" s="29" t="b">
        <v>1</v>
      </c>
      <c r="K41" s="102">
        <v>1.0986770665662999E-3</v>
      </c>
      <c r="L41" s="56">
        <v>1.8030308306436001E-3</v>
      </c>
      <c r="M41" s="56">
        <v>1.0951697110416E-3</v>
      </c>
      <c r="N41" s="56">
        <v>1.6889976748799E-3</v>
      </c>
      <c r="O41" s="57">
        <v>1.0657500953669E-3</v>
      </c>
      <c r="P41" s="56">
        <v>1.0117873223047999E-3</v>
      </c>
      <c r="Q41" s="56">
        <v>2.5371929419899997E-4</v>
      </c>
      <c r="R41" s="56">
        <v>1.9680263122421999E-3</v>
      </c>
      <c r="S41" s="56">
        <v>0.98268354430379701</v>
      </c>
      <c r="T41" s="56">
        <v>1.1563438093487E-3</v>
      </c>
      <c r="U41" s="56">
        <v>4.3884074758860003E-3</v>
      </c>
      <c r="V41" s="56">
        <v>5.2232958997120002E-4</v>
      </c>
      <c r="W41" s="56">
        <v>2.4440684339160999E-3</v>
      </c>
      <c r="X41" s="56">
        <v>6.9726902963392996E-3</v>
      </c>
      <c r="Y41" s="30">
        <v>0</v>
      </c>
      <c r="Z41" s="20">
        <v>1</v>
      </c>
      <c r="AA41" s="29">
        <v>0</v>
      </c>
    </row>
    <row r="42" spans="1:27" ht="14.25" customHeight="1">
      <c r="A42" s="39"/>
      <c r="B42" s="30">
        <v>6319</v>
      </c>
      <c r="C42" s="20" t="s">
        <v>262</v>
      </c>
      <c r="D42" s="20" t="s">
        <v>261</v>
      </c>
      <c r="E42" s="20" t="s">
        <v>563</v>
      </c>
      <c r="F42" s="20" t="s">
        <v>564</v>
      </c>
      <c r="G42" s="29" t="s">
        <v>565</v>
      </c>
      <c r="H42" s="20" t="s">
        <v>566</v>
      </c>
      <c r="I42" s="125" t="s">
        <v>566</v>
      </c>
      <c r="J42" s="29" t="b">
        <v>0</v>
      </c>
      <c r="K42" s="102">
        <v>3.7121326287090003E-4</v>
      </c>
      <c r="L42" s="56">
        <v>3.1023065421000002E-5</v>
      </c>
      <c r="M42" s="56">
        <v>1.6829844924999999E-4</v>
      </c>
      <c r="N42" s="56">
        <v>1.9340793634699999E-5</v>
      </c>
      <c r="O42" s="57">
        <v>7.8114625401000004E-6</v>
      </c>
      <c r="P42" s="56">
        <v>5.0352467270799997E-5</v>
      </c>
      <c r="Q42" s="56">
        <v>2.3013370768399999E-5</v>
      </c>
      <c r="R42" s="56">
        <v>1.462299266191E-4</v>
      </c>
      <c r="S42" s="56">
        <v>0</v>
      </c>
      <c r="T42" s="56">
        <v>0.99453543489151797</v>
      </c>
      <c r="U42" s="56">
        <v>4.3734009752599998E-5</v>
      </c>
      <c r="V42" s="56">
        <v>0</v>
      </c>
      <c r="W42" s="56">
        <v>7.5258701787390004E-4</v>
      </c>
      <c r="X42" s="56">
        <v>2.323690019751E-4</v>
      </c>
      <c r="Y42" s="30">
        <v>0</v>
      </c>
      <c r="Z42" s="20">
        <v>1</v>
      </c>
      <c r="AA42" s="29">
        <v>0</v>
      </c>
    </row>
    <row r="43" spans="1:27" ht="14.25" customHeight="1">
      <c r="A43" s="39"/>
      <c r="B43" s="30">
        <v>6402</v>
      </c>
      <c r="C43" s="20" t="s">
        <v>263</v>
      </c>
      <c r="D43" s="20" t="s">
        <v>452</v>
      </c>
      <c r="E43" s="20" t="s">
        <v>563</v>
      </c>
      <c r="F43" s="20" t="s">
        <v>567</v>
      </c>
      <c r="G43" s="29" t="s">
        <v>568</v>
      </c>
      <c r="H43" s="20" t="s">
        <v>569</v>
      </c>
      <c r="I43" s="125" t="s">
        <v>569</v>
      </c>
      <c r="J43" s="29" t="b">
        <v>1</v>
      </c>
      <c r="K43" s="102">
        <v>1.4970914017730999E-3</v>
      </c>
      <c r="L43" s="56">
        <v>0.90428211702319405</v>
      </c>
      <c r="M43" s="56">
        <v>1.5735053699204001E-3</v>
      </c>
      <c r="N43" s="56">
        <v>1.2068825027235E-3</v>
      </c>
      <c r="O43" s="57">
        <v>1.1410439770853E-3</v>
      </c>
      <c r="P43" s="56">
        <v>1.1086474501107999E-3</v>
      </c>
      <c r="Q43" s="56">
        <v>3.1303305518417701E-2</v>
      </c>
      <c r="R43" s="56">
        <v>1.1179281065758001E-3</v>
      </c>
      <c r="S43" s="56">
        <v>7.3485001006642998E-3</v>
      </c>
      <c r="T43" s="56">
        <v>4.7336463606747004E-3</v>
      </c>
      <c r="U43" s="56">
        <v>1.1853542892264E-3</v>
      </c>
      <c r="V43" s="56">
        <v>1.0447956118583999E-3</v>
      </c>
      <c r="W43" s="56">
        <v>2.4436090225562999E-3</v>
      </c>
      <c r="X43" s="56">
        <v>1.6888940655756001E-3</v>
      </c>
      <c r="Y43" s="30">
        <v>1</v>
      </c>
      <c r="Z43" s="20">
        <v>0</v>
      </c>
      <c r="AA43" s="29">
        <v>0</v>
      </c>
    </row>
    <row r="44" spans="1:27" ht="14.25" customHeight="1">
      <c r="A44" s="39"/>
      <c r="B44" s="30">
        <v>6541</v>
      </c>
      <c r="C44" s="20" t="s">
        <v>263</v>
      </c>
      <c r="D44" s="20" t="s">
        <v>452</v>
      </c>
      <c r="E44" s="20" t="s">
        <v>570</v>
      </c>
      <c r="F44" s="20" t="s">
        <v>571</v>
      </c>
      <c r="G44" s="29" t="s">
        <v>572</v>
      </c>
      <c r="H44" s="20" t="s">
        <v>573</v>
      </c>
      <c r="I44" s="125" t="s">
        <v>573</v>
      </c>
      <c r="J44" s="29" t="b">
        <v>0</v>
      </c>
      <c r="K44" s="102">
        <v>1.0863037260983E-3</v>
      </c>
      <c r="L44" s="56">
        <v>1.6271882430191999E-3</v>
      </c>
      <c r="M44" s="56">
        <v>1.2845898525187E-3</v>
      </c>
      <c r="N44" s="56">
        <v>1.0975397586318999E-3</v>
      </c>
      <c r="O44" s="57">
        <v>1.5746268944729E-3</v>
      </c>
      <c r="P44" s="56">
        <v>0.99440279606929405</v>
      </c>
      <c r="Q44" s="56">
        <v>1.9235671742102E-3</v>
      </c>
      <c r="R44" s="56">
        <v>3.0971686827062999E-3</v>
      </c>
      <c r="S44" s="56">
        <v>1.4147130153597E-3</v>
      </c>
      <c r="T44" s="56">
        <v>3.7578781913351303E-2</v>
      </c>
      <c r="U44" s="56">
        <v>1.7628134502666001E-3</v>
      </c>
      <c r="V44" s="56">
        <v>1.0435690060005001E-3</v>
      </c>
      <c r="W44" s="56">
        <v>3.7495313085860002E-4</v>
      </c>
      <c r="X44" s="56">
        <v>1.0999826318531E-3</v>
      </c>
      <c r="Y44" s="30">
        <v>0</v>
      </c>
      <c r="Z44" s="20">
        <v>0</v>
      </c>
      <c r="AA44" s="29">
        <v>1</v>
      </c>
    </row>
    <row r="45" spans="1:27" ht="14.25" customHeight="1">
      <c r="A45" s="39"/>
      <c r="B45" s="30">
        <v>6613</v>
      </c>
      <c r="C45" s="20" t="s">
        <v>262</v>
      </c>
      <c r="D45" s="20" t="s">
        <v>261</v>
      </c>
      <c r="E45" s="20" t="s">
        <v>574</v>
      </c>
      <c r="F45" s="20" t="s">
        <v>511</v>
      </c>
      <c r="G45" s="29" t="s">
        <v>575</v>
      </c>
      <c r="H45" s="20" t="s">
        <v>576</v>
      </c>
      <c r="I45" s="125" t="s">
        <v>576</v>
      </c>
      <c r="J45" s="29" t="b">
        <v>0</v>
      </c>
      <c r="K45" s="102">
        <v>1.7123287671230001E-4</v>
      </c>
      <c r="L45" s="56">
        <v>3.3050038704810001E-4</v>
      </c>
      <c r="M45" s="56">
        <v>8.0506007793609998E-4</v>
      </c>
      <c r="N45" s="56">
        <v>1.8884409035040001E-4</v>
      </c>
      <c r="O45" s="57">
        <v>1.7564471367960001E-4</v>
      </c>
      <c r="P45" s="56">
        <v>1.035732780942E-4</v>
      </c>
      <c r="Q45" s="56">
        <v>1.164822364589E-4</v>
      </c>
      <c r="R45" s="56">
        <v>3.4910059960026E-3</v>
      </c>
      <c r="S45" s="56">
        <v>0</v>
      </c>
      <c r="T45" s="56">
        <v>0.99459682850670394</v>
      </c>
      <c r="U45" s="56">
        <v>1.768502962242E-4</v>
      </c>
      <c r="V45" s="56">
        <v>1.31926121372E-4</v>
      </c>
      <c r="W45" s="56">
        <v>1.3161605715897001E-3</v>
      </c>
      <c r="X45" s="56">
        <v>4.0622098421539999E-4</v>
      </c>
      <c r="Y45" s="30">
        <v>0</v>
      </c>
      <c r="Z45" s="20">
        <v>1</v>
      </c>
      <c r="AA45" s="29">
        <v>0</v>
      </c>
    </row>
    <row r="46" spans="1:27" ht="14.25" customHeight="1">
      <c r="A46" s="39"/>
      <c r="B46" s="30">
        <v>6954</v>
      </c>
      <c r="C46" s="20" t="s">
        <v>452</v>
      </c>
      <c r="D46" s="20" t="s">
        <v>263</v>
      </c>
      <c r="E46" s="20" t="s">
        <v>577</v>
      </c>
      <c r="F46" s="20" t="s">
        <v>493</v>
      </c>
      <c r="G46" s="29" t="s">
        <v>578</v>
      </c>
      <c r="H46" s="20" t="s">
        <v>579</v>
      </c>
      <c r="I46" s="125" t="s">
        <v>579</v>
      </c>
      <c r="J46" s="29" t="b">
        <v>1</v>
      </c>
      <c r="K46" s="102">
        <v>0.99544134307656695</v>
      </c>
      <c r="L46" s="56">
        <v>1.9957714151330001E-4</v>
      </c>
      <c r="M46" s="56">
        <v>1.297033683964E-4</v>
      </c>
      <c r="N46" s="56">
        <v>5.7646828199199999E-5</v>
      </c>
      <c r="O46" s="57">
        <v>1.704309967501E-4</v>
      </c>
      <c r="P46" s="56">
        <v>2.5230225810499999E-5</v>
      </c>
      <c r="Q46" s="56">
        <v>1.1673435638026E-3</v>
      </c>
      <c r="R46" s="56">
        <v>7.4593877776539996E-4</v>
      </c>
      <c r="S46" s="56">
        <v>9.5157538591659997E-4</v>
      </c>
      <c r="T46" s="56">
        <v>4.9443951748979998E-4</v>
      </c>
      <c r="U46" s="56">
        <v>2.5191801213786001E-3</v>
      </c>
      <c r="V46" s="56">
        <v>4.0978008468780001E-4</v>
      </c>
      <c r="W46" s="56">
        <v>9.5914061001300003E-5</v>
      </c>
      <c r="X46" s="56">
        <v>6.125949522175E-4</v>
      </c>
      <c r="Y46" s="30">
        <v>1</v>
      </c>
      <c r="Z46" s="20">
        <v>0</v>
      </c>
      <c r="AA46" s="29">
        <v>0</v>
      </c>
    </row>
    <row r="47" spans="1:27" ht="14.25" customHeight="1">
      <c r="A47" s="39"/>
      <c r="B47" s="30">
        <v>7124</v>
      </c>
      <c r="C47" s="20" t="s">
        <v>263</v>
      </c>
      <c r="D47" s="20" t="s">
        <v>452</v>
      </c>
      <c r="E47" s="20" t="s">
        <v>580</v>
      </c>
      <c r="F47" s="20" t="s">
        <v>465</v>
      </c>
      <c r="G47" s="29" t="s">
        <v>581</v>
      </c>
      <c r="H47" s="20" t="s">
        <v>582</v>
      </c>
      <c r="I47" s="125" t="s">
        <v>582</v>
      </c>
      <c r="J47" s="29" t="b">
        <v>1</v>
      </c>
      <c r="K47" s="102">
        <v>2.7511015357979999E-4</v>
      </c>
      <c r="L47" s="56">
        <v>0.90157874707973895</v>
      </c>
      <c r="M47" s="56">
        <v>3.813204508856E-4</v>
      </c>
      <c r="N47" s="56">
        <v>3.68998537655E-4</v>
      </c>
      <c r="O47" s="57">
        <v>2.7479545155469998E-4</v>
      </c>
      <c r="P47" s="56">
        <v>3.5175879396979998E-4</v>
      </c>
      <c r="Q47" s="56">
        <v>1.039603960396E-3</v>
      </c>
      <c r="R47" s="56">
        <v>5.6583488937899998E-5</v>
      </c>
      <c r="S47" s="56">
        <v>1.041232819658E-4</v>
      </c>
      <c r="T47" s="56">
        <v>4.5430334931220002E-4</v>
      </c>
      <c r="U47" s="56">
        <v>1.5839254197400001E-4</v>
      </c>
      <c r="V47" s="56">
        <v>1.3835085777531E-3</v>
      </c>
      <c r="W47" s="56">
        <v>0.994554833779136</v>
      </c>
      <c r="X47" s="56">
        <v>9.8814229249010008E-4</v>
      </c>
      <c r="Y47" s="30">
        <v>1</v>
      </c>
      <c r="Z47" s="20">
        <v>1</v>
      </c>
      <c r="AA47" s="29">
        <v>0</v>
      </c>
    </row>
    <row r="48" spans="1:27" ht="14.25" customHeight="1">
      <c r="A48" s="39"/>
      <c r="B48" s="30">
        <v>7201</v>
      </c>
      <c r="C48" s="20" t="s">
        <v>262</v>
      </c>
      <c r="D48" s="20" t="s">
        <v>261</v>
      </c>
      <c r="E48" s="20" t="s">
        <v>522</v>
      </c>
      <c r="F48" s="20" t="s">
        <v>583</v>
      </c>
      <c r="G48" s="29" t="s">
        <v>584</v>
      </c>
      <c r="H48" s="20" t="s">
        <v>585</v>
      </c>
      <c r="I48" s="125" t="s">
        <v>585</v>
      </c>
      <c r="J48" s="29" t="b">
        <v>0</v>
      </c>
      <c r="K48" s="102">
        <v>1.437479292409E-4</v>
      </c>
      <c r="L48" s="56">
        <v>4.4150608359929999E-4</v>
      </c>
      <c r="M48" s="56">
        <v>1.530765798021E-4</v>
      </c>
      <c r="N48" s="56">
        <v>3.9020015390260003E-4</v>
      </c>
      <c r="O48" s="57">
        <v>1.2898333769789999E-4</v>
      </c>
      <c r="P48" s="56">
        <v>3.283242833691E-4</v>
      </c>
      <c r="Q48" s="56">
        <v>4.9397352301900003E-5</v>
      </c>
      <c r="R48" s="56">
        <v>1.41580892242E-5</v>
      </c>
      <c r="S48" s="56">
        <v>0</v>
      </c>
      <c r="T48" s="56">
        <v>4.7022680606199998E-5</v>
      </c>
      <c r="U48" s="56">
        <v>0.34639095520826202</v>
      </c>
      <c r="V48" s="56">
        <v>4.1940444568709998E-4</v>
      </c>
      <c r="W48" s="56">
        <v>9.5210892126000005E-5</v>
      </c>
      <c r="X48" s="56">
        <v>1.237547181486E-4</v>
      </c>
      <c r="Y48" s="30">
        <v>0</v>
      </c>
      <c r="Z48" s="20">
        <v>1</v>
      </c>
      <c r="AA48" s="29">
        <v>0</v>
      </c>
    </row>
    <row r="49" spans="1:27" ht="14.25" customHeight="1">
      <c r="A49" s="39"/>
      <c r="B49" s="30">
        <v>7424</v>
      </c>
      <c r="C49" s="20" t="s">
        <v>452</v>
      </c>
      <c r="D49" s="20" t="s">
        <v>261</v>
      </c>
      <c r="E49" s="20" t="s">
        <v>473</v>
      </c>
      <c r="F49" s="20" t="s">
        <v>480</v>
      </c>
      <c r="G49" s="29" t="s">
        <v>586</v>
      </c>
      <c r="H49" s="20" t="s">
        <v>587</v>
      </c>
      <c r="I49" s="125" t="s">
        <v>587</v>
      </c>
      <c r="J49" s="29" t="b">
        <v>1</v>
      </c>
      <c r="K49" s="102">
        <v>2.5498387227000001E-6</v>
      </c>
      <c r="L49" s="56">
        <v>7.8271514491000005E-6</v>
      </c>
      <c r="M49" s="56">
        <v>1.53055758212E-5</v>
      </c>
      <c r="N49" s="56">
        <v>1.72076051469E-5</v>
      </c>
      <c r="O49" s="57">
        <v>0</v>
      </c>
      <c r="P49" s="56">
        <v>0</v>
      </c>
      <c r="Q49" s="56">
        <v>0</v>
      </c>
      <c r="R49" s="56">
        <v>0</v>
      </c>
      <c r="S49" s="56">
        <v>0</v>
      </c>
      <c r="T49" s="56">
        <v>3.8040170419900002E-5</v>
      </c>
      <c r="U49" s="56">
        <v>8.746036952E-5</v>
      </c>
      <c r="V49" s="56">
        <v>0</v>
      </c>
      <c r="W49" s="56">
        <v>0.99652516904582999</v>
      </c>
      <c r="X49" s="56">
        <v>5.7893822729099999E-5</v>
      </c>
      <c r="Y49" s="30">
        <v>0</v>
      </c>
      <c r="Z49" s="20">
        <v>1</v>
      </c>
      <c r="AA49" s="29">
        <v>0</v>
      </c>
    </row>
    <row r="50" spans="1:27" ht="14.25" customHeight="1">
      <c r="A50" s="39"/>
      <c r="B50" s="30">
        <v>7842</v>
      </c>
      <c r="C50" s="20" t="s">
        <v>262</v>
      </c>
      <c r="D50" s="20" t="s">
        <v>261</v>
      </c>
      <c r="E50" s="20" t="s">
        <v>588</v>
      </c>
      <c r="F50" s="20" t="s">
        <v>554</v>
      </c>
      <c r="G50" s="29" t="s">
        <v>589</v>
      </c>
      <c r="H50" s="20" t="s">
        <v>590</v>
      </c>
      <c r="I50" s="125" t="s">
        <v>590</v>
      </c>
      <c r="J50" s="29" t="b">
        <v>1</v>
      </c>
      <c r="K50" s="102">
        <v>2.5817067145999998E-6</v>
      </c>
      <c r="L50" s="56">
        <v>4.0866782192400001E-5</v>
      </c>
      <c r="M50" s="56">
        <v>6.62437259548E-5</v>
      </c>
      <c r="N50" s="56">
        <v>1.32617098199E-5</v>
      </c>
      <c r="O50" s="57">
        <v>0.99418530326684396</v>
      </c>
      <c r="P50" s="56">
        <v>2.4981888131099999E-4</v>
      </c>
      <c r="Q50" s="56">
        <v>0</v>
      </c>
      <c r="R50" s="56">
        <v>0</v>
      </c>
      <c r="S50" s="56">
        <v>0</v>
      </c>
      <c r="T50" s="56">
        <v>2.32428412049E-5</v>
      </c>
      <c r="U50" s="56">
        <v>0</v>
      </c>
      <c r="V50" s="56">
        <v>0</v>
      </c>
      <c r="W50" s="56">
        <v>9.4304036212700004E-5</v>
      </c>
      <c r="X50" s="56">
        <v>0</v>
      </c>
      <c r="Y50" s="30">
        <v>1</v>
      </c>
      <c r="Z50" s="20">
        <v>0</v>
      </c>
      <c r="AA50" s="29">
        <v>1</v>
      </c>
    </row>
    <row r="51" spans="1:27" ht="14.25" customHeight="1">
      <c r="A51" s="39"/>
      <c r="B51" s="30">
        <v>8293</v>
      </c>
      <c r="C51" s="20" t="s">
        <v>263</v>
      </c>
      <c r="D51" s="20" t="s">
        <v>452</v>
      </c>
      <c r="E51" s="20" t="s">
        <v>468</v>
      </c>
      <c r="F51" s="20" t="s">
        <v>494</v>
      </c>
      <c r="G51" s="29" t="s">
        <v>591</v>
      </c>
      <c r="H51" s="20" t="s">
        <v>592</v>
      </c>
      <c r="I51" s="125" t="s">
        <v>592</v>
      </c>
      <c r="J51" s="29" t="b">
        <v>0</v>
      </c>
      <c r="K51" s="102">
        <v>1.6743843776122001E-3</v>
      </c>
      <c r="L51" s="56">
        <v>1.6776869645331999E-3</v>
      </c>
      <c r="M51" s="56">
        <v>1.436168049455E-3</v>
      </c>
      <c r="N51" s="56">
        <v>8.8816328540399999E-4</v>
      </c>
      <c r="O51" s="57">
        <v>0.99876362128414398</v>
      </c>
      <c r="P51" s="56">
        <v>3.0175316092670001E-3</v>
      </c>
      <c r="Q51" s="56">
        <v>1.5785500217335999E-3</v>
      </c>
      <c r="R51" s="56">
        <v>1.0676860212219001E-3</v>
      </c>
      <c r="S51" s="56">
        <v>6.0126265156819998E-4</v>
      </c>
      <c r="T51" s="56">
        <v>1.3293225772146001E-3</v>
      </c>
      <c r="U51" s="56">
        <v>2.7198746681751998E-3</v>
      </c>
      <c r="V51" s="56">
        <v>4.1612483745122998E-3</v>
      </c>
      <c r="W51" s="56">
        <v>1.0282295756215999E-3</v>
      </c>
      <c r="X51" s="56">
        <v>2.295815875566E-4</v>
      </c>
      <c r="Y51" s="30">
        <v>1</v>
      </c>
      <c r="Z51" s="20">
        <v>0</v>
      </c>
      <c r="AA51" s="29">
        <v>1</v>
      </c>
    </row>
    <row r="52" spans="1:27" ht="14.25" customHeight="1">
      <c r="A52" s="127"/>
      <c r="B52" s="35">
        <v>8393</v>
      </c>
      <c r="C52" s="33" t="s">
        <v>261</v>
      </c>
      <c r="D52" s="33" t="s">
        <v>262</v>
      </c>
      <c r="E52" s="33" t="s">
        <v>461</v>
      </c>
      <c r="F52" s="33" t="s">
        <v>494</v>
      </c>
      <c r="G52" s="32" t="s">
        <v>593</v>
      </c>
      <c r="H52" s="33" t="s">
        <v>594</v>
      </c>
      <c r="I52" s="128" t="s">
        <v>594</v>
      </c>
      <c r="J52" s="32" t="b">
        <v>1</v>
      </c>
      <c r="K52" s="103">
        <v>2.7344771423299999E-5</v>
      </c>
      <c r="L52" s="95">
        <v>1.9531947193689999E-4</v>
      </c>
      <c r="M52" s="95">
        <v>2.3154627108720001E-4</v>
      </c>
      <c r="N52" s="95">
        <v>0.38514108159009902</v>
      </c>
      <c r="O52" s="77">
        <v>0.99846838838284102</v>
      </c>
      <c r="P52" s="95">
        <v>3.4961542303459998E-4</v>
      </c>
      <c r="Q52" s="95">
        <v>2.3225566703800001E-5</v>
      </c>
      <c r="R52" s="95">
        <v>1.3345967515899999E-5</v>
      </c>
      <c r="S52" s="95">
        <v>0</v>
      </c>
      <c r="T52" s="95">
        <v>0</v>
      </c>
      <c r="U52" s="95">
        <v>2.2031284423799999E-5</v>
      </c>
      <c r="V52" s="95">
        <v>0</v>
      </c>
      <c r="W52" s="95">
        <v>0</v>
      </c>
      <c r="X52" s="95">
        <v>5.8613211417799997E-5</v>
      </c>
      <c r="Y52" s="35">
        <v>2</v>
      </c>
      <c r="Z52" s="33">
        <v>0</v>
      </c>
      <c r="AA52" s="32">
        <v>2</v>
      </c>
    </row>
    <row r="53" spans="1:27" ht="14.25" customHeight="1">
      <c r="A53" s="21" t="s">
        <v>270</v>
      </c>
      <c r="B53" s="26">
        <v>8593</v>
      </c>
      <c r="C53" s="27" t="s">
        <v>452</v>
      </c>
      <c r="D53" s="27" t="s">
        <v>263</v>
      </c>
      <c r="E53" s="27" t="s">
        <v>480</v>
      </c>
      <c r="F53" s="27" t="s">
        <v>483</v>
      </c>
      <c r="G53" s="124" t="s">
        <v>595</v>
      </c>
      <c r="H53" s="27" t="s">
        <v>596</v>
      </c>
      <c r="I53" s="125" t="s">
        <v>596</v>
      </c>
      <c r="J53" s="124" t="b">
        <v>0</v>
      </c>
      <c r="K53" s="126">
        <v>2.74184579345E-5</v>
      </c>
      <c r="L53" s="85">
        <v>1.9995451485130001E-4</v>
      </c>
      <c r="M53" s="85">
        <v>2.2520799220571001E-3</v>
      </c>
      <c r="N53" s="85">
        <v>4.0602855137100001E-5</v>
      </c>
      <c r="O53" s="76">
        <v>2.3066986528799999E-5</v>
      </c>
      <c r="P53" s="85">
        <v>2.4993126890099999E-5</v>
      </c>
      <c r="Q53" s="85">
        <v>2.33470302577E-5</v>
      </c>
      <c r="R53" s="85">
        <v>0</v>
      </c>
      <c r="S53" s="85">
        <v>0.99232893525621302</v>
      </c>
      <c r="T53" s="85">
        <v>2.3054400700800001E-5</v>
      </c>
      <c r="U53" s="85">
        <v>0</v>
      </c>
      <c r="V53" s="85">
        <v>1.328727079457E-4</v>
      </c>
      <c r="W53" s="85">
        <v>0</v>
      </c>
      <c r="X53" s="85">
        <v>0</v>
      </c>
      <c r="Y53" s="26">
        <v>0</v>
      </c>
      <c r="Z53" s="27">
        <v>1</v>
      </c>
      <c r="AA53" s="124">
        <v>0</v>
      </c>
    </row>
    <row r="54" spans="1:27" ht="14.25" customHeight="1">
      <c r="A54" s="39"/>
      <c r="B54" s="30">
        <v>8809</v>
      </c>
      <c r="C54" s="20" t="s">
        <v>263</v>
      </c>
      <c r="D54" s="20" t="s">
        <v>452</v>
      </c>
      <c r="E54" s="20" t="s">
        <v>458</v>
      </c>
      <c r="F54" s="20" t="s">
        <v>457</v>
      </c>
      <c r="G54" s="29" t="s">
        <v>597</v>
      </c>
      <c r="H54" s="20" t="s">
        <v>598</v>
      </c>
      <c r="I54" s="125" t="s">
        <v>598</v>
      </c>
      <c r="J54" s="29" t="b">
        <v>0</v>
      </c>
      <c r="K54" s="102">
        <v>8.6084486271199994E-5</v>
      </c>
      <c r="L54" s="56">
        <v>6.3471826351350002E-4</v>
      </c>
      <c r="M54" s="56">
        <v>3.6976032807819998E-4</v>
      </c>
      <c r="N54" s="56">
        <v>2.240963870664E-4</v>
      </c>
      <c r="O54" s="57">
        <v>3.2208493729040001E-4</v>
      </c>
      <c r="P54" s="56">
        <v>2.7611134817639998E-4</v>
      </c>
      <c r="Q54" s="56">
        <v>4.8516604807899998E-5</v>
      </c>
      <c r="R54" s="56">
        <v>4.6139858052080001E-4</v>
      </c>
      <c r="S54" s="56">
        <v>2.0521239482859999E-4</v>
      </c>
      <c r="T54" s="56">
        <v>3.1350874341050999E-3</v>
      </c>
      <c r="U54" s="56">
        <v>0.31189775160599498</v>
      </c>
      <c r="V54" s="56">
        <v>2.6845637583890002E-4</v>
      </c>
      <c r="W54" s="56">
        <v>2.8444107329090001E-4</v>
      </c>
      <c r="X54" s="56">
        <v>0</v>
      </c>
      <c r="Y54" s="30">
        <v>0</v>
      </c>
      <c r="Z54" s="20">
        <v>1</v>
      </c>
      <c r="AA54" s="29">
        <v>0</v>
      </c>
    </row>
    <row r="55" spans="1:27" ht="14.25" customHeight="1">
      <c r="A55" s="39"/>
      <c r="B55" s="30">
        <v>8947</v>
      </c>
      <c r="C55" s="20" t="s">
        <v>263</v>
      </c>
      <c r="D55" s="20" t="s">
        <v>452</v>
      </c>
      <c r="E55" s="20" t="s">
        <v>588</v>
      </c>
      <c r="F55" s="20" t="s">
        <v>539</v>
      </c>
      <c r="G55" s="29" t="s">
        <v>599</v>
      </c>
      <c r="H55" s="20" t="s">
        <v>600</v>
      </c>
      <c r="I55" s="125" t="s">
        <v>600</v>
      </c>
      <c r="J55" s="29" t="b">
        <v>0</v>
      </c>
      <c r="K55" s="102">
        <v>2.6311501011709999E-4</v>
      </c>
      <c r="L55" s="56">
        <v>7.6474361970140002E-4</v>
      </c>
      <c r="M55" s="56">
        <v>1.6519528989478E-3</v>
      </c>
      <c r="N55" s="56">
        <v>2.5249123401239999E-4</v>
      </c>
      <c r="O55" s="57">
        <v>3.3860349146370001E-4</v>
      </c>
      <c r="P55" s="56">
        <v>1.9996000799839999E-4</v>
      </c>
      <c r="Q55" s="56">
        <v>9.1633831210399997E-5</v>
      </c>
      <c r="R55" s="56">
        <v>0.64720689839858603</v>
      </c>
      <c r="S55" s="56">
        <v>2.008233758409E-4</v>
      </c>
      <c r="T55" s="56">
        <v>3.0392827292750001E-4</v>
      </c>
      <c r="U55" s="56">
        <v>5.6947608200450005E-4</v>
      </c>
      <c r="V55" s="56">
        <v>3.901170351105E-4</v>
      </c>
      <c r="W55" s="56">
        <v>0</v>
      </c>
      <c r="X55" s="56">
        <v>2.314413007001E-4</v>
      </c>
      <c r="Y55" s="30">
        <v>0</v>
      </c>
      <c r="Z55" s="20">
        <v>1</v>
      </c>
      <c r="AA55" s="29">
        <v>0</v>
      </c>
    </row>
    <row r="56" spans="1:27" ht="14.25" customHeight="1">
      <c r="A56" s="39"/>
      <c r="B56" s="30">
        <v>8986</v>
      </c>
      <c r="C56" s="20" t="s">
        <v>263</v>
      </c>
      <c r="D56" s="20" t="s">
        <v>452</v>
      </c>
      <c r="E56" s="20" t="s">
        <v>458</v>
      </c>
      <c r="F56" s="20" t="s">
        <v>457</v>
      </c>
      <c r="G56" s="29" t="s">
        <v>601</v>
      </c>
      <c r="H56" s="20" t="s">
        <v>602</v>
      </c>
      <c r="I56" s="125" t="s">
        <v>602</v>
      </c>
      <c r="J56" s="29" t="b">
        <v>0</v>
      </c>
      <c r="K56" s="102">
        <v>2.9786691595137999E-3</v>
      </c>
      <c r="L56" s="56">
        <v>0.90637391197194905</v>
      </c>
      <c r="M56" s="56">
        <v>7.6169029010460004E-4</v>
      </c>
      <c r="N56" s="56">
        <v>4.194647014681E-4</v>
      </c>
      <c r="O56" s="57">
        <v>4.3499349434499999E-4</v>
      </c>
      <c r="P56" s="56">
        <v>2.9989503673710002E-4</v>
      </c>
      <c r="Q56" s="56">
        <v>9.658725048293E-4</v>
      </c>
      <c r="R56" s="56">
        <v>2.1301523058889999E-4</v>
      </c>
      <c r="S56" s="56">
        <v>5.0337259639580002E-4</v>
      </c>
      <c r="T56" s="56">
        <v>5.4839176498359997E-4</v>
      </c>
      <c r="U56" s="56">
        <v>2.2594656254113E-3</v>
      </c>
      <c r="V56" s="56">
        <v>2.4830109775221998E-3</v>
      </c>
      <c r="W56" s="56">
        <v>8.4309133489460003E-4</v>
      </c>
      <c r="X56" s="56">
        <v>1.112737920937E-3</v>
      </c>
      <c r="Y56" s="30">
        <v>1</v>
      </c>
      <c r="Z56" s="20">
        <v>0</v>
      </c>
      <c r="AA56" s="29">
        <v>0</v>
      </c>
    </row>
    <row r="57" spans="1:27" ht="14.25" customHeight="1">
      <c r="A57" s="39"/>
      <c r="B57" s="30">
        <v>9053</v>
      </c>
      <c r="C57" s="20" t="s">
        <v>261</v>
      </c>
      <c r="D57" s="20" t="s">
        <v>452</v>
      </c>
      <c r="E57" s="20" t="s">
        <v>574</v>
      </c>
      <c r="F57" s="20" t="s">
        <v>523</v>
      </c>
      <c r="G57" s="29" t="s">
        <v>603</v>
      </c>
      <c r="H57" s="20" t="s">
        <v>604</v>
      </c>
      <c r="I57" s="125" t="s">
        <v>604</v>
      </c>
      <c r="J57" s="29" t="b">
        <v>1</v>
      </c>
      <c r="K57" s="102">
        <v>1.5050393308439999E-4</v>
      </c>
      <c r="L57" s="56">
        <v>0.90452487589689901</v>
      </c>
      <c r="M57" s="56">
        <v>1.2766794079269999E-4</v>
      </c>
      <c r="N57" s="56">
        <v>1.781070614819E-4</v>
      </c>
      <c r="O57" s="57">
        <v>6.1453136222299997E-5</v>
      </c>
      <c r="P57" s="56">
        <v>9.9910080927100007E-5</v>
      </c>
      <c r="Q57" s="56">
        <v>4.3672137176479998E-4</v>
      </c>
      <c r="R57" s="56">
        <v>2.7564155572E-5</v>
      </c>
      <c r="S57" s="56">
        <v>0</v>
      </c>
      <c r="T57" s="56">
        <v>2.9701613026059999E-4</v>
      </c>
      <c r="U57" s="56">
        <v>6.5790916467399995E-5</v>
      </c>
      <c r="V57" s="56">
        <v>1.5682174594877001E-3</v>
      </c>
      <c r="W57" s="56">
        <v>2.8100412139370001E-4</v>
      </c>
      <c r="X57" s="56">
        <v>1.1098779134295E-3</v>
      </c>
      <c r="Y57" s="30">
        <v>1</v>
      </c>
      <c r="Z57" s="20">
        <v>0</v>
      </c>
      <c r="AA57" s="29">
        <v>0</v>
      </c>
    </row>
    <row r="58" spans="1:27" ht="14.25" customHeight="1">
      <c r="A58" s="39"/>
      <c r="B58" s="30">
        <v>9344</v>
      </c>
      <c r="C58" s="20" t="s">
        <v>263</v>
      </c>
      <c r="D58" s="20" t="s">
        <v>452</v>
      </c>
      <c r="E58" s="20" t="s">
        <v>605</v>
      </c>
      <c r="F58" s="20" t="s">
        <v>473</v>
      </c>
      <c r="G58" s="29" t="s">
        <v>606</v>
      </c>
      <c r="H58" s="20" t="s">
        <v>607</v>
      </c>
      <c r="I58" s="125" t="s">
        <v>607</v>
      </c>
      <c r="J58" s="29" t="b">
        <v>1</v>
      </c>
      <c r="K58" s="102">
        <v>2.0457857164098E-3</v>
      </c>
      <c r="L58" s="56">
        <v>8.6263637518719995E-4</v>
      </c>
      <c r="M58" s="56">
        <v>0.99801731287580298</v>
      </c>
      <c r="N58" s="56">
        <v>0.61262888638145596</v>
      </c>
      <c r="O58" s="57">
        <v>0.99828150097729895</v>
      </c>
      <c r="P58" s="56">
        <v>0.99895814804462102</v>
      </c>
      <c r="Q58" s="56">
        <v>2.59998086490623E-2</v>
      </c>
      <c r="R58" s="56">
        <v>6.0508269463490001E-4</v>
      </c>
      <c r="S58" s="56">
        <v>7.3902027027019995E-4</v>
      </c>
      <c r="T58" s="56">
        <v>4.9719649329325998E-3</v>
      </c>
      <c r="U58" s="56">
        <v>8.1742665252729999E-4</v>
      </c>
      <c r="V58" s="56">
        <v>3.9808917197449998E-4</v>
      </c>
      <c r="W58" s="56">
        <v>9.4921689606070005E-4</v>
      </c>
      <c r="X58" s="56">
        <v>9.7503900155999999E-4</v>
      </c>
      <c r="Y58" s="30">
        <v>3</v>
      </c>
      <c r="Z58" s="20">
        <v>0</v>
      </c>
      <c r="AA58" s="29">
        <v>4</v>
      </c>
    </row>
    <row r="59" spans="1:27" ht="14.25" customHeight="1">
      <c r="A59" s="39"/>
      <c r="B59" s="30">
        <v>9424</v>
      </c>
      <c r="C59" s="20" t="s">
        <v>262</v>
      </c>
      <c r="D59" s="20" t="s">
        <v>261</v>
      </c>
      <c r="E59" s="20" t="s">
        <v>574</v>
      </c>
      <c r="F59" s="20" t="s">
        <v>511</v>
      </c>
      <c r="G59" s="29" t="s">
        <v>608</v>
      </c>
      <c r="H59" s="20" t="s">
        <v>609</v>
      </c>
      <c r="I59" s="125" t="s">
        <v>609</v>
      </c>
      <c r="J59" s="29" t="b">
        <v>0</v>
      </c>
      <c r="K59" s="102">
        <v>4.4613021403700001E-5</v>
      </c>
      <c r="L59" s="56">
        <v>9.2026730789299994E-5</v>
      </c>
      <c r="M59" s="56">
        <v>0.99815907567867801</v>
      </c>
      <c r="N59" s="56">
        <v>0.60765652049501695</v>
      </c>
      <c r="O59" s="57">
        <v>0.99675584201886402</v>
      </c>
      <c r="P59" s="56">
        <v>0.99691919191919198</v>
      </c>
      <c r="Q59" s="56">
        <v>4.7854903931199999E-5</v>
      </c>
      <c r="R59" s="56">
        <v>2.6841314150700001E-5</v>
      </c>
      <c r="S59" s="56">
        <v>1.058313048999E-4</v>
      </c>
      <c r="T59" s="56">
        <v>2.32201736868E-5</v>
      </c>
      <c r="U59" s="56">
        <v>4.41296529202E-5</v>
      </c>
      <c r="V59" s="56">
        <v>0</v>
      </c>
      <c r="W59" s="56">
        <v>0</v>
      </c>
      <c r="X59" s="56">
        <v>6.4909775412100006E-5</v>
      </c>
      <c r="Y59" s="30">
        <v>3</v>
      </c>
      <c r="Z59" s="20">
        <v>0</v>
      </c>
      <c r="AA59" s="29">
        <v>4</v>
      </c>
    </row>
    <row r="60" spans="1:27" ht="14.25" customHeight="1">
      <c r="A60" s="39"/>
      <c r="B60" s="30">
        <v>9534</v>
      </c>
      <c r="C60" s="20" t="s">
        <v>263</v>
      </c>
      <c r="D60" s="20" t="s">
        <v>452</v>
      </c>
      <c r="E60" s="20" t="s">
        <v>494</v>
      </c>
      <c r="F60" s="20" t="s">
        <v>499</v>
      </c>
      <c r="G60" s="29" t="s">
        <v>610</v>
      </c>
      <c r="H60" s="20" t="s">
        <v>611</v>
      </c>
      <c r="I60" s="125" t="s">
        <v>611</v>
      </c>
      <c r="J60" s="29" t="b">
        <v>1</v>
      </c>
      <c r="K60" s="102">
        <v>1.5508975606590001E-4</v>
      </c>
      <c r="L60" s="56">
        <v>4.9362728297019996E-4</v>
      </c>
      <c r="M60" s="56">
        <v>0.99755112194894402</v>
      </c>
      <c r="N60" s="56">
        <v>0.60848544618063904</v>
      </c>
      <c r="O60" s="57">
        <v>0.99869217255514298</v>
      </c>
      <c r="P60" s="56">
        <v>0.99876606683804603</v>
      </c>
      <c r="Q60" s="56">
        <v>2.2984278753330001E-4</v>
      </c>
      <c r="R60" s="56">
        <v>2.3225630165989999E-4</v>
      </c>
      <c r="S60" s="56">
        <v>5.0464271295919995E-4</v>
      </c>
      <c r="T60" s="56">
        <v>2.288905674197E-4</v>
      </c>
      <c r="U60" s="56">
        <v>2.6218619589669998E-4</v>
      </c>
      <c r="V60" s="56">
        <v>3.9016777214199999E-4</v>
      </c>
      <c r="W60" s="56">
        <v>1.6853932584269E-3</v>
      </c>
      <c r="X60" s="56">
        <v>1.2049644535485999E-3</v>
      </c>
      <c r="Y60" s="30">
        <v>3</v>
      </c>
      <c r="Z60" s="20">
        <v>0</v>
      </c>
      <c r="AA60" s="29">
        <v>4</v>
      </c>
    </row>
    <row r="61" spans="1:27" ht="14.25" customHeight="1">
      <c r="A61" s="39"/>
      <c r="B61" s="30">
        <v>9565</v>
      </c>
      <c r="C61" s="20" t="s">
        <v>263</v>
      </c>
      <c r="D61" s="20" t="s">
        <v>452</v>
      </c>
      <c r="E61" s="20" t="s">
        <v>472</v>
      </c>
      <c r="F61" s="20" t="s">
        <v>473</v>
      </c>
      <c r="G61" s="29" t="s">
        <v>612</v>
      </c>
      <c r="H61" s="20" t="s">
        <v>613</v>
      </c>
      <c r="I61" s="125" t="s">
        <v>613</v>
      </c>
      <c r="J61" s="29" t="b">
        <v>0</v>
      </c>
      <c r="K61" s="102">
        <v>3.2049913856250999E-3</v>
      </c>
      <c r="L61" s="56">
        <v>2.2342236964057001E-3</v>
      </c>
      <c r="M61" s="56">
        <v>1.6896316192217E-3</v>
      </c>
      <c r="N61" s="56">
        <v>2.3093463642795001E-3</v>
      </c>
      <c r="O61" s="57">
        <v>1.9760171074357001E-3</v>
      </c>
      <c r="P61" s="56">
        <v>1.0812985641359999E-3</v>
      </c>
      <c r="Q61" s="56">
        <v>1.452818005719E-3</v>
      </c>
      <c r="R61" s="56">
        <v>1.9893635362925998E-3</v>
      </c>
      <c r="S61" s="56">
        <v>0.96267735965453405</v>
      </c>
      <c r="T61" s="56">
        <v>4.3227995273129004E-3</v>
      </c>
      <c r="U61" s="56">
        <v>1.2048192771084E-3</v>
      </c>
      <c r="V61" s="56">
        <v>1.564945226917E-3</v>
      </c>
      <c r="W61" s="56">
        <v>1.9675817483369002E-3</v>
      </c>
      <c r="X61" s="56">
        <v>1.5221626887481001E-3</v>
      </c>
      <c r="Y61" s="30">
        <v>0</v>
      </c>
      <c r="Z61" s="20">
        <v>1</v>
      </c>
      <c r="AA61" s="29">
        <v>0</v>
      </c>
    </row>
    <row r="62" spans="1:27" ht="14.25" customHeight="1">
      <c r="A62" s="39"/>
      <c r="B62" s="30">
        <v>9693</v>
      </c>
      <c r="C62" s="20" t="s">
        <v>263</v>
      </c>
      <c r="D62" s="20" t="s">
        <v>452</v>
      </c>
      <c r="E62" s="20" t="s">
        <v>461</v>
      </c>
      <c r="F62" s="20" t="s">
        <v>480</v>
      </c>
      <c r="G62" s="29" t="s">
        <v>614</v>
      </c>
      <c r="H62" s="20" t="s">
        <v>615</v>
      </c>
      <c r="I62" s="125" t="s">
        <v>615</v>
      </c>
      <c r="J62" s="29" t="b">
        <v>1</v>
      </c>
      <c r="K62" s="102">
        <v>3.4509988923985E-3</v>
      </c>
      <c r="L62" s="56">
        <v>2.2757871546157998E-3</v>
      </c>
      <c r="M62" s="56">
        <v>2.1370814454067999E-3</v>
      </c>
      <c r="N62" s="56">
        <v>1.0500325128305001E-3</v>
      </c>
      <c r="O62" s="57">
        <v>2.8164436982072E-3</v>
      </c>
      <c r="P62" s="56">
        <v>0.996986960374731</v>
      </c>
      <c r="Q62" s="56">
        <v>1.9634566076089E-3</v>
      </c>
      <c r="R62" s="56">
        <v>1.1565919091741999E-3</v>
      </c>
      <c r="S62" s="56">
        <v>7.0929172155230003E-4</v>
      </c>
      <c r="T62" s="56">
        <v>1.8706288366979E-3</v>
      </c>
      <c r="U62" s="56">
        <v>3.7230081906179999E-4</v>
      </c>
      <c r="V62" s="56">
        <v>9.1599057838260005E-4</v>
      </c>
      <c r="W62" s="56">
        <v>4.4077651692768999E-3</v>
      </c>
      <c r="X62" s="56">
        <v>5.4884742041709999E-4</v>
      </c>
      <c r="Y62" s="30">
        <v>0</v>
      </c>
      <c r="Z62" s="20">
        <v>0</v>
      </c>
      <c r="AA62" s="29">
        <v>1</v>
      </c>
    </row>
    <row r="63" spans="1:27" ht="14.25" customHeight="1">
      <c r="A63" s="39"/>
      <c r="B63" s="30">
        <v>9738</v>
      </c>
      <c r="C63" s="20" t="s">
        <v>261</v>
      </c>
      <c r="D63" s="20" t="s">
        <v>263</v>
      </c>
      <c r="E63" s="20" t="s">
        <v>453</v>
      </c>
      <c r="F63" s="20" t="s">
        <v>494</v>
      </c>
      <c r="G63" s="29" t="s">
        <v>616</v>
      </c>
      <c r="H63" s="20" t="s">
        <v>617</v>
      </c>
      <c r="I63" s="125" t="s">
        <v>617</v>
      </c>
      <c r="J63" s="29" t="b">
        <v>1</v>
      </c>
      <c r="K63" s="102">
        <v>7.6970706659000006E-6</v>
      </c>
      <c r="L63" s="56">
        <v>4.5074028457487798E-7</v>
      </c>
      <c r="M63" s="56">
        <v>0</v>
      </c>
      <c r="N63" s="56">
        <v>4.65579187492929E-7</v>
      </c>
      <c r="O63" s="57">
        <v>1.1611929321999999E-5</v>
      </c>
      <c r="P63" s="56">
        <v>0</v>
      </c>
      <c r="Q63" s="56">
        <v>0</v>
      </c>
      <c r="R63" s="56">
        <v>0.313874754597539</v>
      </c>
      <c r="S63" s="56">
        <v>0</v>
      </c>
      <c r="T63" s="56">
        <v>7.6367940738E-6</v>
      </c>
      <c r="U63" s="56">
        <v>2.1922613175399999E-5</v>
      </c>
      <c r="V63" s="56">
        <v>0</v>
      </c>
      <c r="W63" s="56">
        <v>0</v>
      </c>
      <c r="X63" s="56">
        <v>0</v>
      </c>
      <c r="Y63" s="30">
        <v>0</v>
      </c>
      <c r="Z63" s="20">
        <v>1</v>
      </c>
      <c r="AA63" s="29">
        <v>0</v>
      </c>
    </row>
    <row r="64" spans="1:27" ht="14.25" customHeight="1">
      <c r="A64" s="39"/>
      <c r="B64" s="30">
        <v>9857</v>
      </c>
      <c r="C64" s="20" t="s">
        <v>263</v>
      </c>
      <c r="D64" s="20" t="s">
        <v>452</v>
      </c>
      <c r="E64" s="20" t="s">
        <v>567</v>
      </c>
      <c r="F64" s="20" t="s">
        <v>523</v>
      </c>
      <c r="G64" s="29" t="s">
        <v>618</v>
      </c>
      <c r="H64" s="20" t="s">
        <v>619</v>
      </c>
      <c r="I64" s="125" t="s">
        <v>619</v>
      </c>
      <c r="J64" s="29" t="b">
        <v>0</v>
      </c>
      <c r="K64" s="102">
        <v>2.7006087625790999E-3</v>
      </c>
      <c r="L64" s="56">
        <v>2.5377147850374998E-3</v>
      </c>
      <c r="M64" s="56">
        <v>1.2313316301192001E-3</v>
      </c>
      <c r="N64" s="56">
        <v>3.4773959982112002E-3</v>
      </c>
      <c r="O64" s="57">
        <v>1.5562033284168999E-3</v>
      </c>
      <c r="P64" s="56">
        <v>2.8874158883196999E-3</v>
      </c>
      <c r="Q64" s="56">
        <v>8.9508644650679997E-4</v>
      </c>
      <c r="R64" s="56">
        <v>6.090133982947E-4</v>
      </c>
      <c r="S64" s="56">
        <v>3.0349013657049998E-4</v>
      </c>
      <c r="T64" s="56">
        <v>2.0022687303484E-3</v>
      </c>
      <c r="U64" s="56">
        <v>4.9504950495049002E-3</v>
      </c>
      <c r="V64" s="56">
        <v>1.3053126223729999E-4</v>
      </c>
      <c r="W64" s="56">
        <v>0.98166106577052303</v>
      </c>
      <c r="X64" s="56">
        <v>2.1051400502894E-3</v>
      </c>
      <c r="Y64" s="30">
        <v>0</v>
      </c>
      <c r="Z64" s="20">
        <v>1</v>
      </c>
      <c r="AA64" s="29">
        <v>0</v>
      </c>
    </row>
    <row r="65" spans="1:27" ht="14.25" customHeight="1">
      <c r="A65" s="39"/>
      <c r="B65" s="30">
        <v>9866</v>
      </c>
      <c r="C65" s="20" t="s">
        <v>263</v>
      </c>
      <c r="D65" s="20" t="s">
        <v>452</v>
      </c>
      <c r="E65" s="20" t="s">
        <v>605</v>
      </c>
      <c r="F65" s="20" t="s">
        <v>473</v>
      </c>
      <c r="G65" s="29" t="s">
        <v>620</v>
      </c>
      <c r="H65" s="20" t="s">
        <v>621</v>
      </c>
      <c r="I65" s="125" t="s">
        <v>621</v>
      </c>
      <c r="J65" s="29" t="b">
        <v>1</v>
      </c>
      <c r="K65" s="102">
        <v>1.319632988781E-4</v>
      </c>
      <c r="L65" s="56">
        <v>1.7841609595950001E-4</v>
      </c>
      <c r="M65" s="56">
        <v>0.99755713322247297</v>
      </c>
      <c r="N65" s="56">
        <v>0.344663008522407</v>
      </c>
      <c r="O65" s="57">
        <v>7.633380735206E-4</v>
      </c>
      <c r="P65" s="56">
        <v>0.99853572330219598</v>
      </c>
      <c r="Q65" s="56">
        <v>1.700762913649E-4</v>
      </c>
      <c r="R65" s="56">
        <v>2.6562188724349998E-4</v>
      </c>
      <c r="S65" s="56">
        <v>0</v>
      </c>
      <c r="T65" s="56">
        <v>3.0525263471100002E-5</v>
      </c>
      <c r="U65" s="56">
        <v>5.0216147766469999E-4</v>
      </c>
      <c r="V65" s="56">
        <v>0</v>
      </c>
      <c r="W65" s="56">
        <v>1.880406167732E-4</v>
      </c>
      <c r="X65" s="56">
        <v>1.1713030746700001E-4</v>
      </c>
      <c r="Y65" s="30">
        <v>2</v>
      </c>
      <c r="Z65" s="20">
        <v>0</v>
      </c>
      <c r="AA65" s="29">
        <v>3</v>
      </c>
    </row>
    <row r="66" spans="1:27" ht="14.25" customHeight="1">
      <c r="A66" s="39"/>
      <c r="B66" s="30">
        <v>9867</v>
      </c>
      <c r="C66" s="20" t="s">
        <v>452</v>
      </c>
      <c r="D66" s="20" t="s">
        <v>263</v>
      </c>
      <c r="E66" s="20" t="s">
        <v>605</v>
      </c>
      <c r="F66" s="20" t="s">
        <v>580</v>
      </c>
      <c r="G66" s="29" t="s">
        <v>622</v>
      </c>
      <c r="H66" s="20" t="s">
        <v>623</v>
      </c>
      <c r="I66" s="125" t="s">
        <v>623</v>
      </c>
      <c r="J66" s="29" t="b">
        <v>1</v>
      </c>
      <c r="K66" s="102">
        <v>9.11000372062E-5</v>
      </c>
      <c r="L66" s="56">
        <v>4.8254326785899999E-5</v>
      </c>
      <c r="M66" s="56">
        <v>2.9463155683309998E-4</v>
      </c>
      <c r="N66" s="56">
        <v>3.7147993737400001E-5</v>
      </c>
      <c r="O66" s="57">
        <v>1.5492166773169999E-4</v>
      </c>
      <c r="P66" s="56">
        <v>2.5120578778100001E-5</v>
      </c>
      <c r="Q66" s="56">
        <v>1.700804237432E-4</v>
      </c>
      <c r="R66" s="56">
        <v>7.9690799697099994E-5</v>
      </c>
      <c r="S66" s="56">
        <v>1.019679820536E-4</v>
      </c>
      <c r="T66" s="56">
        <v>2.9764403300029999E-4</v>
      </c>
      <c r="U66" s="56">
        <v>0.99269737849006201</v>
      </c>
      <c r="V66" s="56">
        <v>0</v>
      </c>
      <c r="W66" s="56">
        <v>0.99792863195555903</v>
      </c>
      <c r="X66" s="56">
        <v>1.171440285831E-4</v>
      </c>
      <c r="Y66" s="30">
        <v>0</v>
      </c>
      <c r="Z66" s="20">
        <v>2</v>
      </c>
      <c r="AA66" s="29">
        <v>0</v>
      </c>
    </row>
    <row r="67" spans="1:27" ht="14.25" customHeight="1">
      <c r="A67" s="127"/>
      <c r="B67" s="35">
        <v>10029</v>
      </c>
      <c r="C67" s="33" t="s">
        <v>263</v>
      </c>
      <c r="D67" s="33" t="s">
        <v>452</v>
      </c>
      <c r="E67" s="33" t="s">
        <v>468</v>
      </c>
      <c r="F67" s="33" t="s">
        <v>469</v>
      </c>
      <c r="G67" s="32" t="s">
        <v>624</v>
      </c>
      <c r="H67" s="33" t="s">
        <v>625</v>
      </c>
      <c r="I67" s="128" t="s">
        <v>625</v>
      </c>
      <c r="J67" s="32" t="b">
        <v>1</v>
      </c>
      <c r="K67" s="103">
        <v>7.0157714542289995E-4</v>
      </c>
      <c r="L67" s="95">
        <v>0.90394362551181495</v>
      </c>
      <c r="M67" s="95">
        <v>0.99941521067804695</v>
      </c>
      <c r="N67" s="95">
        <v>0.99907259516387203</v>
      </c>
      <c r="O67" s="77">
        <v>0.99967439715019901</v>
      </c>
      <c r="P67" s="95">
        <v>0.99942235728457696</v>
      </c>
      <c r="Q67" s="95">
        <v>9.1570678104959996E-4</v>
      </c>
      <c r="R67" s="95">
        <v>4.2372881355930001E-4</v>
      </c>
      <c r="S67" s="95">
        <v>2.1298174442190001E-3</v>
      </c>
      <c r="T67" s="95">
        <v>5.7155050220230002E-4</v>
      </c>
      <c r="U67" s="95">
        <v>3.7070958175230002E-4</v>
      </c>
      <c r="V67" s="95">
        <v>3.5875631145362002E-3</v>
      </c>
      <c r="W67" s="95">
        <v>0.99887207444308601</v>
      </c>
      <c r="X67" s="95">
        <v>0.997583544527612</v>
      </c>
      <c r="Y67" s="35">
        <v>4</v>
      </c>
      <c r="Z67" s="33">
        <v>2</v>
      </c>
      <c r="AA67" s="32">
        <v>4</v>
      </c>
    </row>
    <row r="68" spans="1:27" ht="14.25" customHeight="1">
      <c r="A68" s="21" t="s">
        <v>271</v>
      </c>
      <c r="B68" s="26">
        <v>10097</v>
      </c>
      <c r="C68" s="27" t="s">
        <v>261</v>
      </c>
      <c r="D68" s="27" t="s">
        <v>262</v>
      </c>
      <c r="E68" s="27" t="s">
        <v>518</v>
      </c>
      <c r="F68" s="27" t="s">
        <v>453</v>
      </c>
      <c r="G68" s="124" t="s">
        <v>626</v>
      </c>
      <c r="H68" s="27" t="s">
        <v>627</v>
      </c>
      <c r="I68" s="125" t="s">
        <v>627</v>
      </c>
      <c r="J68" s="124" t="b">
        <v>1</v>
      </c>
      <c r="K68" s="126">
        <v>3.1428777717800002E-5</v>
      </c>
      <c r="L68" s="85">
        <v>2.4157101684619999E-4</v>
      </c>
      <c r="M68" s="85">
        <v>1.920929422491E-4</v>
      </c>
      <c r="N68" s="85">
        <v>1.531235031443E-4</v>
      </c>
      <c r="O68" s="76">
        <v>1.00853374709E-4</v>
      </c>
      <c r="P68" s="85">
        <v>2.5109225129300001E-5</v>
      </c>
      <c r="Q68" s="85">
        <v>1.2776732408762001E-3</v>
      </c>
      <c r="R68" s="85">
        <v>1.3271224004900001E-5</v>
      </c>
      <c r="S68" s="85">
        <v>0</v>
      </c>
      <c r="T68" s="85">
        <v>2.28386978897E-5</v>
      </c>
      <c r="U68" s="85">
        <v>8.7168758716800002E-5</v>
      </c>
      <c r="V68" s="85">
        <v>0</v>
      </c>
      <c r="W68" s="85">
        <v>0.98455638474295204</v>
      </c>
      <c r="X68" s="85">
        <v>1.7542833752409999E-4</v>
      </c>
      <c r="Y68" s="26">
        <v>0</v>
      </c>
      <c r="Z68" s="27">
        <v>1</v>
      </c>
      <c r="AA68" s="124">
        <v>0</v>
      </c>
    </row>
    <row r="69" spans="1:27" ht="14.25" customHeight="1">
      <c r="A69" s="39"/>
      <c r="B69" s="30">
        <v>10198</v>
      </c>
      <c r="C69" s="20" t="s">
        <v>263</v>
      </c>
      <c r="D69" s="20" t="s">
        <v>452</v>
      </c>
      <c r="E69" s="20" t="s">
        <v>458</v>
      </c>
      <c r="F69" s="20" t="s">
        <v>457</v>
      </c>
      <c r="G69" s="29" t="s">
        <v>628</v>
      </c>
      <c r="H69" s="20" t="s">
        <v>629</v>
      </c>
      <c r="I69" s="125" t="s">
        <v>629</v>
      </c>
      <c r="J69" s="29" t="b">
        <v>0</v>
      </c>
      <c r="K69" s="102">
        <v>4.2435527702759998E-4</v>
      </c>
      <c r="L69" s="56">
        <v>6.4896615216330003E-4</v>
      </c>
      <c r="M69" s="56">
        <v>0.99863701877885203</v>
      </c>
      <c r="N69" s="56">
        <v>0.60171095399761698</v>
      </c>
      <c r="O69" s="57">
        <v>0.99920405067281304</v>
      </c>
      <c r="P69" s="56">
        <v>0.999338422391857</v>
      </c>
      <c r="Q69" s="56">
        <v>4.3595979991730002E-4</v>
      </c>
      <c r="R69" s="56">
        <v>3.1654334665449999E-4</v>
      </c>
      <c r="S69" s="56">
        <v>9.0515940862909996E-4</v>
      </c>
      <c r="T69" s="56">
        <v>6.1554361620469998E-4</v>
      </c>
      <c r="U69" s="56">
        <v>2.4180899268037002E-3</v>
      </c>
      <c r="V69" s="56">
        <v>3.6529680365296E-3</v>
      </c>
      <c r="W69" s="56">
        <v>7.9872204472839999E-4</v>
      </c>
      <c r="X69" s="56">
        <v>4.6154733744869998E-4</v>
      </c>
      <c r="Y69" s="30">
        <v>3</v>
      </c>
      <c r="Z69" s="20">
        <v>0</v>
      </c>
      <c r="AA69" s="29">
        <v>4</v>
      </c>
    </row>
    <row r="70" spans="1:27" ht="14.25" customHeight="1">
      <c r="A70" s="39"/>
      <c r="B70" s="30">
        <v>10204</v>
      </c>
      <c r="C70" s="20" t="s">
        <v>452</v>
      </c>
      <c r="D70" s="20" t="s">
        <v>263</v>
      </c>
      <c r="E70" s="20" t="s">
        <v>605</v>
      </c>
      <c r="F70" s="20" t="s">
        <v>630</v>
      </c>
      <c r="G70" s="29" t="s">
        <v>631</v>
      </c>
      <c r="H70" s="20" t="s">
        <v>632</v>
      </c>
      <c r="I70" s="125" t="s">
        <v>632</v>
      </c>
      <c r="J70" s="29" t="b">
        <v>0</v>
      </c>
      <c r="K70" s="102">
        <v>8.4872856216999993E-6</v>
      </c>
      <c r="L70" s="56">
        <v>8.5492255229700006E-5</v>
      </c>
      <c r="M70" s="56">
        <v>0.34911953496546599</v>
      </c>
      <c r="N70" s="56">
        <v>3.9368973390400001E-5</v>
      </c>
      <c r="O70" s="57">
        <v>2.36218612451E-5</v>
      </c>
      <c r="P70" s="56">
        <v>5.3409293217010002E-4</v>
      </c>
      <c r="Q70" s="56">
        <v>9.1772587528099998E-5</v>
      </c>
      <c r="R70" s="56">
        <v>0</v>
      </c>
      <c r="S70" s="56">
        <v>1.005732676254E-4</v>
      </c>
      <c r="T70" s="56">
        <v>3.7995942033299997E-5</v>
      </c>
      <c r="U70" s="56">
        <v>0</v>
      </c>
      <c r="V70" s="56">
        <v>0</v>
      </c>
      <c r="W70" s="56">
        <v>0</v>
      </c>
      <c r="X70" s="56">
        <v>4.6165387500720002E-4</v>
      </c>
      <c r="Y70" s="30">
        <v>1</v>
      </c>
      <c r="Z70" s="20">
        <v>0</v>
      </c>
      <c r="AA70" s="29">
        <v>1</v>
      </c>
    </row>
    <row r="71" spans="1:27" ht="14.25" customHeight="1">
      <c r="A71" s="39"/>
      <c r="B71" s="30">
        <v>10323</v>
      </c>
      <c r="C71" s="20" t="s">
        <v>262</v>
      </c>
      <c r="D71" s="20" t="s">
        <v>261</v>
      </c>
      <c r="E71" s="20" t="s">
        <v>490</v>
      </c>
      <c r="F71" s="20" t="s">
        <v>454</v>
      </c>
      <c r="G71" s="29" t="s">
        <v>633</v>
      </c>
      <c r="H71" s="20" t="s">
        <v>634</v>
      </c>
      <c r="I71" s="125" t="s">
        <v>634</v>
      </c>
      <c r="J71" s="29" t="b">
        <v>1</v>
      </c>
      <c r="K71" s="102">
        <v>1.4321326324741699E-2</v>
      </c>
      <c r="L71" s="56">
        <v>1.5912639577393299E-2</v>
      </c>
      <c r="M71" s="56">
        <v>6.1746085506603999E-3</v>
      </c>
      <c r="N71" s="56">
        <v>5.8830129650692996E-3</v>
      </c>
      <c r="O71" s="57">
        <v>8.4541581571886994E-3</v>
      </c>
      <c r="P71" s="56">
        <v>8.9764337008192002E-3</v>
      </c>
      <c r="Q71" s="56">
        <v>0.99262317899229802</v>
      </c>
      <c r="R71" s="56">
        <v>1.0170564723574299E-2</v>
      </c>
      <c r="S71" s="56">
        <v>7.0422535211267E-3</v>
      </c>
      <c r="T71" s="56">
        <v>2.0291177253202501E-2</v>
      </c>
      <c r="U71" s="56">
        <v>9.3476271408027001E-3</v>
      </c>
      <c r="V71" s="56">
        <v>5.2185257664708997E-3</v>
      </c>
      <c r="W71" s="56">
        <v>1.5060841811290601E-2</v>
      </c>
      <c r="X71" s="56">
        <v>9.0610030588098994E-3</v>
      </c>
      <c r="Y71" s="30">
        <v>0</v>
      </c>
      <c r="Z71" s="20">
        <v>1</v>
      </c>
      <c r="AA71" s="29">
        <v>0</v>
      </c>
    </row>
    <row r="72" spans="1:27" ht="14.25" customHeight="1">
      <c r="A72" s="39"/>
      <c r="B72" s="30">
        <v>10447</v>
      </c>
      <c r="C72" s="20" t="s">
        <v>261</v>
      </c>
      <c r="D72" s="20" t="s">
        <v>262</v>
      </c>
      <c r="E72" s="20" t="s">
        <v>454</v>
      </c>
      <c r="F72" s="20" t="s">
        <v>449</v>
      </c>
      <c r="G72" s="29" t="s">
        <v>635</v>
      </c>
      <c r="H72" s="20" t="s">
        <v>636</v>
      </c>
      <c r="I72" s="125" t="s">
        <v>636</v>
      </c>
      <c r="J72" s="29" t="b">
        <v>0</v>
      </c>
      <c r="K72" s="102">
        <v>8.2443383918399997E-5</v>
      </c>
      <c r="L72" s="56">
        <v>2.3072052768820001E-4</v>
      </c>
      <c r="M72" s="56">
        <v>0.99944579183127602</v>
      </c>
      <c r="N72" s="56">
        <v>0.61171747629358897</v>
      </c>
      <c r="O72" s="57">
        <v>0.99952355886161304</v>
      </c>
      <c r="P72" s="56">
        <v>0.99979916149925896</v>
      </c>
      <c r="Q72" s="56">
        <v>4.5975954575699999E-5</v>
      </c>
      <c r="R72" s="56">
        <v>0</v>
      </c>
      <c r="S72" s="56">
        <v>0</v>
      </c>
      <c r="T72" s="56">
        <v>3.8807469296440003E-4</v>
      </c>
      <c r="U72" s="56">
        <v>2.1796464613399998E-5</v>
      </c>
      <c r="V72" s="56">
        <v>3.9052330122359998E-4</v>
      </c>
      <c r="W72" s="56">
        <v>1.871958068139E-4</v>
      </c>
      <c r="X72" s="56">
        <v>3.4814900777530001E-4</v>
      </c>
      <c r="Y72" s="30">
        <v>3</v>
      </c>
      <c r="Z72" s="20">
        <v>0</v>
      </c>
      <c r="AA72" s="29">
        <v>4</v>
      </c>
    </row>
    <row r="73" spans="1:27" ht="14.25" customHeight="1">
      <c r="A73" s="127"/>
      <c r="B73" s="35">
        <v>10449</v>
      </c>
      <c r="C73" s="33" t="s">
        <v>263</v>
      </c>
      <c r="D73" s="33" t="s">
        <v>262</v>
      </c>
      <c r="E73" s="33" t="s">
        <v>637</v>
      </c>
      <c r="F73" s="33" t="s">
        <v>570</v>
      </c>
      <c r="G73" s="32" t="s">
        <v>638</v>
      </c>
      <c r="H73" s="33" t="s">
        <v>639</v>
      </c>
      <c r="I73" s="128" t="s">
        <v>639</v>
      </c>
      <c r="J73" s="32" t="b">
        <v>1</v>
      </c>
      <c r="K73" s="103">
        <v>2.3802277877900001E-5</v>
      </c>
      <c r="L73" s="95">
        <v>1.795673388701E-4</v>
      </c>
      <c r="M73" s="95">
        <v>0.99955248510614403</v>
      </c>
      <c r="N73" s="95">
        <v>0.997417616512421</v>
      </c>
      <c r="O73" s="77">
        <v>0.999627209838585</v>
      </c>
      <c r="P73" s="95">
        <v>0.99979916654114498</v>
      </c>
      <c r="Q73" s="95">
        <v>2.3004370830399999E-5</v>
      </c>
      <c r="R73" s="95">
        <v>0</v>
      </c>
      <c r="S73" s="95">
        <v>0</v>
      </c>
      <c r="T73" s="95">
        <v>7.6106396741999999E-6</v>
      </c>
      <c r="U73" s="95">
        <v>0</v>
      </c>
      <c r="V73" s="95">
        <v>1.3019138133049999E-4</v>
      </c>
      <c r="W73" s="95">
        <v>0</v>
      </c>
      <c r="X73" s="95">
        <v>2.3208587177250001E-4</v>
      </c>
      <c r="Y73" s="35">
        <v>3</v>
      </c>
      <c r="Z73" s="33">
        <v>0</v>
      </c>
      <c r="AA73" s="32">
        <v>4</v>
      </c>
    </row>
    <row r="74" spans="1:27" ht="14.25" customHeight="1">
      <c r="A74" s="21" t="s">
        <v>272</v>
      </c>
      <c r="B74" s="26">
        <v>11042</v>
      </c>
      <c r="C74" s="27" t="s">
        <v>261</v>
      </c>
      <c r="D74" s="27" t="s">
        <v>452</v>
      </c>
      <c r="E74" s="27" t="s">
        <v>480</v>
      </c>
      <c r="F74" s="27" t="s">
        <v>473</v>
      </c>
      <c r="G74" s="124" t="s">
        <v>640</v>
      </c>
      <c r="H74" s="27" t="s">
        <v>641</v>
      </c>
      <c r="I74" s="125" t="s">
        <v>641</v>
      </c>
      <c r="J74" s="124" t="b">
        <v>1</v>
      </c>
      <c r="K74" s="126">
        <v>1.237809484164E-4</v>
      </c>
      <c r="L74" s="85">
        <v>9.878903618067E-4</v>
      </c>
      <c r="M74" s="85">
        <v>7.6228614697299995E-5</v>
      </c>
      <c r="N74" s="85">
        <v>5.1875419185600003E-5</v>
      </c>
      <c r="O74" s="76">
        <v>0.99736742555836</v>
      </c>
      <c r="P74" s="85">
        <v>5.0102710556640005E-4</v>
      </c>
      <c r="Q74" s="85">
        <v>8.0361857966149998E-4</v>
      </c>
      <c r="R74" s="85">
        <v>1.0548801392439999E-4</v>
      </c>
      <c r="S74" s="85">
        <v>2.0058168689189999E-4</v>
      </c>
      <c r="T74" s="85">
        <v>2.2784752443660001E-4</v>
      </c>
      <c r="U74" s="85">
        <v>0</v>
      </c>
      <c r="V74" s="85">
        <v>3.8925652004670003E-4</v>
      </c>
      <c r="W74" s="85">
        <v>5.6080007477330004E-4</v>
      </c>
      <c r="X74" s="85">
        <v>0</v>
      </c>
      <c r="Y74" s="26">
        <v>1</v>
      </c>
      <c r="Z74" s="27">
        <v>0</v>
      </c>
      <c r="AA74" s="124">
        <v>1</v>
      </c>
    </row>
    <row r="75" spans="1:27" ht="14.25" customHeight="1">
      <c r="A75" s="39"/>
      <c r="B75" s="30">
        <v>11201</v>
      </c>
      <c r="C75" s="20" t="s">
        <v>262</v>
      </c>
      <c r="D75" s="20" t="s">
        <v>261</v>
      </c>
      <c r="E75" s="20" t="s">
        <v>494</v>
      </c>
      <c r="F75" s="20" t="s">
        <v>461</v>
      </c>
      <c r="G75" s="29" t="s">
        <v>642</v>
      </c>
      <c r="H75" s="20" t="s">
        <v>643</v>
      </c>
      <c r="I75" s="125" t="s">
        <v>643</v>
      </c>
      <c r="J75" s="29" t="b">
        <v>1</v>
      </c>
      <c r="K75" s="102">
        <v>2.927017403701E-4</v>
      </c>
      <c r="L75" s="56">
        <v>0.90414950365222602</v>
      </c>
      <c r="M75" s="56">
        <v>3.8132135475799998E-5</v>
      </c>
      <c r="N75" s="56">
        <v>4.9800758527510005E-4</v>
      </c>
      <c r="O75" s="57">
        <v>7.6727421996000006E-6</v>
      </c>
      <c r="P75" s="56">
        <v>0</v>
      </c>
      <c r="Q75" s="56">
        <v>5.6032872618600002E-4</v>
      </c>
      <c r="R75" s="56">
        <v>1.053837946069E-4</v>
      </c>
      <c r="S75" s="56">
        <v>1.4090177133655E-3</v>
      </c>
      <c r="T75" s="56">
        <v>1.7509401787479999E-4</v>
      </c>
      <c r="U75" s="56">
        <v>1.742046469089E-4</v>
      </c>
      <c r="V75" s="56">
        <v>0.991953568130853</v>
      </c>
      <c r="W75" s="56">
        <v>1.8795226012590001E-4</v>
      </c>
      <c r="X75" s="56">
        <v>1.5068096203997999E-3</v>
      </c>
      <c r="Y75" s="30">
        <v>1</v>
      </c>
      <c r="Z75" s="20">
        <v>1</v>
      </c>
      <c r="AA75" s="29">
        <v>0</v>
      </c>
    </row>
    <row r="76" spans="1:27" ht="14.25" customHeight="1">
      <c r="A76" s="39"/>
      <c r="B76" s="30">
        <v>11332</v>
      </c>
      <c r="C76" s="20" t="s">
        <v>262</v>
      </c>
      <c r="D76" s="20" t="s">
        <v>261</v>
      </c>
      <c r="E76" s="20" t="s">
        <v>574</v>
      </c>
      <c r="F76" s="20" t="s">
        <v>511</v>
      </c>
      <c r="G76" s="29" t="s">
        <v>644</v>
      </c>
      <c r="H76" s="20" t="s">
        <v>645</v>
      </c>
      <c r="I76" s="125" t="s">
        <v>645</v>
      </c>
      <c r="J76" s="29" t="b">
        <v>0</v>
      </c>
      <c r="K76" s="102">
        <v>2.2356417396860001E-4</v>
      </c>
      <c r="L76" s="56">
        <v>0.90102047155514797</v>
      </c>
      <c r="M76" s="56">
        <v>4.0654331464900002E-5</v>
      </c>
      <c r="N76" s="56">
        <v>2.0415172186180001E-4</v>
      </c>
      <c r="O76" s="57">
        <v>2.6852743391300001E-5</v>
      </c>
      <c r="P76" s="56">
        <v>1.2505314758770001E-4</v>
      </c>
      <c r="Q76" s="56">
        <v>3.2264755364009998E-4</v>
      </c>
      <c r="R76" s="56">
        <v>5.2618424341199999E-5</v>
      </c>
      <c r="S76" s="56">
        <v>1.5116396251133001E-3</v>
      </c>
      <c r="T76" s="56">
        <v>2.9641339788549997E-4</v>
      </c>
      <c r="U76" s="56">
        <v>1.305454624573E-4</v>
      </c>
      <c r="V76" s="56">
        <v>1.2998830105289999E-4</v>
      </c>
      <c r="W76" s="56">
        <v>1.8702075930420001E-4</v>
      </c>
      <c r="X76" s="56">
        <v>5.7527469366619997E-4</v>
      </c>
      <c r="Y76" s="30">
        <v>1</v>
      </c>
      <c r="Z76" s="20">
        <v>0</v>
      </c>
      <c r="AA76" s="29">
        <v>0</v>
      </c>
    </row>
    <row r="77" spans="1:27" ht="14.25" customHeight="1">
      <c r="A77" s="39"/>
      <c r="B77" s="30">
        <v>11451</v>
      </c>
      <c r="C77" s="20" t="s">
        <v>262</v>
      </c>
      <c r="D77" s="20" t="s">
        <v>261</v>
      </c>
      <c r="E77" s="20" t="s">
        <v>547</v>
      </c>
      <c r="F77" s="20" t="s">
        <v>646</v>
      </c>
      <c r="G77" s="29" t="s">
        <v>647</v>
      </c>
      <c r="H77" s="20" t="s">
        <v>648</v>
      </c>
      <c r="I77" s="125" t="s">
        <v>648</v>
      </c>
      <c r="J77" s="29" t="b">
        <v>1</v>
      </c>
      <c r="K77" s="102">
        <v>3.7445979918700001E-5</v>
      </c>
      <c r="L77" s="56">
        <v>5.1831453128499999E-5</v>
      </c>
      <c r="M77" s="56">
        <v>2.5427111912E-6</v>
      </c>
      <c r="N77" s="56">
        <v>1.3841145480800001E-5</v>
      </c>
      <c r="O77" s="57">
        <v>9.9832205101400005E-5</v>
      </c>
      <c r="P77" s="56">
        <v>0</v>
      </c>
      <c r="Q77" s="56">
        <v>4.6077640824699999E-5</v>
      </c>
      <c r="R77" s="56">
        <v>1.190933029865E-4</v>
      </c>
      <c r="S77" s="56">
        <v>2.016129032258E-4</v>
      </c>
      <c r="T77" s="56">
        <v>2.2840262815200001E-5</v>
      </c>
      <c r="U77" s="56">
        <v>2.1847894955299999E-5</v>
      </c>
      <c r="V77" s="56">
        <v>0</v>
      </c>
      <c r="W77" s="56">
        <v>0</v>
      </c>
      <c r="X77" s="56">
        <v>0.99555687203791399</v>
      </c>
      <c r="Y77" s="30">
        <v>0</v>
      </c>
      <c r="Z77" s="20">
        <v>1</v>
      </c>
      <c r="AA77" s="29">
        <v>0</v>
      </c>
    </row>
    <row r="78" spans="1:27" ht="14.25" customHeight="1">
      <c r="A78" s="39"/>
      <c r="B78" s="30">
        <v>11537</v>
      </c>
      <c r="C78" s="20" t="s">
        <v>262</v>
      </c>
      <c r="D78" s="20" t="s">
        <v>261</v>
      </c>
      <c r="E78" s="20" t="s">
        <v>499</v>
      </c>
      <c r="F78" s="20" t="s">
        <v>480</v>
      </c>
      <c r="G78" s="29" t="s">
        <v>649</v>
      </c>
      <c r="H78" s="20" t="s">
        <v>650</v>
      </c>
      <c r="I78" s="125" t="s">
        <v>650</v>
      </c>
      <c r="J78" s="29" t="b">
        <v>1</v>
      </c>
      <c r="K78" s="102">
        <v>1.183319116477E-4</v>
      </c>
      <c r="L78" s="56">
        <v>6.7532853820769997E-4</v>
      </c>
      <c r="M78" s="56">
        <v>4.219344544003E-4</v>
      </c>
      <c r="N78" s="56">
        <v>0.389464484966695</v>
      </c>
      <c r="O78" s="57">
        <v>4.9320365365260004E-4</v>
      </c>
      <c r="P78" s="56">
        <v>9.0831104607149999E-4</v>
      </c>
      <c r="Q78" s="56">
        <v>1.15199410179E-4</v>
      </c>
      <c r="R78" s="56">
        <v>5.6918963280650002E-4</v>
      </c>
      <c r="S78" s="56">
        <v>0</v>
      </c>
      <c r="T78" s="56">
        <v>8.3720222239099998E-5</v>
      </c>
      <c r="U78" s="56">
        <v>2.1865570472700002E-5</v>
      </c>
      <c r="V78" s="56">
        <v>1.3116474291710001E-4</v>
      </c>
      <c r="W78" s="56">
        <v>8.4277554078090002E-4</v>
      </c>
      <c r="X78" s="56">
        <v>1.1729517330359999E-4</v>
      </c>
      <c r="Y78" s="30">
        <v>1</v>
      </c>
      <c r="Z78" s="20">
        <v>0</v>
      </c>
      <c r="AA78" s="29">
        <v>1</v>
      </c>
    </row>
    <row r="79" spans="1:27" ht="14.25" customHeight="1">
      <c r="A79" s="127"/>
      <c r="B79" s="35">
        <v>11727</v>
      </c>
      <c r="C79" s="33" t="s">
        <v>261</v>
      </c>
      <c r="D79" s="33" t="s">
        <v>262</v>
      </c>
      <c r="E79" s="33" t="s">
        <v>449</v>
      </c>
      <c r="F79" s="33" t="s">
        <v>448</v>
      </c>
      <c r="G79" s="32" t="s">
        <v>651</v>
      </c>
      <c r="H79" s="33" t="s">
        <v>652</v>
      </c>
      <c r="I79" s="128" t="s">
        <v>652</v>
      </c>
      <c r="J79" s="32" t="b">
        <v>1</v>
      </c>
      <c r="K79" s="103">
        <v>1.1057985524200001E-5</v>
      </c>
      <c r="L79" s="95">
        <v>1.27547652474E-5</v>
      </c>
      <c r="M79" s="95">
        <v>1.330317945989E-4</v>
      </c>
      <c r="N79" s="95">
        <v>5.8236326711299998E-5</v>
      </c>
      <c r="O79" s="77">
        <v>0.91198047871374299</v>
      </c>
      <c r="P79" s="95">
        <v>3.024574669187E-4</v>
      </c>
      <c r="Q79" s="95">
        <v>1.1493988643930001E-4</v>
      </c>
      <c r="R79" s="95">
        <v>0</v>
      </c>
      <c r="S79" s="95">
        <v>0</v>
      </c>
      <c r="T79" s="95">
        <v>1.5263680073200001E-5</v>
      </c>
      <c r="U79" s="95">
        <v>4.38077714986E-5</v>
      </c>
      <c r="V79" s="95">
        <v>0</v>
      </c>
      <c r="W79" s="95">
        <v>0</v>
      </c>
      <c r="X79" s="95">
        <v>0</v>
      </c>
      <c r="Y79" s="35">
        <v>1</v>
      </c>
      <c r="Z79" s="33">
        <v>0</v>
      </c>
      <c r="AA79" s="32">
        <v>1</v>
      </c>
    </row>
    <row r="80" spans="1:27" ht="14.25" customHeight="1">
      <c r="A80" s="129" t="s">
        <v>274</v>
      </c>
      <c r="B80" s="130">
        <v>12100</v>
      </c>
      <c r="C80" s="131" t="s">
        <v>263</v>
      </c>
      <c r="D80" s="131" t="s">
        <v>452</v>
      </c>
      <c r="E80" s="131" t="s">
        <v>532</v>
      </c>
      <c r="F80" s="131" t="s">
        <v>461</v>
      </c>
      <c r="G80" s="24" t="s">
        <v>653</v>
      </c>
      <c r="H80" s="131" t="s">
        <v>654</v>
      </c>
      <c r="I80" s="128" t="s">
        <v>654</v>
      </c>
      <c r="J80" s="24" t="b">
        <v>0</v>
      </c>
      <c r="K80" s="132">
        <v>2.6558464258919997E-4</v>
      </c>
      <c r="L80" s="133">
        <v>2.4550572437253E-3</v>
      </c>
      <c r="M80" s="133">
        <v>3.3348522609529999E-4</v>
      </c>
      <c r="N80" s="133">
        <v>3.3100427156780002E-4</v>
      </c>
      <c r="O80" s="134">
        <v>4.8924809886659998E-4</v>
      </c>
      <c r="P80" s="133">
        <v>1.502780143265E-4</v>
      </c>
      <c r="Q80" s="133">
        <v>4.5857886409999998E-5</v>
      </c>
      <c r="R80" s="133">
        <v>0.64883165161975498</v>
      </c>
      <c r="S80" s="133">
        <v>1.0048231511249999E-4</v>
      </c>
      <c r="T80" s="133">
        <v>3.6463081130349998E-4</v>
      </c>
      <c r="U80" s="133">
        <v>1.091059855543E-4</v>
      </c>
      <c r="V80" s="133">
        <v>1.3020833333329999E-4</v>
      </c>
      <c r="W80" s="133">
        <v>7.4766355140179995E-4</v>
      </c>
      <c r="X80" s="133">
        <v>2.874885004599E-4</v>
      </c>
      <c r="Y80" s="130">
        <v>0</v>
      </c>
      <c r="Z80" s="131">
        <v>1</v>
      </c>
      <c r="AA80" s="24">
        <v>0</v>
      </c>
    </row>
    <row r="81" spans="1:27" ht="14.25" customHeight="1">
      <c r="A81" s="21" t="s">
        <v>275</v>
      </c>
      <c r="B81" s="26">
        <v>12778</v>
      </c>
      <c r="C81" s="27" t="s">
        <v>263</v>
      </c>
      <c r="D81" s="27" t="s">
        <v>452</v>
      </c>
      <c r="E81" s="27" t="s">
        <v>514</v>
      </c>
      <c r="F81" s="27" t="s">
        <v>515</v>
      </c>
      <c r="G81" s="124" t="s">
        <v>655</v>
      </c>
      <c r="H81" s="27" t="s">
        <v>656</v>
      </c>
      <c r="I81" s="125" t="s">
        <v>656</v>
      </c>
      <c r="J81" s="124" t="b">
        <v>0</v>
      </c>
      <c r="K81" s="126">
        <v>7.3200356925949995E-4</v>
      </c>
      <c r="L81" s="85">
        <v>5.6718471471789997E-4</v>
      </c>
      <c r="M81" s="85">
        <v>1.1355650836651001E-3</v>
      </c>
      <c r="N81" s="85">
        <v>3.3027159728809998E-4</v>
      </c>
      <c r="O81" s="76">
        <v>1.803177428822E-4</v>
      </c>
      <c r="P81" s="85">
        <v>1.99526125452E-4</v>
      </c>
      <c r="Q81" s="85">
        <v>9.8389163463290003E-4</v>
      </c>
      <c r="R81" s="85">
        <v>1.062416998671E-4</v>
      </c>
      <c r="S81" s="85">
        <v>0</v>
      </c>
      <c r="T81" s="85">
        <v>0.99126151406087903</v>
      </c>
      <c r="U81" s="85">
        <v>1.9731649565899999E-4</v>
      </c>
      <c r="V81" s="85">
        <v>0</v>
      </c>
      <c r="W81" s="85">
        <v>9.3580385551179999E-4</v>
      </c>
      <c r="X81" s="85">
        <v>5.7633565788710003E-4</v>
      </c>
      <c r="Y81" s="26">
        <v>0</v>
      </c>
      <c r="Z81" s="27">
        <v>1</v>
      </c>
      <c r="AA81" s="124">
        <v>0</v>
      </c>
    </row>
    <row r="82" spans="1:27" ht="14.25" customHeight="1">
      <c r="A82" s="39"/>
      <c r="B82" s="30">
        <v>12789</v>
      </c>
      <c r="C82" s="20" t="s">
        <v>263</v>
      </c>
      <c r="D82" s="20" t="s">
        <v>452</v>
      </c>
      <c r="E82" s="20" t="s">
        <v>493</v>
      </c>
      <c r="F82" s="20" t="s">
        <v>577</v>
      </c>
      <c r="G82" s="29" t="s">
        <v>657</v>
      </c>
      <c r="H82" s="20" t="s">
        <v>658</v>
      </c>
      <c r="I82" s="125" t="s">
        <v>658</v>
      </c>
      <c r="J82" s="29" t="b">
        <v>1</v>
      </c>
      <c r="K82" s="102">
        <v>1.8697307587706999E-3</v>
      </c>
      <c r="L82" s="56">
        <v>2.0253382070923001E-3</v>
      </c>
      <c r="M82" s="56">
        <v>4.8922081764663002E-3</v>
      </c>
      <c r="N82" s="56">
        <v>3.7553137497372E-3</v>
      </c>
      <c r="O82" s="57">
        <v>0.99668407431370698</v>
      </c>
      <c r="P82" s="56">
        <v>0.99864671829185703</v>
      </c>
      <c r="Q82" s="56">
        <v>2.4970791047168998E-3</v>
      </c>
      <c r="R82" s="56">
        <v>1.4220213967705E-3</v>
      </c>
      <c r="S82" s="56">
        <v>5.0653429237149995E-4</v>
      </c>
      <c r="T82" s="56">
        <v>1.4588335410144E-3</v>
      </c>
      <c r="U82" s="56">
        <v>1.3813063211208E-3</v>
      </c>
      <c r="V82" s="56">
        <v>3.9037085230959998E-4</v>
      </c>
      <c r="W82" s="56">
        <v>7.3013198539735999E-3</v>
      </c>
      <c r="X82" s="56">
        <v>2.8936859771969999E-4</v>
      </c>
      <c r="Y82" s="30">
        <v>1</v>
      </c>
      <c r="Z82" s="20">
        <v>0</v>
      </c>
      <c r="AA82" s="29">
        <v>2</v>
      </c>
    </row>
    <row r="83" spans="1:27" ht="14.25" customHeight="1">
      <c r="A83" s="39"/>
      <c r="B83" s="30">
        <v>12815</v>
      </c>
      <c r="C83" s="20" t="s">
        <v>263</v>
      </c>
      <c r="D83" s="20" t="s">
        <v>452</v>
      </c>
      <c r="E83" s="20" t="s">
        <v>487</v>
      </c>
      <c r="F83" s="20" t="s">
        <v>486</v>
      </c>
      <c r="G83" s="29" t="s">
        <v>659</v>
      </c>
      <c r="H83" s="20" t="s">
        <v>660</v>
      </c>
      <c r="I83" s="125" t="s">
        <v>660</v>
      </c>
      <c r="J83" s="29" t="b">
        <v>0</v>
      </c>
      <c r="K83" s="102">
        <v>6.3216234405449997E-4</v>
      </c>
      <c r="L83" s="56">
        <v>5.6800556358759999E-4</v>
      </c>
      <c r="M83" s="56">
        <v>3.6529260448510002E-4</v>
      </c>
      <c r="N83" s="56">
        <v>3.1921274598799998E-4</v>
      </c>
      <c r="O83" s="57">
        <v>0.98782755315340198</v>
      </c>
      <c r="P83" s="56">
        <v>9.2585641718579998E-4</v>
      </c>
      <c r="Q83" s="56">
        <v>3.90131956397E-4</v>
      </c>
      <c r="R83" s="56">
        <v>8.2428174481829998E-4</v>
      </c>
      <c r="S83" s="56">
        <v>1.0159504216189999E-4</v>
      </c>
      <c r="T83" s="56">
        <v>9.0535605599510001E-4</v>
      </c>
      <c r="U83" s="56">
        <v>1.3160492202399999E-4</v>
      </c>
      <c r="V83" s="56">
        <v>3.9277297721910002E-4</v>
      </c>
      <c r="W83" s="56">
        <v>9.3668040464499995E-5</v>
      </c>
      <c r="X83" s="56">
        <v>1.7493731412909999E-4</v>
      </c>
      <c r="Y83" s="30">
        <v>1</v>
      </c>
      <c r="Z83" s="20">
        <v>0</v>
      </c>
      <c r="AA83" s="29">
        <v>1</v>
      </c>
    </row>
    <row r="84" spans="1:27" ht="14.25" customHeight="1">
      <c r="A84" s="39"/>
      <c r="B84" s="30">
        <v>12878</v>
      </c>
      <c r="C84" s="20" t="s">
        <v>262</v>
      </c>
      <c r="D84" s="20" t="s">
        <v>261</v>
      </c>
      <c r="E84" s="20" t="s">
        <v>469</v>
      </c>
      <c r="F84" s="20" t="s">
        <v>483</v>
      </c>
      <c r="G84" s="29" t="s">
        <v>661</v>
      </c>
      <c r="H84" s="20" t="s">
        <v>662</v>
      </c>
      <c r="I84" s="125" t="s">
        <v>662</v>
      </c>
      <c r="J84" s="29" t="b">
        <v>1</v>
      </c>
      <c r="K84" s="102">
        <v>4.0844042130599997E-5</v>
      </c>
      <c r="L84" s="56">
        <v>1.334091109021E-4</v>
      </c>
      <c r="M84" s="56">
        <v>2.448086539859E-4</v>
      </c>
      <c r="N84" s="56">
        <v>5.5754673293699997E-5</v>
      </c>
      <c r="O84" s="57">
        <v>3.8489813670799998E-5</v>
      </c>
      <c r="P84" s="56">
        <v>1.754122187139E-4</v>
      </c>
      <c r="Q84" s="56">
        <v>1.3761467889899999E-4</v>
      </c>
      <c r="R84" s="56">
        <v>0.67206314687285995</v>
      </c>
      <c r="S84" s="56">
        <v>0</v>
      </c>
      <c r="T84" s="56">
        <v>6.8436380779999999E-5</v>
      </c>
      <c r="U84" s="56">
        <v>1.536098310291E-4</v>
      </c>
      <c r="V84" s="56">
        <v>0</v>
      </c>
      <c r="W84" s="56">
        <v>4.6829633792259999E-4</v>
      </c>
      <c r="X84" s="56">
        <v>1.73580975525E-4</v>
      </c>
      <c r="Y84" s="30">
        <v>0</v>
      </c>
      <c r="Z84" s="20">
        <v>1</v>
      </c>
      <c r="AA84" s="29">
        <v>0</v>
      </c>
    </row>
    <row r="85" spans="1:27" ht="14.25" customHeight="1">
      <c r="A85" s="127"/>
      <c r="B85" s="35">
        <v>12880</v>
      </c>
      <c r="C85" s="33" t="s">
        <v>263</v>
      </c>
      <c r="D85" s="33" t="s">
        <v>452</v>
      </c>
      <c r="E85" s="33" t="s">
        <v>469</v>
      </c>
      <c r="F85" s="33" t="s">
        <v>499</v>
      </c>
      <c r="G85" s="32" t="s">
        <v>663</v>
      </c>
      <c r="H85" s="33" t="s">
        <v>664</v>
      </c>
      <c r="I85" s="128" t="s">
        <v>664</v>
      </c>
      <c r="J85" s="32" t="b">
        <v>0</v>
      </c>
      <c r="K85" s="103">
        <v>1.4516838596750001E-3</v>
      </c>
      <c r="L85" s="95">
        <v>2.4574458010854002E-3</v>
      </c>
      <c r="M85" s="95">
        <v>0.99972186427486898</v>
      </c>
      <c r="N85" s="95">
        <v>0.61279238793957602</v>
      </c>
      <c r="O85" s="77">
        <v>0.99937177456342197</v>
      </c>
      <c r="P85" s="95">
        <v>0.99934752057819698</v>
      </c>
      <c r="Q85" s="95">
        <v>1.3305193613507001E-3</v>
      </c>
      <c r="R85" s="95">
        <v>1.1991525988301001E-3</v>
      </c>
      <c r="S85" s="95">
        <v>2.9450594089570001E-3</v>
      </c>
      <c r="T85" s="95">
        <v>1.695675646904E-3</v>
      </c>
      <c r="U85" s="95">
        <v>3.2105863764044902E-2</v>
      </c>
      <c r="V85" s="95">
        <v>5.2335470365029999E-4</v>
      </c>
      <c r="W85" s="95">
        <v>5.0576004495644002E-3</v>
      </c>
      <c r="X85" s="95">
        <v>8.1004455245030002E-4</v>
      </c>
      <c r="Y85" s="35">
        <v>3</v>
      </c>
      <c r="Z85" s="33">
        <v>0</v>
      </c>
      <c r="AA85" s="32">
        <v>4</v>
      </c>
    </row>
    <row r="86" spans="1:27" ht="14.25" customHeight="1">
      <c r="A86" s="21" t="s">
        <v>276</v>
      </c>
      <c r="B86" s="26">
        <v>13057</v>
      </c>
      <c r="C86" s="27" t="s">
        <v>262</v>
      </c>
      <c r="D86" s="27" t="s">
        <v>452</v>
      </c>
      <c r="E86" s="27" t="s">
        <v>522</v>
      </c>
      <c r="F86" s="27" t="s">
        <v>465</v>
      </c>
      <c r="G86" s="124" t="s">
        <v>665</v>
      </c>
      <c r="H86" s="27" t="s">
        <v>666</v>
      </c>
      <c r="I86" s="125" t="s">
        <v>666</v>
      </c>
      <c r="J86" s="124" t="b">
        <v>0</v>
      </c>
      <c r="K86" s="126">
        <v>1.2727212562199999E-5</v>
      </c>
      <c r="L86" s="85">
        <v>6.9218059213999996E-6</v>
      </c>
      <c r="M86" s="85">
        <v>5.3640531807500003E-5</v>
      </c>
      <c r="N86" s="85">
        <v>6.9500727989299995E-5</v>
      </c>
      <c r="O86" s="76">
        <v>2.729352067195E-4</v>
      </c>
      <c r="P86" s="85">
        <v>1.7496938035839999E-4</v>
      </c>
      <c r="Q86" s="85">
        <v>0</v>
      </c>
      <c r="R86" s="85">
        <v>0</v>
      </c>
      <c r="S86" s="85">
        <v>0</v>
      </c>
      <c r="T86" s="85">
        <v>7.5961290125999998E-6</v>
      </c>
      <c r="U86" s="85">
        <v>4.3819289251100002E-5</v>
      </c>
      <c r="V86" s="85">
        <v>0</v>
      </c>
      <c r="W86" s="85">
        <v>1.8705574261120001E-4</v>
      </c>
      <c r="X86" s="85">
        <v>0.99716664739215899</v>
      </c>
      <c r="Y86" s="26">
        <v>0</v>
      </c>
      <c r="Z86" s="27">
        <v>1</v>
      </c>
      <c r="AA86" s="124">
        <v>0</v>
      </c>
    </row>
    <row r="87" spans="1:27" ht="14.25" customHeight="1">
      <c r="A87" s="39"/>
      <c r="B87" s="30">
        <v>13195</v>
      </c>
      <c r="C87" s="20" t="s">
        <v>452</v>
      </c>
      <c r="D87" s="20" t="s">
        <v>263</v>
      </c>
      <c r="E87" s="20" t="s">
        <v>480</v>
      </c>
      <c r="F87" s="20" t="s">
        <v>483</v>
      </c>
      <c r="G87" s="29" t="s">
        <v>667</v>
      </c>
      <c r="H87" s="20" t="s">
        <v>668</v>
      </c>
      <c r="I87" s="125" t="s">
        <v>668</v>
      </c>
      <c r="J87" s="29" t="b">
        <v>0</v>
      </c>
      <c r="K87" s="102">
        <v>9.0004033199599998E-5</v>
      </c>
      <c r="L87" s="56">
        <v>2.0603623600839999E-4</v>
      </c>
      <c r="M87" s="56">
        <v>1.042686570959E-4</v>
      </c>
      <c r="N87" s="56">
        <v>0.38610828991421597</v>
      </c>
      <c r="O87" s="57">
        <v>5.0358513881500003E-5</v>
      </c>
      <c r="P87" s="56">
        <v>5.0095180843599997E-5</v>
      </c>
      <c r="Q87" s="56">
        <v>0</v>
      </c>
      <c r="R87" s="56">
        <v>1.062459327728E-4</v>
      </c>
      <c r="S87" s="56">
        <v>1.013479274348E-4</v>
      </c>
      <c r="T87" s="56">
        <v>4.5573312268300003E-5</v>
      </c>
      <c r="U87" s="56">
        <v>7.0144673388859995E-4</v>
      </c>
      <c r="V87" s="56">
        <v>0</v>
      </c>
      <c r="W87" s="56">
        <v>0</v>
      </c>
      <c r="X87" s="56">
        <v>0</v>
      </c>
      <c r="Y87" s="30">
        <v>1</v>
      </c>
      <c r="Z87" s="20">
        <v>0</v>
      </c>
      <c r="AA87" s="29">
        <v>1</v>
      </c>
    </row>
    <row r="88" spans="1:27" ht="14.25" customHeight="1">
      <c r="A88" s="127"/>
      <c r="B88" s="35">
        <v>13339</v>
      </c>
      <c r="C88" s="33" t="s">
        <v>452</v>
      </c>
      <c r="D88" s="33" t="s">
        <v>263</v>
      </c>
      <c r="E88" s="33" t="s">
        <v>539</v>
      </c>
      <c r="F88" s="33" t="s">
        <v>588</v>
      </c>
      <c r="G88" s="32" t="s">
        <v>669</v>
      </c>
      <c r="H88" s="33" t="s">
        <v>670</v>
      </c>
      <c r="I88" s="128" t="s">
        <v>670</v>
      </c>
      <c r="J88" s="32" t="b">
        <v>0</v>
      </c>
      <c r="K88" s="103">
        <v>1.103582227911E-4</v>
      </c>
      <c r="L88" s="95">
        <v>5.4506809548910003E-4</v>
      </c>
      <c r="M88" s="95">
        <v>4.7143607072049998E-4</v>
      </c>
      <c r="N88" s="95">
        <v>6.7383488987450004E-4</v>
      </c>
      <c r="O88" s="77">
        <v>0.99577574906549104</v>
      </c>
      <c r="P88" s="95">
        <v>1.0533972059893E-3</v>
      </c>
      <c r="Q88" s="95">
        <v>4.5842119739600003E-5</v>
      </c>
      <c r="R88" s="95">
        <v>2.6577013540899999E-5</v>
      </c>
      <c r="S88" s="95">
        <v>0</v>
      </c>
      <c r="T88" s="95">
        <v>1.67123724732E-4</v>
      </c>
      <c r="U88" s="95">
        <v>0</v>
      </c>
      <c r="V88" s="95">
        <v>0</v>
      </c>
      <c r="W88" s="95">
        <v>2.805836139169E-4</v>
      </c>
      <c r="X88" s="95">
        <v>0</v>
      </c>
      <c r="Y88" s="35">
        <v>1</v>
      </c>
      <c r="Z88" s="33">
        <v>0</v>
      </c>
      <c r="AA88" s="32">
        <v>1</v>
      </c>
    </row>
    <row r="89" spans="1:27" ht="14.25" customHeight="1">
      <c r="A89" s="199" t="s">
        <v>671</v>
      </c>
      <c r="B89" s="30">
        <v>13536</v>
      </c>
      <c r="C89" s="20" t="s">
        <v>262</v>
      </c>
      <c r="D89" s="20" t="s">
        <v>452</v>
      </c>
      <c r="E89" s="20" t="s">
        <v>514</v>
      </c>
      <c r="F89" s="20" t="s">
        <v>472</v>
      </c>
      <c r="G89" s="29" t="s">
        <v>672</v>
      </c>
      <c r="H89" s="20" t="s">
        <v>673</v>
      </c>
      <c r="I89" s="125" t="s">
        <v>674</v>
      </c>
      <c r="J89" s="29" t="b">
        <v>1</v>
      </c>
      <c r="K89" s="102">
        <v>2.1111460902716E-3</v>
      </c>
      <c r="L89" s="56">
        <v>2.1895797838697001E-3</v>
      </c>
      <c r="M89" s="56">
        <v>1.0943792680791001E-3</v>
      </c>
      <c r="N89" s="56">
        <v>6.8805899902439995E-4</v>
      </c>
      <c r="O89" s="57">
        <v>1.7558045512302001E-3</v>
      </c>
      <c r="P89" s="56">
        <v>6.2568825708269997E-4</v>
      </c>
      <c r="Q89" s="56">
        <v>1.6826518593302999E-3</v>
      </c>
      <c r="R89" s="56">
        <v>6.0401063058700003E-4</v>
      </c>
      <c r="S89" s="56">
        <v>1.5473488755931E-3</v>
      </c>
      <c r="T89" s="56">
        <v>1.9800590899523001E-3</v>
      </c>
      <c r="U89" s="56">
        <v>6.849163739201E-4</v>
      </c>
      <c r="V89" s="56">
        <v>2.7431079412969998E-4</v>
      </c>
      <c r="W89" s="56">
        <v>0.99425837320574095</v>
      </c>
      <c r="X89" s="56">
        <v>7.3077157298580004E-4</v>
      </c>
      <c r="Y89" s="30">
        <v>0</v>
      </c>
      <c r="Z89" s="20">
        <v>1</v>
      </c>
      <c r="AA89" s="29">
        <v>0</v>
      </c>
    </row>
    <row r="90" spans="1:27" ht="14.25" customHeight="1">
      <c r="A90" s="171"/>
      <c r="B90" s="30">
        <v>13627</v>
      </c>
      <c r="C90" s="20" t="s">
        <v>452</v>
      </c>
      <c r="D90" s="20" t="s">
        <v>262</v>
      </c>
      <c r="E90" s="20" t="s">
        <v>457</v>
      </c>
      <c r="F90" s="20" t="s">
        <v>675</v>
      </c>
      <c r="G90" s="29" t="s">
        <v>676</v>
      </c>
      <c r="H90" s="20" t="s">
        <v>677</v>
      </c>
      <c r="I90" s="125" t="s">
        <v>678</v>
      </c>
      <c r="J90" s="29" t="b">
        <v>1</v>
      </c>
      <c r="K90" s="102">
        <v>8.49722353221085E-7</v>
      </c>
      <c r="L90" s="56">
        <v>2.699473670121E-4</v>
      </c>
      <c r="M90" s="56">
        <v>4.6356865451699998E-5</v>
      </c>
      <c r="N90" s="56">
        <v>1.5862603725E-5</v>
      </c>
      <c r="O90" s="57">
        <v>1.6912539110240001E-4</v>
      </c>
      <c r="P90" s="56">
        <v>0.99689751801441095</v>
      </c>
      <c r="Q90" s="56">
        <v>0</v>
      </c>
      <c r="R90" s="56">
        <v>0</v>
      </c>
      <c r="S90" s="56">
        <v>0</v>
      </c>
      <c r="T90" s="56">
        <v>6.0974680264E-5</v>
      </c>
      <c r="U90" s="56">
        <v>0</v>
      </c>
      <c r="V90" s="56">
        <v>0</v>
      </c>
      <c r="W90" s="56">
        <v>7.4808303721710003E-4</v>
      </c>
      <c r="X90" s="56">
        <v>0</v>
      </c>
      <c r="Y90" s="30">
        <v>0</v>
      </c>
      <c r="Z90" s="20">
        <v>0</v>
      </c>
      <c r="AA90" s="29">
        <v>1</v>
      </c>
    </row>
    <row r="91" spans="1:27" ht="14.25" customHeight="1">
      <c r="A91" s="171"/>
      <c r="B91" s="30">
        <v>13713</v>
      </c>
      <c r="C91" s="20" t="s">
        <v>262</v>
      </c>
      <c r="D91" s="20" t="s">
        <v>262</v>
      </c>
      <c r="E91" s="20" t="s">
        <v>490</v>
      </c>
      <c r="F91" s="20" t="s">
        <v>490</v>
      </c>
      <c r="G91" s="29" t="s">
        <v>679</v>
      </c>
      <c r="H91" s="20" t="s">
        <v>680</v>
      </c>
      <c r="I91" s="125" t="s">
        <v>681</v>
      </c>
      <c r="J91" s="29" t="b">
        <v>0</v>
      </c>
      <c r="K91" s="102">
        <v>5.5291667800799999E-5</v>
      </c>
      <c r="L91" s="56">
        <v>3.84876903537E-5</v>
      </c>
      <c r="M91" s="56">
        <v>1.3117992484159999E-4</v>
      </c>
      <c r="N91" s="56">
        <v>9.3598019826600005E-5</v>
      </c>
      <c r="O91" s="57">
        <v>2.2308464523769999E-4</v>
      </c>
      <c r="P91" s="56">
        <v>5.246982984783E-4</v>
      </c>
      <c r="Q91" s="56">
        <v>0</v>
      </c>
      <c r="R91" s="56">
        <v>0.31021233031523798</v>
      </c>
      <c r="S91" s="56">
        <v>0</v>
      </c>
      <c r="T91" s="56">
        <v>7.6216026705999998E-6</v>
      </c>
      <c r="U91" s="56">
        <v>0</v>
      </c>
      <c r="V91" s="56">
        <v>0</v>
      </c>
      <c r="W91" s="56">
        <v>9.3615427822500005E-5</v>
      </c>
      <c r="X91" s="56">
        <v>1.7338033866949999E-4</v>
      </c>
      <c r="Y91" s="30">
        <v>0</v>
      </c>
      <c r="Z91" s="20">
        <v>1</v>
      </c>
      <c r="AA91" s="29">
        <v>0</v>
      </c>
    </row>
    <row r="92" spans="1:27" ht="14.25" customHeight="1">
      <c r="A92" s="171"/>
      <c r="B92" s="30">
        <v>13860</v>
      </c>
      <c r="C92" s="20" t="s">
        <v>262</v>
      </c>
      <c r="D92" s="20" t="s">
        <v>452</v>
      </c>
      <c r="E92" s="20" t="s">
        <v>458</v>
      </c>
      <c r="F92" s="20" t="s">
        <v>483</v>
      </c>
      <c r="G92" s="29" t="s">
        <v>682</v>
      </c>
      <c r="H92" s="20" t="s">
        <v>683</v>
      </c>
      <c r="I92" s="125" t="s">
        <v>684</v>
      </c>
      <c r="J92" s="29" t="b">
        <v>1</v>
      </c>
      <c r="K92" s="102">
        <v>1.1756072977886999E-3</v>
      </c>
      <c r="L92" s="56">
        <v>1.396603649749E-3</v>
      </c>
      <c r="M92" s="56">
        <v>1.2090239925223001E-3</v>
      </c>
      <c r="N92" s="56">
        <v>1.3308427021361E-3</v>
      </c>
      <c r="O92" s="57">
        <v>1.9593933932782002E-3</v>
      </c>
      <c r="P92" s="56">
        <v>1.2710280373831001E-3</v>
      </c>
      <c r="Q92" s="56">
        <v>8.2859576035160005E-4</v>
      </c>
      <c r="R92" s="56">
        <v>3.1389896956372002E-3</v>
      </c>
      <c r="S92" s="56">
        <v>8.0345485588020004E-4</v>
      </c>
      <c r="T92" s="56">
        <v>0.990665528750171</v>
      </c>
      <c r="U92" s="56">
        <v>8.5382139807780005E-4</v>
      </c>
      <c r="V92" s="56">
        <v>7.855459544383E-4</v>
      </c>
      <c r="W92" s="56">
        <v>1.8737118231216001E-3</v>
      </c>
      <c r="X92" s="56">
        <v>1.8624141543475E-3</v>
      </c>
      <c r="Y92" s="30">
        <v>0</v>
      </c>
      <c r="Z92" s="20">
        <v>1</v>
      </c>
      <c r="AA92" s="29">
        <v>0</v>
      </c>
    </row>
    <row r="93" spans="1:27" ht="14.25" customHeight="1">
      <c r="A93" s="171"/>
      <c r="B93" s="30">
        <v>14407</v>
      </c>
      <c r="C93" s="20" t="s">
        <v>262</v>
      </c>
      <c r="D93" s="20" t="s">
        <v>452</v>
      </c>
      <c r="E93" s="20" t="s">
        <v>563</v>
      </c>
      <c r="F93" s="20" t="s">
        <v>580</v>
      </c>
      <c r="G93" s="29" t="s">
        <v>685</v>
      </c>
      <c r="H93" s="20" t="s">
        <v>686</v>
      </c>
      <c r="I93" s="125" t="s">
        <v>687</v>
      </c>
      <c r="J93" s="29" t="b">
        <v>0</v>
      </c>
      <c r="K93" s="102">
        <v>3.5794732549420001E-4</v>
      </c>
      <c r="L93" s="56">
        <v>1.2828576937089001E-3</v>
      </c>
      <c r="M93" s="56">
        <v>4.8310529915649998E-4</v>
      </c>
      <c r="N93" s="56">
        <v>4.9887265541379998E-4</v>
      </c>
      <c r="O93" s="57">
        <v>3.6845700951069999E-4</v>
      </c>
      <c r="P93" s="56">
        <v>3.7455989212669999E-4</v>
      </c>
      <c r="Q93" s="56">
        <v>4.363703176316E-4</v>
      </c>
      <c r="R93" s="56">
        <v>6.0078921856430002E-4</v>
      </c>
      <c r="S93" s="56">
        <v>0.99061932620536597</v>
      </c>
      <c r="T93" s="56">
        <v>3.7297243809789998E-4</v>
      </c>
      <c r="U93" s="56">
        <v>2.1914926256269999E-4</v>
      </c>
      <c r="V93" s="56">
        <v>1.8358248098610001E-3</v>
      </c>
      <c r="W93" s="56">
        <v>4.683402023229E-4</v>
      </c>
      <c r="X93" s="56">
        <v>1.8466670637993E-3</v>
      </c>
      <c r="Y93" s="30">
        <v>0</v>
      </c>
      <c r="Z93" s="20">
        <v>1</v>
      </c>
      <c r="AA93" s="29">
        <v>0</v>
      </c>
    </row>
    <row r="94" spans="1:27" ht="14.25" customHeight="1">
      <c r="A94" s="171"/>
      <c r="B94" s="30">
        <v>14408</v>
      </c>
      <c r="C94" s="20" t="s">
        <v>263</v>
      </c>
      <c r="D94" s="20" t="s">
        <v>452</v>
      </c>
      <c r="E94" s="20" t="s">
        <v>580</v>
      </c>
      <c r="F94" s="20" t="s">
        <v>465</v>
      </c>
      <c r="G94" s="29" t="s">
        <v>688</v>
      </c>
      <c r="H94" s="20" t="s">
        <v>689</v>
      </c>
      <c r="I94" s="125" t="s">
        <v>690</v>
      </c>
      <c r="J94" s="29" t="b">
        <v>1</v>
      </c>
      <c r="K94" s="102">
        <v>0.99889160493048201</v>
      </c>
      <c r="L94" s="56">
        <v>0.99876021206132404</v>
      </c>
      <c r="M94" s="56">
        <v>0.99920643802586195</v>
      </c>
      <c r="N94" s="56">
        <v>0.99884369256843497</v>
      </c>
      <c r="O94" s="57">
        <v>0.99948183744281005</v>
      </c>
      <c r="P94" s="56">
        <v>0.99962561773074399</v>
      </c>
      <c r="Q94" s="56">
        <v>0.93363981151591702</v>
      </c>
      <c r="R94" s="56">
        <v>0.99414763849675103</v>
      </c>
      <c r="S94" s="56">
        <v>0.99868832610230995</v>
      </c>
      <c r="T94" s="56">
        <v>0.99676409901095597</v>
      </c>
      <c r="U94" s="56">
        <v>0.99899169242234898</v>
      </c>
      <c r="V94" s="56">
        <v>0.99868731950643197</v>
      </c>
      <c r="W94" s="56">
        <v>0.99906288070471305</v>
      </c>
      <c r="X94" s="56">
        <v>0.99844246091175903</v>
      </c>
      <c r="Y94" s="30">
        <v>5</v>
      </c>
      <c r="Z94" s="20">
        <v>8</v>
      </c>
      <c r="AA94" s="29">
        <v>4</v>
      </c>
    </row>
    <row r="95" spans="1:27" ht="14.25" customHeight="1">
      <c r="A95" s="171"/>
      <c r="B95" s="30">
        <v>14676</v>
      </c>
      <c r="C95" s="20" t="s">
        <v>263</v>
      </c>
      <c r="D95" s="20" t="s">
        <v>452</v>
      </c>
      <c r="E95" s="20" t="s">
        <v>637</v>
      </c>
      <c r="F95" s="20" t="s">
        <v>630</v>
      </c>
      <c r="G95" s="29" t="s">
        <v>691</v>
      </c>
      <c r="H95" s="20" t="s">
        <v>692</v>
      </c>
      <c r="I95" s="125" t="s">
        <v>692</v>
      </c>
      <c r="J95" s="29" t="b">
        <v>1</v>
      </c>
      <c r="K95" s="102">
        <v>0.99798191303399597</v>
      </c>
      <c r="L95" s="56">
        <v>1.1709685640321E-3</v>
      </c>
      <c r="M95" s="56">
        <v>1.7291271467876001E-3</v>
      </c>
      <c r="N95" s="56">
        <v>6.6565073272259999E-4</v>
      </c>
      <c r="O95" s="57">
        <v>1.0836575950514001E-3</v>
      </c>
      <c r="P95" s="56">
        <v>8.7651198317090001E-4</v>
      </c>
      <c r="Q95" s="56">
        <v>1.8154242117841E-3</v>
      </c>
      <c r="R95" s="56">
        <v>1.5585741733510001E-3</v>
      </c>
      <c r="S95" s="56">
        <v>2.5229589262286E-3</v>
      </c>
      <c r="T95" s="56">
        <v>1.5757142095927999E-3</v>
      </c>
      <c r="U95" s="56">
        <v>2.06080482184E-3</v>
      </c>
      <c r="V95" s="56">
        <v>2.4856096284666999E-3</v>
      </c>
      <c r="W95" s="56">
        <v>3.2817627754335998E-3</v>
      </c>
      <c r="X95" s="56">
        <v>4.1794207676005999E-3</v>
      </c>
      <c r="Y95" s="30">
        <v>1</v>
      </c>
      <c r="Z95" s="20">
        <v>0</v>
      </c>
      <c r="AA95" s="29">
        <v>0</v>
      </c>
    </row>
    <row r="96" spans="1:27" ht="14.25" customHeight="1">
      <c r="A96" s="171"/>
      <c r="B96" s="30">
        <v>15240</v>
      </c>
      <c r="C96" s="20" t="s">
        <v>262</v>
      </c>
      <c r="D96" s="20" t="s">
        <v>452</v>
      </c>
      <c r="E96" s="20" t="s">
        <v>588</v>
      </c>
      <c r="F96" s="20" t="s">
        <v>469</v>
      </c>
      <c r="G96" s="29" t="s">
        <v>693</v>
      </c>
      <c r="H96" s="20" t="s">
        <v>694</v>
      </c>
      <c r="I96" s="125" t="s">
        <v>694</v>
      </c>
      <c r="J96" s="29" t="b">
        <v>1</v>
      </c>
      <c r="K96" s="102">
        <v>4.1027038999538997E-3</v>
      </c>
      <c r="L96" s="56">
        <v>3.5816592938427497E-2</v>
      </c>
      <c r="M96" s="56">
        <v>2.8504142246338999E-3</v>
      </c>
      <c r="N96" s="56">
        <v>0.386616767293539</v>
      </c>
      <c r="O96" s="57">
        <v>3.6629193659122E-3</v>
      </c>
      <c r="P96" s="56">
        <v>2.9472001598481001E-3</v>
      </c>
      <c r="Q96" s="56">
        <v>6.4176025670410004E-4</v>
      </c>
      <c r="R96" s="56">
        <v>3.0945589580754001E-3</v>
      </c>
      <c r="S96" s="56">
        <v>2.5193993751889002E-3</v>
      </c>
      <c r="T96" s="56">
        <v>2.9123703500927001E-3</v>
      </c>
      <c r="U96" s="56">
        <v>1.1314977924699E-3</v>
      </c>
      <c r="V96" s="56">
        <v>1.312163758037E-3</v>
      </c>
      <c r="W96" s="56">
        <v>3.6527114357964999E-3</v>
      </c>
      <c r="X96" s="56">
        <v>1.9678203495773999E-3</v>
      </c>
      <c r="Y96" s="30">
        <v>1</v>
      </c>
      <c r="Z96" s="20">
        <v>0</v>
      </c>
      <c r="AA96" s="29">
        <v>1</v>
      </c>
    </row>
    <row r="97" spans="1:27" ht="14.25" customHeight="1">
      <c r="A97" s="171"/>
      <c r="B97" s="30">
        <v>15279</v>
      </c>
      <c r="C97" s="20" t="s">
        <v>262</v>
      </c>
      <c r="D97" s="20" t="s">
        <v>452</v>
      </c>
      <c r="E97" s="20" t="s">
        <v>570</v>
      </c>
      <c r="F97" s="20" t="s">
        <v>630</v>
      </c>
      <c r="G97" s="29" t="s">
        <v>695</v>
      </c>
      <c r="H97" s="20" t="s">
        <v>696</v>
      </c>
      <c r="I97" s="125" t="s">
        <v>697</v>
      </c>
      <c r="J97" s="29" t="b">
        <v>1</v>
      </c>
      <c r="K97" s="102">
        <v>0.99724590465766805</v>
      </c>
      <c r="L97" s="56">
        <v>4.6399684285270001E-4</v>
      </c>
      <c r="M97" s="56">
        <v>7.8747160375871993E-3</v>
      </c>
      <c r="N97" s="56">
        <v>2.3621242520380001E-4</v>
      </c>
      <c r="O97" s="57">
        <v>3.5695505820669999E-4</v>
      </c>
      <c r="P97" s="56">
        <v>9.7424496015580001E-4</v>
      </c>
      <c r="Q97" s="56">
        <v>1.3992430324578E-3</v>
      </c>
      <c r="R97" s="56">
        <v>8.8817117480820002E-4</v>
      </c>
      <c r="S97" s="56">
        <v>6.0514372163379996E-4</v>
      </c>
      <c r="T97" s="56">
        <v>9.5902088534370003E-4</v>
      </c>
      <c r="U97" s="56">
        <v>1.8641397217105001E-3</v>
      </c>
      <c r="V97" s="56">
        <v>1.0542962572482001E-3</v>
      </c>
      <c r="W97" s="56">
        <v>7.4941451990629998E-4</v>
      </c>
      <c r="X97" s="56">
        <v>3.470213996529E-4</v>
      </c>
      <c r="Y97" s="30">
        <v>1</v>
      </c>
      <c r="Z97" s="20">
        <v>0</v>
      </c>
      <c r="AA97" s="29">
        <v>0</v>
      </c>
    </row>
    <row r="98" spans="1:27" ht="14.25" customHeight="1">
      <c r="A98" s="171"/>
      <c r="B98" s="30">
        <v>15451</v>
      </c>
      <c r="C98" s="20" t="s">
        <v>263</v>
      </c>
      <c r="D98" s="20" t="s">
        <v>262</v>
      </c>
      <c r="E98" s="20" t="s">
        <v>519</v>
      </c>
      <c r="F98" s="20" t="s">
        <v>476</v>
      </c>
      <c r="G98" s="29" t="s">
        <v>698</v>
      </c>
      <c r="H98" s="20" t="s">
        <v>699</v>
      </c>
      <c r="I98" s="125" t="s">
        <v>700</v>
      </c>
      <c r="J98" s="29" t="b">
        <v>0</v>
      </c>
      <c r="K98" s="102">
        <v>4.8944167898069997E-4</v>
      </c>
      <c r="L98" s="56">
        <v>0.99417696920507304</v>
      </c>
      <c r="M98" s="56">
        <v>0.99896290617320205</v>
      </c>
      <c r="N98" s="56">
        <v>6.6026810036834997E-3</v>
      </c>
      <c r="O98" s="57">
        <v>1.1942305908542001E-3</v>
      </c>
      <c r="P98" s="56">
        <v>0.99932300285843201</v>
      </c>
      <c r="Q98" s="56">
        <v>1.5164047422110999E-3</v>
      </c>
      <c r="R98" s="56">
        <v>1.0490356941118999E-3</v>
      </c>
      <c r="S98" s="56">
        <v>1.1097659402744E-3</v>
      </c>
      <c r="T98" s="56">
        <v>7.9253191084010003E-4</v>
      </c>
      <c r="U98" s="56">
        <v>1.1738908945933999E-3</v>
      </c>
      <c r="V98" s="56">
        <v>5.6386047731445E-3</v>
      </c>
      <c r="W98" s="56">
        <v>1.5928042724632E-3</v>
      </c>
      <c r="X98" s="56">
        <v>2.3116042533518001E-3</v>
      </c>
      <c r="Y98" s="30">
        <v>2</v>
      </c>
      <c r="Z98" s="20">
        <v>0</v>
      </c>
      <c r="AA98" s="29">
        <v>2</v>
      </c>
    </row>
    <row r="99" spans="1:27" ht="14.25" customHeight="1">
      <c r="A99" s="171"/>
      <c r="B99" s="30">
        <v>15714</v>
      </c>
      <c r="C99" s="20" t="s">
        <v>452</v>
      </c>
      <c r="D99" s="20" t="s">
        <v>452</v>
      </c>
      <c r="E99" s="20" t="s">
        <v>630</v>
      </c>
      <c r="F99" s="20" t="s">
        <v>630</v>
      </c>
      <c r="G99" s="29" t="s">
        <v>701</v>
      </c>
      <c r="H99" s="20" t="s">
        <v>702</v>
      </c>
      <c r="I99" s="125" t="s">
        <v>703</v>
      </c>
      <c r="J99" s="29" t="b">
        <v>0</v>
      </c>
      <c r="K99" s="102">
        <v>6.3415847509929997E-4</v>
      </c>
      <c r="L99" s="56">
        <v>1.0576880307577999E-3</v>
      </c>
      <c r="M99" s="56">
        <v>0.99866053273688404</v>
      </c>
      <c r="N99" s="56">
        <v>0.61183782137697895</v>
      </c>
      <c r="O99" s="57">
        <v>0.99978891375015799</v>
      </c>
      <c r="P99" s="56">
        <v>0.999825100567174</v>
      </c>
      <c r="Q99" s="56">
        <v>1.6471449487554001E-3</v>
      </c>
      <c r="R99" s="56">
        <v>3.9598210160899999E-4</v>
      </c>
      <c r="S99" s="56">
        <v>1.7100895282164E-3</v>
      </c>
      <c r="T99" s="56">
        <v>5.1905217880320997E-3</v>
      </c>
      <c r="U99" s="56">
        <v>4.1382614945650002E-4</v>
      </c>
      <c r="V99" s="56">
        <v>6.5308254963419995E-4</v>
      </c>
      <c r="W99" s="56">
        <v>8.4143605086009997E-4</v>
      </c>
      <c r="X99" s="56">
        <v>2.3057412958260001E-4</v>
      </c>
      <c r="Y99" s="30">
        <v>3</v>
      </c>
      <c r="Z99" s="20">
        <v>0</v>
      </c>
      <c r="AA99" s="29">
        <v>4</v>
      </c>
    </row>
    <row r="100" spans="1:27" ht="14.25" customHeight="1">
      <c r="A100" s="171"/>
      <c r="B100" s="30">
        <v>15738</v>
      </c>
      <c r="C100" s="20" t="s">
        <v>452</v>
      </c>
      <c r="D100" s="20" t="s">
        <v>452</v>
      </c>
      <c r="E100" s="20" t="s">
        <v>472</v>
      </c>
      <c r="F100" s="20" t="s">
        <v>472</v>
      </c>
      <c r="G100" s="29" t="s">
        <v>704</v>
      </c>
      <c r="H100" s="20" t="s">
        <v>705</v>
      </c>
      <c r="I100" s="125" t="s">
        <v>706</v>
      </c>
      <c r="J100" s="29" t="b">
        <v>0</v>
      </c>
      <c r="K100" s="102">
        <v>3.0450292402626001E-3</v>
      </c>
      <c r="L100" s="56">
        <v>3.6244741730236001E-3</v>
      </c>
      <c r="M100" s="56">
        <v>0.99914385961336005</v>
      </c>
      <c r="N100" s="56">
        <v>2.0537645844488001E-3</v>
      </c>
      <c r="O100" s="57">
        <v>3.0035804524983999E-3</v>
      </c>
      <c r="P100" s="56">
        <v>0.99947023208879904</v>
      </c>
      <c r="Q100" s="56">
        <v>2.3557395421173999E-3</v>
      </c>
      <c r="R100" s="56">
        <v>4.4102482747679798E-2</v>
      </c>
      <c r="S100" s="56">
        <v>1.4088759182851001E-3</v>
      </c>
      <c r="T100" s="56">
        <v>4.2537353113202003E-3</v>
      </c>
      <c r="U100" s="56">
        <v>3.0737034857105001E-3</v>
      </c>
      <c r="V100" s="56">
        <v>7.0542129327237002E-3</v>
      </c>
      <c r="W100" s="56">
        <v>2.6178010471203999E-3</v>
      </c>
      <c r="X100" s="56">
        <v>1.4395117176253E-3</v>
      </c>
      <c r="Y100" s="30">
        <v>1</v>
      </c>
      <c r="Z100" s="20">
        <v>0</v>
      </c>
      <c r="AA100" s="29">
        <v>2</v>
      </c>
    </row>
    <row r="101" spans="1:27" ht="14.25" customHeight="1">
      <c r="A101" s="171"/>
      <c r="B101" s="30">
        <v>15756</v>
      </c>
      <c r="C101" s="20" t="s">
        <v>263</v>
      </c>
      <c r="D101" s="20" t="s">
        <v>262</v>
      </c>
      <c r="E101" s="20" t="s">
        <v>465</v>
      </c>
      <c r="F101" s="20" t="s">
        <v>515</v>
      </c>
      <c r="G101" s="29" t="s">
        <v>707</v>
      </c>
      <c r="H101" s="20" t="s">
        <v>708</v>
      </c>
      <c r="I101" s="125" t="s">
        <v>709</v>
      </c>
      <c r="J101" s="29" t="b">
        <v>1</v>
      </c>
      <c r="K101" s="102">
        <v>3.3977403327000002E-6</v>
      </c>
      <c r="L101" s="56">
        <v>2.6815708372999999E-6</v>
      </c>
      <c r="M101" s="56">
        <v>5.34122817726E-5</v>
      </c>
      <c r="N101" s="56">
        <v>8.6027663423999996E-6</v>
      </c>
      <c r="O101" s="57">
        <v>0.99900586845867201</v>
      </c>
      <c r="P101" s="56">
        <v>3.2565946040730002E-4</v>
      </c>
      <c r="Q101" s="56">
        <v>0</v>
      </c>
      <c r="R101" s="56">
        <v>0</v>
      </c>
      <c r="S101" s="56">
        <v>0</v>
      </c>
      <c r="T101" s="56">
        <v>7.5969369150000002E-6</v>
      </c>
      <c r="U101" s="56">
        <v>0</v>
      </c>
      <c r="V101" s="56">
        <v>0</v>
      </c>
      <c r="W101" s="56">
        <v>0</v>
      </c>
      <c r="X101" s="56">
        <v>0</v>
      </c>
      <c r="Y101" s="30">
        <v>1</v>
      </c>
      <c r="Z101" s="20">
        <v>0</v>
      </c>
      <c r="AA101" s="29">
        <v>1</v>
      </c>
    </row>
    <row r="102" spans="1:27" ht="14.25" customHeight="1">
      <c r="A102" s="171"/>
      <c r="B102" s="30">
        <v>15939</v>
      </c>
      <c r="C102" s="20" t="s">
        <v>262</v>
      </c>
      <c r="D102" s="20" t="s">
        <v>263</v>
      </c>
      <c r="E102" s="20" t="s">
        <v>457</v>
      </c>
      <c r="F102" s="20" t="s">
        <v>461</v>
      </c>
      <c r="G102" s="29" t="s">
        <v>710</v>
      </c>
      <c r="H102" s="20" t="s">
        <v>711</v>
      </c>
      <c r="I102" s="125" t="s">
        <v>712</v>
      </c>
      <c r="J102" s="29" t="b">
        <v>1</v>
      </c>
      <c r="K102" s="102">
        <v>6.72933233652E-4</v>
      </c>
      <c r="L102" s="56">
        <v>4.4276013497589997E-4</v>
      </c>
      <c r="M102" s="56">
        <v>0.99742344158952201</v>
      </c>
      <c r="N102" s="56">
        <v>4.1436563752810001E-4</v>
      </c>
      <c r="O102" s="57">
        <v>7.609823590453E-4</v>
      </c>
      <c r="P102" s="56">
        <v>0.99807316951103497</v>
      </c>
      <c r="Q102" s="56">
        <v>2.5210276625479999E-4</v>
      </c>
      <c r="R102" s="56">
        <v>3.8075552775429999E-4</v>
      </c>
      <c r="S102" s="56">
        <v>1.005025125628E-4</v>
      </c>
      <c r="T102" s="56">
        <v>3.115619894372E-4</v>
      </c>
      <c r="U102" s="56">
        <v>1.959887633109E-4</v>
      </c>
      <c r="V102" s="56">
        <v>0</v>
      </c>
      <c r="W102" s="56">
        <v>4.6733339564440001E-4</v>
      </c>
      <c r="X102" s="56">
        <v>2.0745692387482998E-3</v>
      </c>
      <c r="Y102" s="30">
        <v>1</v>
      </c>
      <c r="Z102" s="20">
        <v>0</v>
      </c>
      <c r="AA102" s="29">
        <v>2</v>
      </c>
    </row>
    <row r="103" spans="1:27" ht="14.25" customHeight="1">
      <c r="A103" s="173"/>
      <c r="B103" s="35">
        <v>16176</v>
      </c>
      <c r="C103" s="33" t="s">
        <v>263</v>
      </c>
      <c r="D103" s="33" t="s">
        <v>263</v>
      </c>
      <c r="E103" s="33" t="s">
        <v>494</v>
      </c>
      <c r="F103" s="33" t="s">
        <v>494</v>
      </c>
      <c r="G103" s="32" t="s">
        <v>713</v>
      </c>
      <c r="H103" s="33" t="s">
        <v>714</v>
      </c>
      <c r="I103" s="125" t="s">
        <v>715</v>
      </c>
      <c r="J103" s="32" t="b">
        <v>0</v>
      </c>
      <c r="K103" s="103">
        <v>0.99841815593191496</v>
      </c>
      <c r="L103" s="95">
        <v>1.190052235031E-4</v>
      </c>
      <c r="M103" s="95">
        <v>2.0316273589E-5</v>
      </c>
      <c r="N103" s="95">
        <v>6.9997299884800004E-5</v>
      </c>
      <c r="O103" s="77">
        <v>1.15091574529E-5</v>
      </c>
      <c r="P103" s="95">
        <v>0</v>
      </c>
      <c r="Q103" s="95">
        <v>2.7871062070225E-3</v>
      </c>
      <c r="R103" s="95">
        <v>2.2403204976140001E-4</v>
      </c>
      <c r="S103" s="95">
        <v>6.0337892196290002E-4</v>
      </c>
      <c r="T103" s="95">
        <v>3.4194528875370001E-4</v>
      </c>
      <c r="U103" s="95">
        <v>1.3733568765939999E-3</v>
      </c>
      <c r="V103" s="95">
        <v>5.2049446974619998E-4</v>
      </c>
      <c r="W103" s="95">
        <v>2.8032143524569998E-4</v>
      </c>
      <c r="X103" s="95">
        <v>3.4458993797379999E-4</v>
      </c>
      <c r="Y103" s="35">
        <v>1</v>
      </c>
      <c r="Z103" s="33">
        <v>0</v>
      </c>
      <c r="AA103" s="32">
        <v>0</v>
      </c>
    </row>
    <row r="104" spans="1:27" ht="14.25" customHeight="1">
      <c r="A104" s="21" t="s">
        <v>280</v>
      </c>
      <c r="B104" s="26">
        <v>16342</v>
      </c>
      <c r="C104" s="27" t="s">
        <v>452</v>
      </c>
      <c r="D104" s="27" t="s">
        <v>263</v>
      </c>
      <c r="E104" s="27" t="s">
        <v>522</v>
      </c>
      <c r="F104" s="27" t="s">
        <v>563</v>
      </c>
      <c r="G104" s="124" t="s">
        <v>716</v>
      </c>
      <c r="H104" s="27" t="s">
        <v>717</v>
      </c>
      <c r="I104" s="27" t="s">
        <v>718</v>
      </c>
      <c r="J104" s="124" t="b">
        <v>1</v>
      </c>
      <c r="K104" s="126">
        <v>8.7836005011799993E-5</v>
      </c>
      <c r="L104" s="85">
        <v>2.1331062861000001E-5</v>
      </c>
      <c r="M104" s="85">
        <v>0.99739613219793399</v>
      </c>
      <c r="N104" s="85">
        <v>1.2326517880545E-2</v>
      </c>
      <c r="O104" s="76">
        <v>4.1139921872589998E-4</v>
      </c>
      <c r="P104" s="85">
        <v>0.99782342198093599</v>
      </c>
      <c r="Q104" s="85">
        <v>2.34923767237E-5</v>
      </c>
      <c r="R104" s="85">
        <v>5.3768499724400001E-5</v>
      </c>
      <c r="S104" s="85">
        <v>0</v>
      </c>
      <c r="T104" s="85">
        <v>7.7139661355999999E-6</v>
      </c>
      <c r="U104" s="85">
        <v>2.28112596377E-5</v>
      </c>
      <c r="V104" s="85">
        <v>0</v>
      </c>
      <c r="W104" s="85">
        <v>0</v>
      </c>
      <c r="X104" s="85">
        <v>6.0335465186399998E-5</v>
      </c>
      <c r="Y104" s="26">
        <v>1</v>
      </c>
      <c r="Z104" s="27">
        <v>0</v>
      </c>
      <c r="AA104" s="124">
        <v>2</v>
      </c>
    </row>
    <row r="105" spans="1:27" ht="14.25" customHeight="1">
      <c r="A105" s="39"/>
      <c r="B105" s="30">
        <v>16394</v>
      </c>
      <c r="C105" s="20" t="s">
        <v>263</v>
      </c>
      <c r="D105" s="20" t="s">
        <v>452</v>
      </c>
      <c r="E105" s="20" t="s">
        <v>563</v>
      </c>
      <c r="F105" s="20" t="s">
        <v>567</v>
      </c>
      <c r="G105" s="29" t="s">
        <v>719</v>
      </c>
      <c r="H105" s="20" t="s">
        <v>720</v>
      </c>
      <c r="I105" s="20" t="s">
        <v>721</v>
      </c>
      <c r="J105" s="29" t="b">
        <v>1</v>
      </c>
      <c r="K105" s="102">
        <v>2.1235958637692998E-3</v>
      </c>
      <c r="L105" s="56">
        <v>3.7519781300300001E-4</v>
      </c>
      <c r="M105" s="56">
        <v>2.090439553155E-4</v>
      </c>
      <c r="N105" s="56">
        <v>4.505766049857E-4</v>
      </c>
      <c r="O105" s="57">
        <v>3.5536739967630002E-4</v>
      </c>
      <c r="P105" s="56">
        <v>2.255695631469E-4</v>
      </c>
      <c r="Q105" s="56">
        <v>9.4257369748090001E-4</v>
      </c>
      <c r="R105" s="56">
        <v>0.31463578833984102</v>
      </c>
      <c r="S105" s="56">
        <v>3.077870113881E-4</v>
      </c>
      <c r="T105" s="56">
        <v>8.9558000386020002E-4</v>
      </c>
      <c r="U105" s="56">
        <v>9.8283467806450009E-4</v>
      </c>
      <c r="V105" s="56">
        <v>0</v>
      </c>
      <c r="W105" s="56">
        <v>4.7036688617120001E-4</v>
      </c>
      <c r="X105" s="56">
        <v>1.1478281882437999E-3</v>
      </c>
      <c r="Y105" s="30">
        <v>0</v>
      </c>
      <c r="Z105" s="20">
        <v>1</v>
      </c>
      <c r="AA105" s="29">
        <v>0</v>
      </c>
    </row>
    <row r="106" spans="1:27" ht="14.25" customHeight="1">
      <c r="A106" s="39"/>
      <c r="B106" s="30">
        <v>16466</v>
      </c>
      <c r="C106" s="20" t="s">
        <v>263</v>
      </c>
      <c r="D106" s="20" t="s">
        <v>452</v>
      </c>
      <c r="E106" s="20" t="s">
        <v>563</v>
      </c>
      <c r="F106" s="20" t="s">
        <v>567</v>
      </c>
      <c r="G106" s="29" t="s">
        <v>722</v>
      </c>
      <c r="H106" s="20" t="s">
        <v>723</v>
      </c>
      <c r="I106" s="20" t="s">
        <v>724</v>
      </c>
      <c r="J106" s="29" t="b">
        <v>1</v>
      </c>
      <c r="K106" s="102">
        <v>1.098795328501E-4</v>
      </c>
      <c r="L106" s="56">
        <v>0.99400995668358905</v>
      </c>
      <c r="M106" s="56">
        <v>3.3075429789700002E-5</v>
      </c>
      <c r="N106" s="56">
        <v>1.4188614391E-4</v>
      </c>
      <c r="O106" s="57">
        <v>1.4281192826979999E-4</v>
      </c>
      <c r="P106" s="56">
        <v>0</v>
      </c>
      <c r="Q106" s="56">
        <v>4.8217114779689998E-4</v>
      </c>
      <c r="R106" s="56">
        <v>6.6569032086199995E-5</v>
      </c>
      <c r="S106" s="56">
        <v>6.0685748963280005E-4</v>
      </c>
      <c r="T106" s="56">
        <v>2.4437927663730001E-4</v>
      </c>
      <c r="U106" s="56">
        <v>1.100836635843E-4</v>
      </c>
      <c r="V106" s="56">
        <v>1.3075313807531001E-3</v>
      </c>
      <c r="W106" s="56">
        <v>7.4871314927459998E-4</v>
      </c>
      <c r="X106" s="56">
        <v>1.099091803089E-3</v>
      </c>
      <c r="Y106" s="30">
        <v>1</v>
      </c>
      <c r="Z106" s="20">
        <v>0</v>
      </c>
      <c r="AA106" s="29">
        <v>0</v>
      </c>
    </row>
    <row r="107" spans="1:27" ht="14.25" customHeight="1">
      <c r="A107" s="39"/>
      <c r="B107" s="30">
        <v>16500</v>
      </c>
      <c r="C107" s="20" t="s">
        <v>262</v>
      </c>
      <c r="D107" s="20" t="s">
        <v>263</v>
      </c>
      <c r="E107" s="20" t="s">
        <v>547</v>
      </c>
      <c r="F107" s="20" t="s">
        <v>570</v>
      </c>
      <c r="G107" s="29" t="s">
        <v>725</v>
      </c>
      <c r="H107" s="20" t="s">
        <v>726</v>
      </c>
      <c r="I107" s="20" t="s">
        <v>727</v>
      </c>
      <c r="J107" s="29" t="b">
        <v>1</v>
      </c>
      <c r="K107" s="102">
        <v>2.9284582780319998E-4</v>
      </c>
      <c r="L107" s="56">
        <v>1.4818347269300001E-5</v>
      </c>
      <c r="M107" s="56">
        <v>1.4259414396399999E-4</v>
      </c>
      <c r="N107" s="56">
        <v>4.6204628594000004E-6</v>
      </c>
      <c r="O107" s="57">
        <v>0</v>
      </c>
      <c r="P107" s="56">
        <v>0</v>
      </c>
      <c r="Q107" s="56">
        <v>2.31417198926E-5</v>
      </c>
      <c r="R107" s="56">
        <v>1.38350857775E-5</v>
      </c>
      <c r="S107" s="56">
        <v>0</v>
      </c>
      <c r="T107" s="56">
        <v>2.30068407006E-5</v>
      </c>
      <c r="U107" s="56">
        <v>0.98833484302852204</v>
      </c>
      <c r="V107" s="56">
        <v>0</v>
      </c>
      <c r="W107" s="56">
        <v>0</v>
      </c>
      <c r="X107" s="56">
        <v>0</v>
      </c>
      <c r="Y107" s="30">
        <v>0</v>
      </c>
      <c r="Z107" s="20">
        <v>1</v>
      </c>
      <c r="AA107" s="29">
        <v>0</v>
      </c>
    </row>
    <row r="108" spans="1:27" ht="14.25" customHeight="1">
      <c r="A108" s="39"/>
      <c r="B108" s="30">
        <v>16852</v>
      </c>
      <c r="C108" s="20" t="s">
        <v>261</v>
      </c>
      <c r="D108" s="20" t="s">
        <v>452</v>
      </c>
      <c r="E108" s="20" t="s">
        <v>518</v>
      </c>
      <c r="F108" s="20" t="s">
        <v>728</v>
      </c>
      <c r="G108" s="29" t="s">
        <v>729</v>
      </c>
      <c r="H108" s="20" t="s">
        <v>730</v>
      </c>
      <c r="I108" s="20" t="s">
        <v>731</v>
      </c>
      <c r="J108" s="29" t="b">
        <v>1</v>
      </c>
      <c r="K108" s="102">
        <v>1.4288472349669999E-4</v>
      </c>
      <c r="L108" s="56">
        <v>5.3072018953650003E-4</v>
      </c>
      <c r="M108" s="56">
        <v>3.5581580940399997E-5</v>
      </c>
      <c r="N108" s="56">
        <v>5.076096091636E-4</v>
      </c>
      <c r="O108" s="57">
        <v>7.2916506762000003E-5</v>
      </c>
      <c r="P108" s="56">
        <v>0</v>
      </c>
      <c r="Q108" s="56">
        <v>4.1435510232259998E-4</v>
      </c>
      <c r="R108" s="56">
        <v>7.9174474149529999E-4</v>
      </c>
      <c r="S108" s="56">
        <v>4.0351054171290001E-4</v>
      </c>
      <c r="T108" s="56">
        <v>4.343221146153E-4</v>
      </c>
      <c r="U108" s="56">
        <v>4.3590078897999998E-5</v>
      </c>
      <c r="V108" s="56">
        <v>0.57365364308342104</v>
      </c>
      <c r="W108" s="56">
        <v>9.3554121059000002E-5</v>
      </c>
      <c r="X108" s="56">
        <v>5.1918084799530001E-4</v>
      </c>
      <c r="Y108" s="30">
        <v>0</v>
      </c>
      <c r="Z108" s="20">
        <v>1</v>
      </c>
      <c r="AA108" s="29">
        <v>0</v>
      </c>
    </row>
    <row r="109" spans="1:27" ht="14.25" customHeight="1">
      <c r="A109" s="39"/>
      <c r="B109" s="30">
        <v>16878</v>
      </c>
      <c r="C109" s="20" t="s">
        <v>262</v>
      </c>
      <c r="D109" s="20" t="s">
        <v>452</v>
      </c>
      <c r="E109" s="20" t="s">
        <v>493</v>
      </c>
      <c r="F109" s="20" t="s">
        <v>494</v>
      </c>
      <c r="G109" s="29" t="s">
        <v>732</v>
      </c>
      <c r="H109" s="20" t="s">
        <v>733</v>
      </c>
      <c r="I109" s="20" t="s">
        <v>734</v>
      </c>
      <c r="J109" s="29" t="b">
        <v>0</v>
      </c>
      <c r="K109" s="102">
        <v>4.2537371207000003E-6</v>
      </c>
      <c r="L109" s="56">
        <v>2.6213547205999999E-5</v>
      </c>
      <c r="M109" s="56">
        <v>1.627554497645E-4</v>
      </c>
      <c r="N109" s="56">
        <v>5.0743421884000003E-6</v>
      </c>
      <c r="O109" s="57">
        <v>1.228312605558E-4</v>
      </c>
      <c r="P109" s="56">
        <v>0.99869931714149895</v>
      </c>
      <c r="Q109" s="56">
        <v>0</v>
      </c>
      <c r="R109" s="56">
        <v>0</v>
      </c>
      <c r="S109" s="56">
        <v>0</v>
      </c>
      <c r="T109" s="56">
        <v>0</v>
      </c>
      <c r="U109" s="56">
        <v>0</v>
      </c>
      <c r="V109" s="56">
        <v>0</v>
      </c>
      <c r="W109" s="56">
        <v>0</v>
      </c>
      <c r="X109" s="56">
        <v>5.7740054275599998E-5</v>
      </c>
      <c r="Y109" s="30">
        <v>0</v>
      </c>
      <c r="Z109" s="20">
        <v>0</v>
      </c>
      <c r="AA109" s="29">
        <v>1</v>
      </c>
    </row>
    <row r="110" spans="1:27" ht="14.25" customHeight="1">
      <c r="A110" s="39"/>
      <c r="B110" s="30">
        <v>17014</v>
      </c>
      <c r="C110" s="20" t="s">
        <v>261</v>
      </c>
      <c r="D110" s="20" t="s">
        <v>452</v>
      </c>
      <c r="E110" s="20" t="s">
        <v>457</v>
      </c>
      <c r="F110" s="20" t="s">
        <v>515</v>
      </c>
      <c r="G110" s="29" t="s">
        <v>735</v>
      </c>
      <c r="H110" s="20" t="s">
        <v>736</v>
      </c>
      <c r="I110" s="20" t="s">
        <v>737</v>
      </c>
      <c r="J110" s="29" t="b">
        <v>1</v>
      </c>
      <c r="K110" s="102">
        <v>1.2578648424219999E-4</v>
      </c>
      <c r="L110" s="56">
        <v>3.9933421925119998E-4</v>
      </c>
      <c r="M110" s="56">
        <v>1.142807802583E-4</v>
      </c>
      <c r="N110" s="56">
        <v>3.1347129040899998E-5</v>
      </c>
      <c r="O110" s="57">
        <v>3.0723264039499998E-5</v>
      </c>
      <c r="P110" s="56">
        <v>9.9812850904500004E-5</v>
      </c>
      <c r="Q110" s="56">
        <v>6.8944913014500005E-5</v>
      </c>
      <c r="R110" s="56">
        <v>0.99700387498834797</v>
      </c>
      <c r="S110" s="56">
        <v>0</v>
      </c>
      <c r="T110" s="56">
        <v>1.7502073615240001E-4</v>
      </c>
      <c r="U110" s="56">
        <v>1.5254200353020001E-4</v>
      </c>
      <c r="V110" s="56">
        <v>7.8853988697589995E-4</v>
      </c>
      <c r="W110" s="56">
        <v>1.871257485029E-4</v>
      </c>
      <c r="X110" s="56">
        <v>1.7298045320869999E-4</v>
      </c>
      <c r="Y110" s="30">
        <v>0</v>
      </c>
      <c r="Z110" s="20">
        <v>1</v>
      </c>
      <c r="AA110" s="29">
        <v>0</v>
      </c>
    </row>
    <row r="111" spans="1:27" ht="14.25" customHeight="1">
      <c r="A111" s="39"/>
      <c r="B111" s="30">
        <v>17124</v>
      </c>
      <c r="C111" s="20" t="s">
        <v>452</v>
      </c>
      <c r="D111" s="20" t="s">
        <v>263</v>
      </c>
      <c r="E111" s="20" t="s">
        <v>461</v>
      </c>
      <c r="F111" s="20" t="s">
        <v>532</v>
      </c>
      <c r="G111" s="29" t="s">
        <v>738</v>
      </c>
      <c r="H111" s="20" t="s">
        <v>739</v>
      </c>
      <c r="I111" s="20" t="s">
        <v>740</v>
      </c>
      <c r="J111" s="29" t="b">
        <v>0</v>
      </c>
      <c r="K111" s="102">
        <v>1.53419734355E-4</v>
      </c>
      <c r="L111" s="56">
        <v>1.25052700781E-4</v>
      </c>
      <c r="M111" s="56">
        <v>0.96701781493343697</v>
      </c>
      <c r="N111" s="56">
        <v>7.1329176154099995E-5</v>
      </c>
      <c r="O111" s="57">
        <v>2.1114540624369999E-4</v>
      </c>
      <c r="P111" s="56">
        <v>8.9784517158810005E-4</v>
      </c>
      <c r="Q111" s="56">
        <v>2.2806577416900001E-5</v>
      </c>
      <c r="R111" s="56">
        <v>3.9472645456599997E-5</v>
      </c>
      <c r="S111" s="56">
        <v>0</v>
      </c>
      <c r="T111" s="56">
        <v>1.2912242324809999E-4</v>
      </c>
      <c r="U111" s="56">
        <v>4.3481096593199997E-5</v>
      </c>
      <c r="V111" s="56">
        <v>0</v>
      </c>
      <c r="W111" s="56">
        <v>9.3466679128800006E-5</v>
      </c>
      <c r="X111" s="56">
        <v>0</v>
      </c>
      <c r="Y111" s="30">
        <v>1</v>
      </c>
      <c r="Z111" s="20">
        <v>0</v>
      </c>
      <c r="AA111" s="29">
        <v>1</v>
      </c>
    </row>
    <row r="112" spans="1:27" ht="14.25" customHeight="1">
      <c r="A112" s="39"/>
      <c r="B112" s="30">
        <v>17259</v>
      </c>
      <c r="C112" s="20" t="s">
        <v>261</v>
      </c>
      <c r="D112" s="20" t="s">
        <v>452</v>
      </c>
      <c r="E112" s="20" t="s">
        <v>741</v>
      </c>
      <c r="F112" s="20" t="s">
        <v>457</v>
      </c>
      <c r="G112" s="29" t="s">
        <v>742</v>
      </c>
      <c r="H112" s="20" t="s">
        <v>743</v>
      </c>
      <c r="I112" s="20" t="s">
        <v>744</v>
      </c>
      <c r="J112" s="29" t="b">
        <v>1</v>
      </c>
      <c r="K112" s="102">
        <v>3.5795382734909998E-4</v>
      </c>
      <c r="L112" s="56">
        <v>3.6772976059401999E-3</v>
      </c>
      <c r="M112" s="56">
        <v>2.0122313098097002E-3</v>
      </c>
      <c r="N112" s="56">
        <v>1.3931852064524E-3</v>
      </c>
      <c r="O112" s="57">
        <v>8.7933186138039997E-4</v>
      </c>
      <c r="P112" s="56">
        <v>7.9848288252320002E-4</v>
      </c>
      <c r="Q112" s="56">
        <v>4.1115603371470001E-4</v>
      </c>
      <c r="R112" s="56">
        <v>9.2148912642799996E-5</v>
      </c>
      <c r="S112" s="56">
        <v>1.002908434459E-4</v>
      </c>
      <c r="T112" s="56">
        <v>0.99074193818322898</v>
      </c>
      <c r="U112" s="56">
        <v>7.3932330173080002E-4</v>
      </c>
      <c r="V112" s="56">
        <v>1.9556714471968E-3</v>
      </c>
      <c r="W112" s="56">
        <v>4.683402023229E-4</v>
      </c>
      <c r="X112" s="56">
        <v>6.3440798200580005E-4</v>
      </c>
      <c r="Y112" s="30">
        <v>0</v>
      </c>
      <c r="Z112" s="20">
        <v>1</v>
      </c>
      <c r="AA112" s="29">
        <v>0</v>
      </c>
    </row>
    <row r="113" spans="1:27" ht="14.25" customHeight="1">
      <c r="A113" s="39"/>
      <c r="B113" s="30">
        <v>17410</v>
      </c>
      <c r="C113" s="20" t="s">
        <v>263</v>
      </c>
      <c r="D113" s="20" t="s">
        <v>452</v>
      </c>
      <c r="E113" s="20" t="s">
        <v>745</v>
      </c>
      <c r="F113" s="20" t="s">
        <v>728</v>
      </c>
      <c r="G113" s="29" t="s">
        <v>746</v>
      </c>
      <c r="H113" s="20" t="s">
        <v>747</v>
      </c>
      <c r="I113" s="20" t="s">
        <v>748</v>
      </c>
      <c r="J113" s="29" t="b">
        <v>1</v>
      </c>
      <c r="K113" s="102">
        <v>2.0896587314432002E-3</v>
      </c>
      <c r="L113" s="56">
        <v>1.6157782825379E-3</v>
      </c>
      <c r="M113" s="56">
        <v>0.99961823998452604</v>
      </c>
      <c r="N113" s="56">
        <v>0.61267014484203797</v>
      </c>
      <c r="O113" s="57">
        <v>0.99970420111251102</v>
      </c>
      <c r="P113" s="56">
        <v>0.99980038426029805</v>
      </c>
      <c r="Q113" s="56">
        <v>6.3851135638050001E-4</v>
      </c>
      <c r="R113" s="56">
        <v>1.06771416896247E-2</v>
      </c>
      <c r="S113" s="56">
        <v>2.0048115477140001E-4</v>
      </c>
      <c r="T113" s="56">
        <v>1.6801611738319999E-3</v>
      </c>
      <c r="U113" s="56">
        <v>8.6969756267249996E-4</v>
      </c>
      <c r="V113" s="56">
        <v>7.7841203943949998E-4</v>
      </c>
      <c r="W113" s="56">
        <v>2.0551144325080999E-3</v>
      </c>
      <c r="X113" s="56">
        <v>6.8504979563639998E-3</v>
      </c>
      <c r="Y113" s="30">
        <v>3</v>
      </c>
      <c r="Z113" s="20">
        <v>0</v>
      </c>
      <c r="AA113" s="29">
        <v>4</v>
      </c>
    </row>
    <row r="114" spans="1:27" ht="14.25" customHeight="1">
      <c r="A114" s="39"/>
      <c r="B114" s="30">
        <v>17491</v>
      </c>
      <c r="C114" s="20" t="s">
        <v>263</v>
      </c>
      <c r="D114" s="20" t="s">
        <v>452</v>
      </c>
      <c r="E114" s="20" t="s">
        <v>563</v>
      </c>
      <c r="F114" s="20" t="s">
        <v>522</v>
      </c>
      <c r="G114" s="29" t="s">
        <v>749</v>
      </c>
      <c r="H114" s="20" t="s">
        <v>750</v>
      </c>
      <c r="I114" s="20" t="s">
        <v>751</v>
      </c>
      <c r="J114" s="29" t="b">
        <v>1</v>
      </c>
      <c r="K114" s="102">
        <v>4.1442716060490002E-4</v>
      </c>
      <c r="L114" s="56">
        <v>2.094283947313E-4</v>
      </c>
      <c r="M114" s="56">
        <v>2.2408621207720001E-4</v>
      </c>
      <c r="N114" s="56">
        <v>2.819622540164E-4</v>
      </c>
      <c r="O114" s="57">
        <v>3.1918780164199998E-4</v>
      </c>
      <c r="P114" s="56">
        <v>2.9977516862349999E-4</v>
      </c>
      <c r="Q114" s="56">
        <v>2.2938410368159999E-4</v>
      </c>
      <c r="R114" s="56">
        <v>2.5061334318190001E-4</v>
      </c>
      <c r="S114" s="56">
        <v>0</v>
      </c>
      <c r="T114" s="56">
        <v>2.2047363819510001E-4</v>
      </c>
      <c r="U114" s="56">
        <v>4.3554955465000003E-5</v>
      </c>
      <c r="V114" s="56">
        <v>1.8286311389759001E-3</v>
      </c>
      <c r="W114" s="56">
        <v>2.8053113895639998E-4</v>
      </c>
      <c r="X114" s="56">
        <v>0.99309653056407798</v>
      </c>
      <c r="Y114" s="30">
        <v>0</v>
      </c>
      <c r="Z114" s="20">
        <v>1</v>
      </c>
      <c r="AA114" s="29">
        <v>0</v>
      </c>
    </row>
    <row r="115" spans="1:27" ht="14.25" customHeight="1">
      <c r="A115" s="39"/>
      <c r="B115" s="30">
        <v>17523</v>
      </c>
      <c r="C115" s="20" t="s">
        <v>261</v>
      </c>
      <c r="D115" s="20" t="s">
        <v>452</v>
      </c>
      <c r="E115" s="20" t="s">
        <v>752</v>
      </c>
      <c r="F115" s="20" t="s">
        <v>499</v>
      </c>
      <c r="G115" s="29" t="s">
        <v>753</v>
      </c>
      <c r="H115" s="20" t="s">
        <v>754</v>
      </c>
      <c r="I115" s="20" t="s">
        <v>755</v>
      </c>
      <c r="J115" s="29" t="b">
        <v>1</v>
      </c>
      <c r="K115" s="102">
        <v>3.1001641812970001E-4</v>
      </c>
      <c r="L115" s="56">
        <v>2.027906860272E-4</v>
      </c>
      <c r="M115" s="56">
        <v>4.3254355968E-5</v>
      </c>
      <c r="N115" s="56">
        <v>7.0748517780099999E-5</v>
      </c>
      <c r="O115" s="57">
        <v>1.9179500949380001E-4</v>
      </c>
      <c r="P115" s="56">
        <v>0</v>
      </c>
      <c r="Q115" s="56">
        <v>4.3569987158310002E-4</v>
      </c>
      <c r="R115" s="56">
        <v>1.0545464132239999E-4</v>
      </c>
      <c r="S115" s="56">
        <v>4.0201005025120002E-4</v>
      </c>
      <c r="T115" s="56">
        <v>3.8762046636060002E-4</v>
      </c>
      <c r="U115" s="56">
        <v>6.5339547850300003E-5</v>
      </c>
      <c r="V115" s="56">
        <v>0.99275648623732304</v>
      </c>
      <c r="W115" s="56">
        <v>6.5451145395040004E-4</v>
      </c>
      <c r="X115" s="56">
        <v>1.7460132696999999E-4</v>
      </c>
      <c r="Y115" s="30">
        <v>0</v>
      </c>
      <c r="Z115" s="20">
        <v>1</v>
      </c>
      <c r="AA115" s="29">
        <v>0</v>
      </c>
    </row>
    <row r="116" spans="1:27" ht="14.25" customHeight="1">
      <c r="A116" s="127"/>
      <c r="B116" s="35">
        <v>17859</v>
      </c>
      <c r="C116" s="33" t="s">
        <v>452</v>
      </c>
      <c r="D116" s="33" t="s">
        <v>263</v>
      </c>
      <c r="E116" s="33" t="s">
        <v>515</v>
      </c>
      <c r="F116" s="33" t="s">
        <v>514</v>
      </c>
      <c r="G116" s="32" t="s">
        <v>756</v>
      </c>
      <c r="H116" s="33" t="s">
        <v>757</v>
      </c>
      <c r="I116" s="33" t="s">
        <v>758</v>
      </c>
      <c r="J116" s="32" t="b">
        <v>0</v>
      </c>
      <c r="K116" s="103">
        <v>1.106740392163E-4</v>
      </c>
      <c r="L116" s="95">
        <v>5.7453421047E-5</v>
      </c>
      <c r="M116" s="95">
        <v>0.99752978971215001</v>
      </c>
      <c r="N116" s="95">
        <v>8.7331232006300003E-5</v>
      </c>
      <c r="O116" s="77">
        <v>7.0121634065240001E-4</v>
      </c>
      <c r="P116" s="95">
        <v>0.99827374846763905</v>
      </c>
      <c r="Q116" s="95">
        <v>2.3395096387699999E-5</v>
      </c>
      <c r="R116" s="95">
        <v>8.0172102780599994E-5</v>
      </c>
      <c r="S116" s="95">
        <v>1.017501017501E-4</v>
      </c>
      <c r="T116" s="95">
        <v>2.307266350827E-4</v>
      </c>
      <c r="U116" s="95">
        <v>1.099456868307E-4</v>
      </c>
      <c r="V116" s="95">
        <v>0</v>
      </c>
      <c r="W116" s="95">
        <v>1.8867924528299999E-4</v>
      </c>
      <c r="X116" s="95">
        <v>0</v>
      </c>
      <c r="Y116" s="35">
        <v>1</v>
      </c>
      <c r="Z116" s="33">
        <v>0</v>
      </c>
      <c r="AA116" s="32">
        <v>2</v>
      </c>
    </row>
    <row r="117" spans="1:27" ht="14.25" customHeight="1">
      <c r="A117" s="21" t="s">
        <v>281</v>
      </c>
      <c r="B117" s="26">
        <v>18163</v>
      </c>
      <c r="C117" s="27" t="s">
        <v>262</v>
      </c>
      <c r="D117" s="27" t="s">
        <v>261</v>
      </c>
      <c r="E117" s="27" t="s">
        <v>577</v>
      </c>
      <c r="F117" s="27" t="s">
        <v>574</v>
      </c>
      <c r="G117" s="124" t="s">
        <v>759</v>
      </c>
      <c r="H117" s="27" t="s">
        <v>760</v>
      </c>
      <c r="I117" s="27" t="s">
        <v>761</v>
      </c>
      <c r="J117" s="124" t="b">
        <v>1</v>
      </c>
      <c r="K117" s="126">
        <v>1.52868968363E-5</v>
      </c>
      <c r="L117" s="85">
        <v>2.1942564479440001E-4</v>
      </c>
      <c r="M117" s="85">
        <v>0.99853558883920601</v>
      </c>
      <c r="N117" s="85">
        <v>0.99775374495069502</v>
      </c>
      <c r="O117" s="76">
        <v>0.99899673355109597</v>
      </c>
      <c r="P117" s="85">
        <v>0.999220988088656</v>
      </c>
      <c r="Q117" s="85">
        <v>4.6135037253999999E-5</v>
      </c>
      <c r="R117" s="85">
        <v>0</v>
      </c>
      <c r="S117" s="85">
        <v>0</v>
      </c>
      <c r="T117" s="85">
        <v>0</v>
      </c>
      <c r="U117" s="85">
        <v>2.1800265963199999E-5</v>
      </c>
      <c r="V117" s="85">
        <v>0</v>
      </c>
      <c r="W117" s="85">
        <v>0</v>
      </c>
      <c r="X117" s="85">
        <v>0</v>
      </c>
      <c r="Y117" s="26">
        <v>3</v>
      </c>
      <c r="Z117" s="27">
        <v>0</v>
      </c>
      <c r="AA117" s="124">
        <v>4</v>
      </c>
    </row>
    <row r="118" spans="1:27" ht="14.25" customHeight="1">
      <c r="A118" s="39"/>
      <c r="B118" s="30">
        <v>18171</v>
      </c>
      <c r="C118" s="20" t="s">
        <v>263</v>
      </c>
      <c r="D118" s="20" t="s">
        <v>452</v>
      </c>
      <c r="E118" s="20" t="s">
        <v>519</v>
      </c>
      <c r="F118" s="20" t="s">
        <v>518</v>
      </c>
      <c r="G118" s="29" t="s">
        <v>762</v>
      </c>
      <c r="H118" s="20" t="s">
        <v>763</v>
      </c>
      <c r="I118" s="20" t="s">
        <v>764</v>
      </c>
      <c r="J118" s="29" t="b">
        <v>0</v>
      </c>
      <c r="K118" s="102">
        <v>1.958363127742E-3</v>
      </c>
      <c r="L118" s="56">
        <v>6.8243587526970004E-4</v>
      </c>
      <c r="M118" s="56">
        <v>5.118345501312E-4</v>
      </c>
      <c r="N118" s="56">
        <v>3.7409576344080001E-4</v>
      </c>
      <c r="O118" s="57">
        <v>5.9830222032280004E-4</v>
      </c>
      <c r="P118" s="56">
        <v>9.7940733299839997E-4</v>
      </c>
      <c r="Q118" s="56">
        <v>6.3421046562578999E-3</v>
      </c>
      <c r="R118" s="56">
        <v>6.2432751955999999E-4</v>
      </c>
      <c r="S118" s="56">
        <v>0.994627470856563</v>
      </c>
      <c r="T118" s="56">
        <v>4.4241374838860001E-4</v>
      </c>
      <c r="U118" s="56">
        <v>1.1990146279783999E-3</v>
      </c>
      <c r="V118" s="56">
        <v>7.848266841072E-4</v>
      </c>
      <c r="W118" s="56">
        <v>1.8745899334520001E-4</v>
      </c>
      <c r="X118" s="56">
        <v>1.73751882312E-4</v>
      </c>
      <c r="Y118" s="30">
        <v>0</v>
      </c>
      <c r="Z118" s="20">
        <v>1</v>
      </c>
      <c r="AA118" s="29">
        <v>0</v>
      </c>
    </row>
    <row r="119" spans="1:27" ht="14.25" customHeight="1">
      <c r="A119" s="39"/>
      <c r="B119" s="30">
        <v>18492</v>
      </c>
      <c r="C119" s="20" t="s">
        <v>262</v>
      </c>
      <c r="D119" s="20" t="s">
        <v>261</v>
      </c>
      <c r="E119" s="20" t="s">
        <v>563</v>
      </c>
      <c r="F119" s="20" t="s">
        <v>564</v>
      </c>
      <c r="G119" s="29" t="s">
        <v>765</v>
      </c>
      <c r="H119" s="20" t="s">
        <v>766</v>
      </c>
      <c r="I119" s="20" t="s">
        <v>767</v>
      </c>
      <c r="J119" s="29" t="b">
        <v>0</v>
      </c>
      <c r="K119" s="102">
        <v>1.10455364987E-5</v>
      </c>
      <c r="L119" s="56">
        <v>2.90654388232E-5</v>
      </c>
      <c r="M119" s="56">
        <v>2.2878001784480001E-4</v>
      </c>
      <c r="N119" s="56">
        <v>2.9955527562899999E-5</v>
      </c>
      <c r="O119" s="57">
        <v>0.99895313750846704</v>
      </c>
      <c r="P119" s="56">
        <v>0.99844860374336897</v>
      </c>
      <c r="Q119" s="56">
        <v>0</v>
      </c>
      <c r="R119" s="56">
        <v>0</v>
      </c>
      <c r="S119" s="56">
        <v>0</v>
      </c>
      <c r="T119" s="56">
        <v>0</v>
      </c>
      <c r="U119" s="56">
        <v>0</v>
      </c>
      <c r="V119" s="56">
        <v>0</v>
      </c>
      <c r="W119" s="56">
        <v>0</v>
      </c>
      <c r="X119" s="56">
        <v>1.152538465971E-4</v>
      </c>
      <c r="Y119" s="30">
        <v>1</v>
      </c>
      <c r="Z119" s="20">
        <v>0</v>
      </c>
      <c r="AA119" s="29">
        <v>2</v>
      </c>
    </row>
    <row r="120" spans="1:27" ht="14.25" customHeight="1">
      <c r="A120" s="39"/>
      <c r="B120" s="30">
        <v>18877</v>
      </c>
      <c r="C120" s="20" t="s">
        <v>263</v>
      </c>
      <c r="D120" s="20" t="s">
        <v>452</v>
      </c>
      <c r="E120" s="20" t="s">
        <v>567</v>
      </c>
      <c r="F120" s="20" t="s">
        <v>523</v>
      </c>
      <c r="G120" s="29" t="s">
        <v>768</v>
      </c>
      <c r="H120" s="20" t="s">
        <v>769</v>
      </c>
      <c r="I120" s="20" t="s">
        <v>770</v>
      </c>
      <c r="J120" s="29" t="b">
        <v>0</v>
      </c>
      <c r="K120" s="102">
        <v>1.9868243073566999E-3</v>
      </c>
      <c r="L120" s="56">
        <v>1.3953846212509001E-3</v>
      </c>
      <c r="M120" s="56">
        <v>9.464541046086E-4</v>
      </c>
      <c r="N120" s="56">
        <v>7.0922683515129998E-4</v>
      </c>
      <c r="O120" s="57">
        <v>9.7786091957569998E-4</v>
      </c>
      <c r="P120" s="56">
        <v>1.6494227020541999E-3</v>
      </c>
      <c r="Q120" s="56">
        <v>2.4801929038924999E-3</v>
      </c>
      <c r="R120" s="56">
        <v>6.0202279659650004E-4</v>
      </c>
      <c r="S120" s="56">
        <v>7.0387129210650002E-4</v>
      </c>
      <c r="T120" s="56">
        <v>1.2291483757682E-3</v>
      </c>
      <c r="U120" s="56">
        <v>1.4535523939567E-3</v>
      </c>
      <c r="V120" s="56">
        <v>7.8462142016470001E-4</v>
      </c>
      <c r="W120" s="56">
        <v>7.4955495174740001E-4</v>
      </c>
      <c r="X120" s="56">
        <v>0.99561585401978803</v>
      </c>
      <c r="Y120" s="30">
        <v>0</v>
      </c>
      <c r="Z120" s="20">
        <v>1</v>
      </c>
      <c r="AA120" s="29">
        <v>0</v>
      </c>
    </row>
    <row r="121" spans="1:27" ht="14.25" customHeight="1">
      <c r="A121" s="39"/>
      <c r="B121" s="30">
        <v>18894</v>
      </c>
      <c r="C121" s="20" t="s">
        <v>263</v>
      </c>
      <c r="D121" s="20" t="s">
        <v>452</v>
      </c>
      <c r="E121" s="20" t="s">
        <v>771</v>
      </c>
      <c r="F121" s="20" t="s">
        <v>728</v>
      </c>
      <c r="G121" s="29" t="s">
        <v>772</v>
      </c>
      <c r="H121" s="20" t="s">
        <v>773</v>
      </c>
      <c r="I121" s="20" t="s">
        <v>774</v>
      </c>
      <c r="J121" s="29" t="b">
        <v>0</v>
      </c>
      <c r="K121" s="102">
        <v>1.132204930795E-4</v>
      </c>
      <c r="L121" s="56">
        <v>2.5516879370849997E-4</v>
      </c>
      <c r="M121" s="56">
        <v>4.0694554305610001E-4</v>
      </c>
      <c r="N121" s="56">
        <v>1.2595843617370001E-4</v>
      </c>
      <c r="O121" s="57">
        <v>0.91245683046568804</v>
      </c>
      <c r="P121" s="56">
        <v>3.499912502187E-4</v>
      </c>
      <c r="Q121" s="56">
        <v>2.9847319481109998E-4</v>
      </c>
      <c r="R121" s="56">
        <v>5.3500969705E-5</v>
      </c>
      <c r="S121" s="56">
        <v>3.015681544028E-4</v>
      </c>
      <c r="T121" s="56">
        <v>2.6712255582860001E-4</v>
      </c>
      <c r="U121" s="56">
        <v>2.2027402088099999E-5</v>
      </c>
      <c r="V121" s="56">
        <v>2.610966057441E-4</v>
      </c>
      <c r="W121" s="56">
        <v>0</v>
      </c>
      <c r="X121" s="56">
        <v>5.8657907085799998E-5</v>
      </c>
      <c r="Y121" s="30">
        <v>1</v>
      </c>
      <c r="Z121" s="20">
        <v>0</v>
      </c>
      <c r="AA121" s="29">
        <v>1</v>
      </c>
    </row>
    <row r="122" spans="1:27" ht="14.25" customHeight="1">
      <c r="A122" s="39"/>
      <c r="B122" s="30">
        <v>19035</v>
      </c>
      <c r="C122" s="20" t="s">
        <v>452</v>
      </c>
      <c r="D122" s="20" t="s">
        <v>263</v>
      </c>
      <c r="E122" s="20" t="s">
        <v>499</v>
      </c>
      <c r="F122" s="20" t="s">
        <v>469</v>
      </c>
      <c r="G122" s="29" t="s">
        <v>775</v>
      </c>
      <c r="H122" s="20" t="s">
        <v>776</v>
      </c>
      <c r="I122" s="20" t="s">
        <v>777</v>
      </c>
      <c r="J122" s="29" t="b">
        <v>0</v>
      </c>
      <c r="K122" s="102">
        <v>7.6454482823000006E-6</v>
      </c>
      <c r="L122" s="56">
        <v>2.59489195518E-5</v>
      </c>
      <c r="M122" s="56">
        <v>2.061257519772E-4</v>
      </c>
      <c r="N122" s="56">
        <v>1.76655186127E-5</v>
      </c>
      <c r="O122" s="57">
        <v>3.8611380318200002E-5</v>
      </c>
      <c r="P122" s="56">
        <v>1.7508754377180001E-4</v>
      </c>
      <c r="Q122" s="56">
        <v>2.2936831964700001E-5</v>
      </c>
      <c r="R122" s="56">
        <v>1.32726331576E-5</v>
      </c>
      <c r="S122" s="56">
        <v>0</v>
      </c>
      <c r="T122" s="56">
        <v>2.28310502283E-5</v>
      </c>
      <c r="U122" s="56">
        <v>2.1906764808900002E-5</v>
      </c>
      <c r="V122" s="56">
        <v>0</v>
      </c>
      <c r="W122" s="56">
        <v>4.6825248173809999E-4</v>
      </c>
      <c r="X122" s="56">
        <v>0.94996525364836604</v>
      </c>
      <c r="Y122" s="30">
        <v>0</v>
      </c>
      <c r="Z122" s="20">
        <v>1</v>
      </c>
      <c r="AA122" s="29">
        <v>0</v>
      </c>
    </row>
    <row r="123" spans="1:27" ht="14.25" customHeight="1">
      <c r="A123" s="39"/>
      <c r="B123" s="30">
        <v>19220</v>
      </c>
      <c r="C123" s="20" t="s">
        <v>263</v>
      </c>
      <c r="D123" s="20" t="s">
        <v>452</v>
      </c>
      <c r="E123" s="20" t="s">
        <v>461</v>
      </c>
      <c r="F123" s="20" t="s">
        <v>480</v>
      </c>
      <c r="G123" s="29" t="s">
        <v>778</v>
      </c>
      <c r="H123" s="20" t="s">
        <v>779</v>
      </c>
      <c r="I123" s="20" t="s">
        <v>780</v>
      </c>
      <c r="J123" s="29" t="b">
        <v>1</v>
      </c>
      <c r="K123" s="102">
        <v>1.214696296195E-4</v>
      </c>
      <c r="L123" s="56">
        <v>0.90513639417421998</v>
      </c>
      <c r="M123" s="56">
        <v>7.6345202467399998E-5</v>
      </c>
      <c r="N123" s="56">
        <v>2.4332840071020001E-4</v>
      </c>
      <c r="O123" s="57">
        <v>2.15093411996E-4</v>
      </c>
      <c r="P123" s="56">
        <v>2.5004375765699999E-5</v>
      </c>
      <c r="Q123" s="56">
        <v>2.9808993143930001E-4</v>
      </c>
      <c r="R123" s="56">
        <v>5.0673423123080003E-4</v>
      </c>
      <c r="S123" s="56">
        <v>1.8072289156625999E-3</v>
      </c>
      <c r="T123" s="56">
        <v>1.140441578979E-4</v>
      </c>
      <c r="U123" s="56">
        <v>1.5333391746250001E-4</v>
      </c>
      <c r="V123" s="56">
        <v>1.3042911177769999E-4</v>
      </c>
      <c r="W123" s="56">
        <v>1.871607711023E-4</v>
      </c>
      <c r="X123" s="56">
        <v>9.2240285944880001E-4</v>
      </c>
      <c r="Y123" s="30">
        <v>1</v>
      </c>
      <c r="Z123" s="20">
        <v>0</v>
      </c>
      <c r="AA123" s="29">
        <v>0</v>
      </c>
    </row>
    <row r="124" spans="1:27" ht="14.25" customHeight="1">
      <c r="A124" s="127"/>
      <c r="B124" s="35">
        <v>19326</v>
      </c>
      <c r="C124" s="33" t="s">
        <v>262</v>
      </c>
      <c r="D124" s="33" t="s">
        <v>261</v>
      </c>
      <c r="E124" s="33" t="s">
        <v>563</v>
      </c>
      <c r="F124" s="33" t="s">
        <v>564</v>
      </c>
      <c r="G124" s="32" t="s">
        <v>781</v>
      </c>
      <c r="H124" s="33" t="s">
        <v>782</v>
      </c>
      <c r="I124" s="33" t="s">
        <v>783</v>
      </c>
      <c r="J124" s="32" t="b">
        <v>0</v>
      </c>
      <c r="K124" s="103">
        <v>1.8283591299499999E-5</v>
      </c>
      <c r="L124" s="95">
        <v>1.2443570012170001E-4</v>
      </c>
      <c r="M124" s="95">
        <v>0.99646163627998796</v>
      </c>
      <c r="N124" s="95">
        <v>3.5810733617699999E-5</v>
      </c>
      <c r="O124" s="77">
        <v>3.6599695644629998E-4</v>
      </c>
      <c r="P124" s="95">
        <v>0.99924817682880895</v>
      </c>
      <c r="Q124" s="95">
        <v>0</v>
      </c>
      <c r="R124" s="95">
        <v>0</v>
      </c>
      <c r="S124" s="95">
        <v>0</v>
      </c>
      <c r="T124" s="95">
        <v>1.6558621660299999E-5</v>
      </c>
      <c r="U124" s="95">
        <v>2.40900002409E-5</v>
      </c>
      <c r="V124" s="95">
        <v>1.6622340425530001E-4</v>
      </c>
      <c r="W124" s="95">
        <v>0</v>
      </c>
      <c r="X124" s="95">
        <v>6.4897138036199996E-5</v>
      </c>
      <c r="Y124" s="35">
        <v>1</v>
      </c>
      <c r="Z124" s="33">
        <v>0</v>
      </c>
      <c r="AA124" s="32">
        <v>2</v>
      </c>
    </row>
    <row r="125" spans="1:27" ht="14.25" customHeight="1">
      <c r="A125" s="21" t="s">
        <v>282</v>
      </c>
      <c r="B125" s="26">
        <v>19955</v>
      </c>
      <c r="C125" s="27" t="s">
        <v>263</v>
      </c>
      <c r="D125" s="27" t="s">
        <v>452</v>
      </c>
      <c r="E125" s="27" t="s">
        <v>494</v>
      </c>
      <c r="F125" s="27" t="s">
        <v>499</v>
      </c>
      <c r="G125" s="124" t="s">
        <v>784</v>
      </c>
      <c r="H125" s="27" t="s">
        <v>785</v>
      </c>
      <c r="I125" s="27" t="s">
        <v>786</v>
      </c>
      <c r="J125" s="124" t="b">
        <v>1</v>
      </c>
      <c r="K125" s="126">
        <v>1.4496589601113001E-3</v>
      </c>
      <c r="L125" s="85">
        <v>1.7597998426879999E-3</v>
      </c>
      <c r="M125" s="85">
        <v>0.99947774665088296</v>
      </c>
      <c r="N125" s="85">
        <v>0.61262222573140401</v>
      </c>
      <c r="O125" s="76">
        <v>0.99947492883903999</v>
      </c>
      <c r="P125" s="85">
        <v>0.99992404101785004</v>
      </c>
      <c r="Q125" s="85">
        <v>4.3545577704659998E-4</v>
      </c>
      <c r="R125" s="85">
        <v>8.8794175102109997E-4</v>
      </c>
      <c r="S125" s="85">
        <v>2.097975453687E-4</v>
      </c>
      <c r="T125" s="85">
        <v>1.1839144445401999E-3</v>
      </c>
      <c r="U125" s="85">
        <v>1.3925033100488E-3</v>
      </c>
      <c r="V125" s="85">
        <v>2.7188689505159999E-4</v>
      </c>
      <c r="W125" s="85">
        <v>4.7696270151669997E-4</v>
      </c>
      <c r="X125" s="85">
        <v>1.0331206320267001E-3</v>
      </c>
      <c r="Y125" s="26">
        <v>3</v>
      </c>
      <c r="Z125" s="27">
        <v>0</v>
      </c>
      <c r="AA125" s="124">
        <v>4</v>
      </c>
    </row>
    <row r="126" spans="1:27" ht="14.25" customHeight="1">
      <c r="A126" s="39"/>
      <c r="B126" s="30">
        <v>20055</v>
      </c>
      <c r="C126" s="20" t="s">
        <v>262</v>
      </c>
      <c r="D126" s="20" t="s">
        <v>261</v>
      </c>
      <c r="E126" s="20" t="s">
        <v>675</v>
      </c>
      <c r="F126" s="20" t="s">
        <v>741</v>
      </c>
      <c r="G126" s="29" t="s">
        <v>787</v>
      </c>
      <c r="H126" s="20" t="s">
        <v>788</v>
      </c>
      <c r="I126" s="20" t="s">
        <v>789</v>
      </c>
      <c r="J126" s="29" t="b">
        <v>0</v>
      </c>
      <c r="K126" s="102">
        <v>7.932331712833E-4</v>
      </c>
      <c r="L126" s="56">
        <v>1.5618602437149E-3</v>
      </c>
      <c r="M126" s="56">
        <v>0.99733748577975301</v>
      </c>
      <c r="N126" s="56">
        <v>0.613139900587646</v>
      </c>
      <c r="O126" s="57">
        <v>0.99829596201758097</v>
      </c>
      <c r="P126" s="56">
        <v>0.99906468818726402</v>
      </c>
      <c r="Q126" s="56">
        <v>2.4864100626477001E-3</v>
      </c>
      <c r="R126" s="56">
        <v>2.6694410601102998E-3</v>
      </c>
      <c r="S126" s="56">
        <v>4.2007981516479999E-4</v>
      </c>
      <c r="T126" s="56">
        <v>5.5378128785614003E-3</v>
      </c>
      <c r="U126" s="56">
        <v>1.2370000458147999E-3</v>
      </c>
      <c r="V126" s="56">
        <v>1.3633265166999999E-4</v>
      </c>
      <c r="W126" s="56">
        <v>3.3384204502097999E-3</v>
      </c>
      <c r="X126" s="56">
        <v>4.8649963512519998E-4</v>
      </c>
      <c r="Y126" s="30">
        <v>3</v>
      </c>
      <c r="Z126" s="20">
        <v>0</v>
      </c>
      <c r="AA126" s="29">
        <v>4</v>
      </c>
    </row>
    <row r="127" spans="1:27" ht="14.25" customHeight="1">
      <c r="A127" s="39"/>
      <c r="B127" s="30">
        <v>20148</v>
      </c>
      <c r="C127" s="20" t="s">
        <v>263</v>
      </c>
      <c r="D127" s="20" t="s">
        <v>452</v>
      </c>
      <c r="E127" s="20" t="s">
        <v>472</v>
      </c>
      <c r="F127" s="20" t="s">
        <v>473</v>
      </c>
      <c r="G127" s="29" t="s">
        <v>790</v>
      </c>
      <c r="H127" s="20" t="s">
        <v>791</v>
      </c>
      <c r="I127" s="20" t="s">
        <v>792</v>
      </c>
      <c r="J127" s="29" t="b">
        <v>0</v>
      </c>
      <c r="K127" s="102">
        <v>3.7210774771182001E-3</v>
      </c>
      <c r="L127" s="56">
        <v>1.0073166597096999E-3</v>
      </c>
      <c r="M127" s="56">
        <v>1.6489495910756999E-3</v>
      </c>
      <c r="N127" s="56">
        <v>9.6440871849019999E-4</v>
      </c>
      <c r="O127" s="57">
        <v>1.8955805892546999E-3</v>
      </c>
      <c r="P127" s="56">
        <v>1.1017628205127999E-3</v>
      </c>
      <c r="Q127" s="56">
        <v>2.9164522216503E-3</v>
      </c>
      <c r="R127" s="56">
        <v>1.7342145510159E-3</v>
      </c>
      <c r="S127" s="56">
        <v>1.3701517706576E-3</v>
      </c>
      <c r="T127" s="56">
        <v>1.1839979926921E-3</v>
      </c>
      <c r="U127" s="56">
        <v>1.4917152430348E-3</v>
      </c>
      <c r="V127" s="56">
        <v>6.827802813054E-4</v>
      </c>
      <c r="W127" s="56">
        <v>2.4844720496893999E-3</v>
      </c>
      <c r="X127" s="56">
        <v>0.99343356857931797</v>
      </c>
      <c r="Y127" s="30">
        <v>0</v>
      </c>
      <c r="Z127" s="20">
        <v>1</v>
      </c>
      <c r="AA127" s="29">
        <v>0</v>
      </c>
    </row>
    <row r="128" spans="1:27" ht="14.25" customHeight="1">
      <c r="A128" s="39"/>
      <c r="B128" s="30">
        <v>20262</v>
      </c>
      <c r="C128" s="20" t="s">
        <v>262</v>
      </c>
      <c r="D128" s="20" t="s">
        <v>261</v>
      </c>
      <c r="E128" s="20" t="s">
        <v>523</v>
      </c>
      <c r="F128" s="20" t="s">
        <v>486</v>
      </c>
      <c r="G128" s="29" t="s">
        <v>793</v>
      </c>
      <c r="H128" s="20" t="s">
        <v>794</v>
      </c>
      <c r="I128" s="20" t="s">
        <v>795</v>
      </c>
      <c r="J128" s="29" t="b">
        <v>0</v>
      </c>
      <c r="K128" s="102">
        <v>3.8480088730549999E-4</v>
      </c>
      <c r="L128" s="56">
        <v>1.9117475288724001E-2</v>
      </c>
      <c r="M128" s="56">
        <v>1.0147924532159999E-3</v>
      </c>
      <c r="N128" s="56">
        <v>7.046966893228E-4</v>
      </c>
      <c r="O128" s="57">
        <v>6.7160470822069998E-4</v>
      </c>
      <c r="P128" s="56">
        <v>1.0786674693958999E-3</v>
      </c>
      <c r="Q128" s="56">
        <v>1.9481784531459999E-4</v>
      </c>
      <c r="R128" s="56">
        <v>1.5538039946879999E-4</v>
      </c>
      <c r="S128" s="56">
        <v>2.1317416329139999E-4</v>
      </c>
      <c r="T128" s="56">
        <v>7.613336682154E-4</v>
      </c>
      <c r="U128" s="56">
        <v>0.99212360594795501</v>
      </c>
      <c r="V128" s="56">
        <v>4.1174855887999998E-4</v>
      </c>
      <c r="W128" s="56">
        <v>1.8293857115347001E-3</v>
      </c>
      <c r="X128" s="56">
        <v>3.0266343825660001E-4</v>
      </c>
      <c r="Y128" s="30">
        <v>0</v>
      </c>
      <c r="Z128" s="20">
        <v>1</v>
      </c>
      <c r="AA128" s="29">
        <v>0</v>
      </c>
    </row>
    <row r="129" spans="1:27" ht="14.25" customHeight="1">
      <c r="A129" s="39"/>
      <c r="B129" s="30">
        <v>20396</v>
      </c>
      <c r="C129" s="20" t="s">
        <v>262</v>
      </c>
      <c r="D129" s="20" t="s">
        <v>261</v>
      </c>
      <c r="E129" s="20" t="s">
        <v>490</v>
      </c>
      <c r="F129" s="20" t="s">
        <v>454</v>
      </c>
      <c r="G129" s="29" t="s">
        <v>796</v>
      </c>
      <c r="H129" s="20" t="s">
        <v>797</v>
      </c>
      <c r="I129" s="20" t="s">
        <v>798</v>
      </c>
      <c r="J129" s="29" t="b">
        <v>1</v>
      </c>
      <c r="K129" s="102">
        <v>7.2813577304999997E-5</v>
      </c>
      <c r="L129" s="56">
        <v>4.3772058503144E-3</v>
      </c>
      <c r="M129" s="56">
        <v>1.8598110126280001E-4</v>
      </c>
      <c r="N129" s="56">
        <v>1.0588454930790001E-4</v>
      </c>
      <c r="O129" s="57">
        <v>1.19525445425E-4</v>
      </c>
      <c r="P129" s="56">
        <v>1.50007500375E-4</v>
      </c>
      <c r="Q129" s="56">
        <v>4.8138253062699999E-5</v>
      </c>
      <c r="R129" s="56">
        <v>1.3980343636839999E-4</v>
      </c>
      <c r="S129" s="56">
        <v>0</v>
      </c>
      <c r="T129" s="56">
        <v>3.667319501556E-4</v>
      </c>
      <c r="U129" s="56">
        <v>0</v>
      </c>
      <c r="V129" s="56">
        <v>0.99395355228802995</v>
      </c>
      <c r="W129" s="56">
        <v>1.9136924696199999E-4</v>
      </c>
      <c r="X129" s="56">
        <v>1.203297033872E-4</v>
      </c>
      <c r="Y129" s="30">
        <v>0</v>
      </c>
      <c r="Z129" s="20">
        <v>1</v>
      </c>
      <c r="AA129" s="29">
        <v>0</v>
      </c>
    </row>
    <row r="130" spans="1:27" ht="14.25" customHeight="1">
      <c r="A130" s="127"/>
      <c r="B130" s="35">
        <v>20401</v>
      </c>
      <c r="C130" s="33" t="s">
        <v>452</v>
      </c>
      <c r="D130" s="33" t="s">
        <v>261</v>
      </c>
      <c r="E130" s="33" t="s">
        <v>522</v>
      </c>
      <c r="F130" s="33" t="s">
        <v>508</v>
      </c>
      <c r="G130" s="32" t="s">
        <v>799</v>
      </c>
      <c r="H130" s="33" t="s">
        <v>800</v>
      </c>
      <c r="I130" s="33" t="s">
        <v>801</v>
      </c>
      <c r="J130" s="32" t="b">
        <v>1</v>
      </c>
      <c r="K130" s="103">
        <v>1.7323291598000001E-6</v>
      </c>
      <c r="L130" s="95">
        <v>7.2588414390000006E-5</v>
      </c>
      <c r="M130" s="95">
        <v>4.3312874369699997E-5</v>
      </c>
      <c r="N130" s="95">
        <v>1.1146994801099999E-5</v>
      </c>
      <c r="O130" s="77">
        <v>4.6284332367699998E-5</v>
      </c>
      <c r="P130" s="95">
        <v>2.4998125140600001E-5</v>
      </c>
      <c r="Q130" s="95">
        <v>0</v>
      </c>
      <c r="R130" s="95">
        <v>0</v>
      </c>
      <c r="S130" s="95">
        <v>0</v>
      </c>
      <c r="T130" s="95">
        <v>7.7965414541999993E-6</v>
      </c>
      <c r="U130" s="95">
        <v>0</v>
      </c>
      <c r="V130" s="95">
        <v>0.64856711915535403</v>
      </c>
      <c r="W130" s="95">
        <v>0</v>
      </c>
      <c r="X130" s="95">
        <v>0</v>
      </c>
      <c r="Y130" s="35">
        <v>0</v>
      </c>
      <c r="Z130" s="33">
        <v>1</v>
      </c>
      <c r="AA130" s="32">
        <v>0</v>
      </c>
    </row>
    <row r="131" spans="1:27" ht="14.25" customHeight="1">
      <c r="A131" s="127" t="s">
        <v>283</v>
      </c>
      <c r="B131" s="35">
        <v>20724</v>
      </c>
      <c r="C131" s="33" t="s">
        <v>262</v>
      </c>
      <c r="D131" s="33" t="s">
        <v>261</v>
      </c>
      <c r="E131" s="33" t="s">
        <v>523</v>
      </c>
      <c r="F131" s="33" t="s">
        <v>486</v>
      </c>
      <c r="G131" s="32" t="s">
        <v>802</v>
      </c>
      <c r="H131" s="33" t="s">
        <v>803</v>
      </c>
      <c r="I131" s="33" t="s">
        <v>804</v>
      </c>
      <c r="J131" s="32" t="b">
        <v>0</v>
      </c>
      <c r="K131" s="103">
        <v>1.3873390750900001E-4</v>
      </c>
      <c r="L131" s="95">
        <v>2.9827930964200001E-5</v>
      </c>
      <c r="M131" s="95">
        <v>9.7619873351000001E-5</v>
      </c>
      <c r="N131" s="95">
        <v>1.19696273854E-5</v>
      </c>
      <c r="O131" s="77">
        <v>1.013762844375E-4</v>
      </c>
      <c r="P131" s="95">
        <v>0</v>
      </c>
      <c r="Q131" s="95">
        <v>2.32174781175E-5</v>
      </c>
      <c r="R131" s="95">
        <v>0</v>
      </c>
      <c r="S131" s="95">
        <v>0.99387317471663394</v>
      </c>
      <c r="T131" s="95">
        <v>1.56920590335E-5</v>
      </c>
      <c r="U131" s="95">
        <v>0</v>
      </c>
      <c r="V131" s="95">
        <v>0</v>
      </c>
      <c r="W131" s="95">
        <v>0</v>
      </c>
      <c r="X131" s="95">
        <v>0</v>
      </c>
      <c r="Y131" s="35">
        <v>0</v>
      </c>
      <c r="Z131" s="33">
        <v>1</v>
      </c>
      <c r="AA131" s="32">
        <v>0</v>
      </c>
    </row>
    <row r="132" spans="1:27" ht="14.25" customHeight="1">
      <c r="A132" s="200" t="s">
        <v>805</v>
      </c>
      <c r="B132" s="26">
        <v>21600</v>
      </c>
      <c r="C132" s="27" t="s">
        <v>261</v>
      </c>
      <c r="D132" s="27" t="s">
        <v>452</v>
      </c>
      <c r="E132" s="27" t="s">
        <v>453</v>
      </c>
      <c r="F132" s="27" t="s">
        <v>499</v>
      </c>
      <c r="G132" s="124" t="s">
        <v>806</v>
      </c>
      <c r="H132" s="27" t="s">
        <v>807</v>
      </c>
      <c r="I132" s="125" t="s">
        <v>808</v>
      </c>
      <c r="J132" s="124" t="b">
        <v>1</v>
      </c>
      <c r="K132" s="126">
        <v>3.666175309069E-4</v>
      </c>
      <c r="L132" s="85">
        <v>8.3514318541100005E-5</v>
      </c>
      <c r="M132" s="85">
        <v>5.0401066486500002E-5</v>
      </c>
      <c r="N132" s="85">
        <v>9.3142967431100002E-5</v>
      </c>
      <c r="O132" s="76">
        <v>3.8835403907600003E-5</v>
      </c>
      <c r="P132" s="85">
        <v>7.6419492065099998E-5</v>
      </c>
      <c r="Q132" s="85">
        <v>1.644273231231E-4</v>
      </c>
      <c r="R132" s="85">
        <v>0.993527866131932</v>
      </c>
      <c r="S132" s="85">
        <v>1.2871518839223E-3</v>
      </c>
      <c r="T132" s="85">
        <v>7.7229022666699994E-5</v>
      </c>
      <c r="U132" s="85">
        <v>2.0014677430109999E-4</v>
      </c>
      <c r="V132" s="85">
        <v>0</v>
      </c>
      <c r="W132" s="85">
        <v>1.91040213965E-4</v>
      </c>
      <c r="X132" s="85">
        <v>3.1342067322759999E-4</v>
      </c>
      <c r="Y132" s="26">
        <v>0</v>
      </c>
      <c r="Z132" s="27">
        <v>1</v>
      </c>
      <c r="AA132" s="124">
        <v>0</v>
      </c>
    </row>
    <row r="133" spans="1:27" ht="14.25" customHeight="1">
      <c r="A133" s="171"/>
      <c r="B133" s="30">
        <v>21614</v>
      </c>
      <c r="C133" s="20" t="s">
        <v>263</v>
      </c>
      <c r="D133" s="20" t="s">
        <v>452</v>
      </c>
      <c r="E133" s="20" t="s">
        <v>605</v>
      </c>
      <c r="F133" s="20" t="s">
        <v>473</v>
      </c>
      <c r="G133" s="29" t="s">
        <v>809</v>
      </c>
      <c r="H133" s="20" t="s">
        <v>810</v>
      </c>
      <c r="I133" s="125" t="s">
        <v>811</v>
      </c>
      <c r="J133" s="29" t="b">
        <v>1</v>
      </c>
      <c r="K133" s="102">
        <v>6.7048497596660997E-3</v>
      </c>
      <c r="L133" s="56">
        <v>4.1228898767534002E-3</v>
      </c>
      <c r="M133" s="56">
        <v>3.6012077896889998E-4</v>
      </c>
      <c r="N133" s="56">
        <v>4.2671602491130002E-4</v>
      </c>
      <c r="O133" s="57">
        <v>1.310999669068E-3</v>
      </c>
      <c r="P133" s="56">
        <v>8.9090261161730005E-4</v>
      </c>
      <c r="Q133" s="56">
        <v>0.43939037030057398</v>
      </c>
      <c r="R133" s="56">
        <v>7.3957406012459996E-4</v>
      </c>
      <c r="S133" s="56">
        <v>2.1109417145536999E-3</v>
      </c>
      <c r="T133" s="56">
        <v>0.99496628726957803</v>
      </c>
      <c r="U133" s="56">
        <v>3.3134805991377303E-2</v>
      </c>
      <c r="V133" s="56">
        <v>1.3410218586561999E-3</v>
      </c>
      <c r="W133" s="56">
        <v>4.5937410278494998E-3</v>
      </c>
      <c r="X133" s="56">
        <v>3.3176838810640998E-3</v>
      </c>
      <c r="Y133" s="30">
        <v>0</v>
      </c>
      <c r="Z133" s="20">
        <v>2</v>
      </c>
      <c r="AA133" s="29">
        <v>0</v>
      </c>
    </row>
    <row r="134" spans="1:27" ht="14.25" customHeight="1">
      <c r="A134" s="171"/>
      <c r="B134" s="30">
        <v>21618</v>
      </c>
      <c r="C134" s="20" t="s">
        <v>263</v>
      </c>
      <c r="D134" s="20" t="s">
        <v>452</v>
      </c>
      <c r="E134" s="20" t="s">
        <v>493</v>
      </c>
      <c r="F134" s="20" t="s">
        <v>577</v>
      </c>
      <c r="G134" s="29" t="s">
        <v>812</v>
      </c>
      <c r="H134" s="20" t="s">
        <v>813</v>
      </c>
      <c r="I134" s="125" t="s">
        <v>814</v>
      </c>
      <c r="J134" s="29" t="b">
        <v>1</v>
      </c>
      <c r="K134" s="102">
        <v>1.0510449617432999E-3</v>
      </c>
      <c r="L134" s="56">
        <v>3.201634340959E-4</v>
      </c>
      <c r="M134" s="56">
        <v>0.99566615584953799</v>
      </c>
      <c r="N134" s="56">
        <v>0.60982169994312296</v>
      </c>
      <c r="O134" s="57">
        <v>0.98374446606561605</v>
      </c>
      <c r="P134" s="56">
        <v>0.9855265216711</v>
      </c>
      <c r="Q134" s="56">
        <v>2.54589905733562E-2</v>
      </c>
      <c r="R134" s="56">
        <v>8.4993214251439999E-4</v>
      </c>
      <c r="S134" s="56">
        <v>2.9394473838917998E-3</v>
      </c>
      <c r="T134" s="56">
        <v>9.0376103631259995E-4</v>
      </c>
      <c r="U134" s="56">
        <v>1.0891793367120001E-3</v>
      </c>
      <c r="V134" s="56">
        <v>0</v>
      </c>
      <c r="W134" s="56">
        <v>7.6496462038629998E-4</v>
      </c>
      <c r="X134" s="56">
        <v>4.3848659483830001E-4</v>
      </c>
      <c r="Y134" s="30">
        <v>3</v>
      </c>
      <c r="Z134" s="20">
        <v>0</v>
      </c>
      <c r="AA134" s="29">
        <v>4</v>
      </c>
    </row>
    <row r="135" spans="1:27" ht="14.25" customHeight="1">
      <c r="A135" s="171"/>
      <c r="B135" s="30">
        <v>21618</v>
      </c>
      <c r="C135" s="20" t="s">
        <v>263</v>
      </c>
      <c r="D135" s="20" t="s">
        <v>261</v>
      </c>
      <c r="E135" s="20" t="s">
        <v>493</v>
      </c>
      <c r="F135" s="20" t="s">
        <v>449</v>
      </c>
      <c r="G135" s="29" t="s">
        <v>815</v>
      </c>
      <c r="H135" s="20" t="s">
        <v>816</v>
      </c>
      <c r="I135" s="125" t="s">
        <v>817</v>
      </c>
      <c r="J135" s="29" t="b">
        <v>1</v>
      </c>
      <c r="K135" s="102">
        <v>1.030767566982E-4</v>
      </c>
      <c r="L135" s="56">
        <v>0.99610899056271596</v>
      </c>
      <c r="M135" s="56">
        <v>5.1166991149999999E-6</v>
      </c>
      <c r="N135" s="56">
        <v>1.684429130954E-4</v>
      </c>
      <c r="O135" s="57">
        <v>8.4974040430000005E-6</v>
      </c>
      <c r="P135" s="56">
        <v>2.6078339331300001E-5</v>
      </c>
      <c r="Q135" s="56">
        <v>6.8172735607320003E-4</v>
      </c>
      <c r="R135" s="56">
        <v>1.096686635502E-4</v>
      </c>
      <c r="S135" s="56">
        <v>1.763668430335E-3</v>
      </c>
      <c r="T135" s="56">
        <v>1.622135193381E-4</v>
      </c>
      <c r="U135" s="56">
        <v>1.3336889837280001E-4</v>
      </c>
      <c r="V135" s="56">
        <v>1.4802852913469999E-3</v>
      </c>
      <c r="W135" s="56">
        <v>4.7810288774139997E-4</v>
      </c>
      <c r="X135" s="56">
        <v>1.4407416687546E-3</v>
      </c>
      <c r="Y135" s="30">
        <v>1</v>
      </c>
      <c r="Z135" s="20">
        <v>0</v>
      </c>
      <c r="AA135" s="29">
        <v>0</v>
      </c>
    </row>
    <row r="136" spans="1:27" ht="14.25" customHeight="1">
      <c r="A136" s="171"/>
      <c r="B136" s="30">
        <v>21621</v>
      </c>
      <c r="C136" s="20" t="s">
        <v>263</v>
      </c>
      <c r="D136" s="20" t="s">
        <v>262</v>
      </c>
      <c r="E136" s="20" t="s">
        <v>468</v>
      </c>
      <c r="F136" s="20" t="s">
        <v>588</v>
      </c>
      <c r="G136" s="29" t="s">
        <v>818</v>
      </c>
      <c r="H136" s="20" t="s">
        <v>819</v>
      </c>
      <c r="I136" s="125" t="s">
        <v>820</v>
      </c>
      <c r="J136" s="29" t="b">
        <v>1</v>
      </c>
      <c r="K136" s="102">
        <v>1.106643238494E-4</v>
      </c>
      <c r="L136" s="56">
        <v>7.72714029993E-5</v>
      </c>
      <c r="M136" s="56">
        <v>3.3077216362859999E-4</v>
      </c>
      <c r="N136" s="56">
        <v>2.2507194263799999E-5</v>
      </c>
      <c r="O136" s="57">
        <v>6.8302511824800002E-5</v>
      </c>
      <c r="P136" s="56">
        <v>1.1243994684656999E-3</v>
      </c>
      <c r="Q136" s="56">
        <v>7.0487065623400002E-5</v>
      </c>
      <c r="R136" s="56">
        <v>4.1398153642299999E-5</v>
      </c>
      <c r="S136" s="56">
        <v>1.1709601873530001E-4</v>
      </c>
      <c r="T136" s="56">
        <v>0.99049129593810403</v>
      </c>
      <c r="U136" s="56">
        <v>6.6831517743700002E-5</v>
      </c>
      <c r="V136" s="56">
        <v>0</v>
      </c>
      <c r="W136" s="56">
        <v>1.9146084625689999E-4</v>
      </c>
      <c r="X136" s="56">
        <v>3.1460391367259998E-4</v>
      </c>
      <c r="Y136" s="30">
        <v>0</v>
      </c>
      <c r="Z136" s="20">
        <v>1</v>
      </c>
      <c r="AA136" s="29">
        <v>0</v>
      </c>
    </row>
    <row r="137" spans="1:27" ht="14.25" customHeight="1">
      <c r="A137" s="171"/>
      <c r="B137" s="30">
        <v>21622</v>
      </c>
      <c r="C137" s="20" t="s">
        <v>263</v>
      </c>
      <c r="D137" s="20" t="s">
        <v>452</v>
      </c>
      <c r="E137" s="20" t="s">
        <v>468</v>
      </c>
      <c r="F137" s="20" t="s">
        <v>494</v>
      </c>
      <c r="G137" s="29" t="s">
        <v>821</v>
      </c>
      <c r="H137" s="20" t="s">
        <v>822</v>
      </c>
      <c r="I137" s="125" t="s">
        <v>823</v>
      </c>
      <c r="J137" s="29" t="b">
        <v>0</v>
      </c>
      <c r="K137" s="102">
        <v>2.1769872928819999E-3</v>
      </c>
      <c r="L137" s="56">
        <v>7.8212867756480998E-3</v>
      </c>
      <c r="M137" s="56">
        <v>2.4418760274439E-3</v>
      </c>
      <c r="N137" s="56">
        <v>1.2811717209513E-3</v>
      </c>
      <c r="O137" s="57">
        <v>0.98144637806427804</v>
      </c>
      <c r="P137" s="56">
        <v>1.4062180404990001E-3</v>
      </c>
      <c r="Q137" s="56">
        <v>6.5803388874519997E-4</v>
      </c>
      <c r="R137" s="56">
        <v>1.3160799028804701E-2</v>
      </c>
      <c r="S137" s="56">
        <v>4.689331770222E-4</v>
      </c>
      <c r="T137" s="56">
        <v>1.8923595019618E-3</v>
      </c>
      <c r="U137" s="56">
        <v>5.1234072886030004E-4</v>
      </c>
      <c r="V137" s="56">
        <v>2.6878107781212E-3</v>
      </c>
      <c r="W137" s="56">
        <v>1.0521281683405E-3</v>
      </c>
      <c r="X137" s="56">
        <v>1.5734155705203999E-3</v>
      </c>
      <c r="Y137" s="30">
        <v>1</v>
      </c>
      <c r="Z137" s="20">
        <v>0</v>
      </c>
      <c r="AA137" s="29">
        <v>1</v>
      </c>
    </row>
    <row r="138" spans="1:27" ht="14.25" customHeight="1">
      <c r="A138" s="171"/>
      <c r="B138" s="30">
        <v>21624</v>
      </c>
      <c r="C138" s="20" t="s">
        <v>261</v>
      </c>
      <c r="D138" s="20" t="s">
        <v>263</v>
      </c>
      <c r="E138" s="20" t="s">
        <v>449</v>
      </c>
      <c r="F138" s="20" t="s">
        <v>493</v>
      </c>
      <c r="G138" s="29" t="s">
        <v>824</v>
      </c>
      <c r="H138" s="20" t="s">
        <v>825</v>
      </c>
      <c r="I138" s="125" t="s">
        <v>826</v>
      </c>
      <c r="J138" s="29" t="b">
        <v>1</v>
      </c>
      <c r="K138" s="102">
        <v>3.8775210222459998E-4</v>
      </c>
      <c r="L138" s="56">
        <v>1.6852380513859E-3</v>
      </c>
      <c r="M138" s="56">
        <v>1.8192016736649999E-4</v>
      </c>
      <c r="N138" s="56">
        <v>2.853707292041E-4</v>
      </c>
      <c r="O138" s="57">
        <v>0.981084133258046</v>
      </c>
      <c r="P138" s="56">
        <v>8.9525514771699995E-4</v>
      </c>
      <c r="Q138" s="56">
        <v>3.5246017200050002E-4</v>
      </c>
      <c r="R138" s="56">
        <v>4.0003862441890002E-4</v>
      </c>
      <c r="S138" s="56">
        <v>1.172882946281E-4</v>
      </c>
      <c r="T138" s="56">
        <v>1.9927088482451002E-3</v>
      </c>
      <c r="U138" s="56">
        <v>1.1139082585149999E-4</v>
      </c>
      <c r="V138" s="56">
        <v>1.2096774193547999E-3</v>
      </c>
      <c r="W138" s="56">
        <v>2.0084162203519002E-3</v>
      </c>
      <c r="X138" s="56">
        <v>1.8877422602559999E-4</v>
      </c>
      <c r="Y138" s="30">
        <v>1</v>
      </c>
      <c r="Z138" s="20">
        <v>0</v>
      </c>
      <c r="AA138" s="29">
        <v>1</v>
      </c>
    </row>
    <row r="139" spans="1:27" ht="14.25" customHeight="1">
      <c r="A139" s="171"/>
      <c r="B139" s="30">
        <v>21638</v>
      </c>
      <c r="C139" s="20" t="s">
        <v>263</v>
      </c>
      <c r="D139" s="20" t="s">
        <v>452</v>
      </c>
      <c r="E139" s="20" t="s">
        <v>580</v>
      </c>
      <c r="F139" s="20" t="s">
        <v>465</v>
      </c>
      <c r="G139" s="29" t="s">
        <v>827</v>
      </c>
      <c r="H139" s="20" t="s">
        <v>828</v>
      </c>
      <c r="I139" s="125" t="s">
        <v>829</v>
      </c>
      <c r="J139" s="29" t="b">
        <v>1</v>
      </c>
      <c r="K139" s="102">
        <v>1.1228774028942999E-3</v>
      </c>
      <c r="L139" s="56">
        <v>1.6629175231084E-3</v>
      </c>
      <c r="M139" s="56">
        <v>7.6946555486999994E-6</v>
      </c>
      <c r="N139" s="56">
        <v>1.288382007448E-4</v>
      </c>
      <c r="O139" s="57">
        <v>1.6644623786510001E-4</v>
      </c>
      <c r="P139" s="56">
        <v>0</v>
      </c>
      <c r="Q139" s="56">
        <v>1.1248330325967001E-3</v>
      </c>
      <c r="R139" s="56">
        <v>7.0676733164333705E-2</v>
      </c>
      <c r="S139" s="56">
        <v>1.2882070500058E-3</v>
      </c>
      <c r="T139" s="56">
        <v>0.99517915913410204</v>
      </c>
      <c r="U139" s="56">
        <v>2.1358964090241002E-3</v>
      </c>
      <c r="V139" s="56">
        <v>0</v>
      </c>
      <c r="W139" s="56">
        <v>6.6998468606429998E-4</v>
      </c>
      <c r="X139" s="56">
        <v>8.8294651866799995E-4</v>
      </c>
      <c r="Y139" s="30">
        <v>0</v>
      </c>
      <c r="Z139" s="20">
        <v>1</v>
      </c>
      <c r="AA139" s="29">
        <v>0</v>
      </c>
    </row>
    <row r="140" spans="1:27" ht="14.25" customHeight="1">
      <c r="A140" s="171"/>
      <c r="B140" s="30">
        <v>21711</v>
      </c>
      <c r="C140" s="20" t="s">
        <v>263</v>
      </c>
      <c r="D140" s="20" t="s">
        <v>452</v>
      </c>
      <c r="E140" s="20" t="s">
        <v>522</v>
      </c>
      <c r="F140" s="20" t="s">
        <v>523</v>
      </c>
      <c r="G140" s="29" t="s">
        <v>830</v>
      </c>
      <c r="H140" s="20" t="s">
        <v>831</v>
      </c>
      <c r="I140" s="125" t="s">
        <v>832</v>
      </c>
      <c r="J140" s="29" t="b">
        <v>1</v>
      </c>
      <c r="K140" s="102">
        <v>2.4230838002600001E-5</v>
      </c>
      <c r="L140" s="56">
        <v>8.1442853255000005E-5</v>
      </c>
      <c r="M140" s="56">
        <v>7.4355542564699998E-5</v>
      </c>
      <c r="N140" s="56">
        <v>3.1289295560199997E-5</v>
      </c>
      <c r="O140" s="57">
        <v>0.99056145067642898</v>
      </c>
      <c r="P140" s="56">
        <v>4.4612396997839999E-4</v>
      </c>
      <c r="Q140" s="56">
        <v>6.7572133252240003E-4</v>
      </c>
      <c r="R140" s="56">
        <v>1.9830309211170001E-4</v>
      </c>
      <c r="S140" s="56">
        <v>0</v>
      </c>
      <c r="T140" s="56">
        <v>7.6143484781999997E-6</v>
      </c>
      <c r="U140" s="56">
        <v>1.5281507193219999E-4</v>
      </c>
      <c r="V140" s="56">
        <v>0</v>
      </c>
      <c r="W140" s="56">
        <v>1.870732391731E-4</v>
      </c>
      <c r="X140" s="56">
        <v>5.8309037900799998E-5</v>
      </c>
      <c r="Y140" s="30">
        <v>1</v>
      </c>
      <c r="Z140" s="20">
        <v>0</v>
      </c>
      <c r="AA140" s="29">
        <v>1</v>
      </c>
    </row>
    <row r="141" spans="1:27" ht="14.25" customHeight="1">
      <c r="A141" s="171"/>
      <c r="B141" s="30">
        <v>21717</v>
      </c>
      <c r="C141" s="20" t="s">
        <v>262</v>
      </c>
      <c r="D141" s="20" t="s">
        <v>261</v>
      </c>
      <c r="E141" s="20" t="s">
        <v>833</v>
      </c>
      <c r="F141" s="20" t="s">
        <v>834</v>
      </c>
      <c r="G141" s="29" t="s">
        <v>835</v>
      </c>
      <c r="H141" s="20" t="s">
        <v>836</v>
      </c>
      <c r="I141" s="125" t="s">
        <v>837</v>
      </c>
      <c r="J141" s="29" t="b">
        <v>1</v>
      </c>
      <c r="K141" s="102">
        <v>2.393637944685E-4</v>
      </c>
      <c r="L141" s="56">
        <v>9.8218710440499995E-5</v>
      </c>
      <c r="M141" s="56">
        <v>1.6925897906059999E-4</v>
      </c>
      <c r="N141" s="56">
        <v>1.2564501518500001E-4</v>
      </c>
      <c r="O141" s="57">
        <v>7.1842807936200006E-5</v>
      </c>
      <c r="P141" s="56">
        <v>0</v>
      </c>
      <c r="Q141" s="56">
        <v>0</v>
      </c>
      <c r="R141" s="56">
        <v>6.8690754224399997E-5</v>
      </c>
      <c r="S141" s="56">
        <v>0.97774795929777403</v>
      </c>
      <c r="T141" s="56">
        <v>6.8562025779299999E-5</v>
      </c>
      <c r="U141" s="56">
        <v>2.1851714266900002E-5</v>
      </c>
      <c r="V141" s="56">
        <v>0</v>
      </c>
      <c r="W141" s="56">
        <v>0</v>
      </c>
      <c r="X141" s="56">
        <v>0</v>
      </c>
      <c r="Y141" s="30">
        <v>0</v>
      </c>
      <c r="Z141" s="20">
        <v>1</v>
      </c>
      <c r="AA141" s="29">
        <v>0</v>
      </c>
    </row>
    <row r="142" spans="1:27" ht="14.25" customHeight="1">
      <c r="A142" s="171"/>
      <c r="B142" s="30">
        <v>21718</v>
      </c>
      <c r="C142" s="20" t="s">
        <v>261</v>
      </c>
      <c r="D142" s="20" t="s">
        <v>452</v>
      </c>
      <c r="E142" s="20" t="s">
        <v>833</v>
      </c>
      <c r="F142" s="20" t="s">
        <v>571</v>
      </c>
      <c r="G142" s="29" t="s">
        <v>838</v>
      </c>
      <c r="H142" s="20" t="s">
        <v>839</v>
      </c>
      <c r="I142" s="125" t="s">
        <v>840</v>
      </c>
      <c r="J142" s="29" t="b">
        <v>1</v>
      </c>
      <c r="K142" s="102">
        <v>1.0294101647129999E-4</v>
      </c>
      <c r="L142" s="56">
        <v>4.4062470238560001E-4</v>
      </c>
      <c r="M142" s="56">
        <v>2.3628046825093E-3</v>
      </c>
      <c r="N142" s="56">
        <v>7.1734344327900002E-5</v>
      </c>
      <c r="O142" s="57">
        <v>6.5036627990479995E-4</v>
      </c>
      <c r="P142" s="56">
        <v>0.99786444569018395</v>
      </c>
      <c r="Q142" s="56">
        <v>6.7752207592699999E-5</v>
      </c>
      <c r="R142" s="56">
        <v>5.1505682793600003E-5</v>
      </c>
      <c r="S142" s="56">
        <v>0</v>
      </c>
      <c r="T142" s="56">
        <v>1.142796193726E-4</v>
      </c>
      <c r="U142" s="56">
        <v>4.3706293706199997E-5</v>
      </c>
      <c r="V142" s="56">
        <v>0</v>
      </c>
      <c r="W142" s="56">
        <v>9.3659267584500001E-5</v>
      </c>
      <c r="X142" s="56">
        <v>5.8792404021399997E-4</v>
      </c>
      <c r="Y142" s="30">
        <v>0</v>
      </c>
      <c r="Z142" s="20">
        <v>0</v>
      </c>
      <c r="AA142" s="29">
        <v>1</v>
      </c>
    </row>
    <row r="143" spans="1:27" ht="14.25" customHeight="1">
      <c r="A143" s="171"/>
      <c r="B143" s="30">
        <v>21762</v>
      </c>
      <c r="C143" s="20" t="s">
        <v>263</v>
      </c>
      <c r="D143" s="20" t="s">
        <v>452</v>
      </c>
      <c r="E143" s="20" t="s">
        <v>461</v>
      </c>
      <c r="F143" s="20" t="s">
        <v>480</v>
      </c>
      <c r="G143" s="29" t="s">
        <v>841</v>
      </c>
      <c r="H143" s="20" t="s">
        <v>842</v>
      </c>
      <c r="I143" s="125" t="s">
        <v>843</v>
      </c>
      <c r="J143" s="29" t="b">
        <v>1</v>
      </c>
      <c r="K143" s="102">
        <v>2.0874521120079E-3</v>
      </c>
      <c r="L143" s="56">
        <v>3.2985786687783E-3</v>
      </c>
      <c r="M143" s="56">
        <v>8.4401526877159996E-4</v>
      </c>
      <c r="N143" s="56">
        <v>0.37723282074678599</v>
      </c>
      <c r="O143" s="57">
        <v>3.1577527590666002E-3</v>
      </c>
      <c r="P143" s="56">
        <v>9.5688830268699995E-4</v>
      </c>
      <c r="Q143" s="56">
        <v>1.3038958691132601E-2</v>
      </c>
      <c r="R143" s="56">
        <v>2.1700076483876E-3</v>
      </c>
      <c r="S143" s="56">
        <v>0.98090667755768801</v>
      </c>
      <c r="T143" s="56">
        <v>2.13468326637E-4</v>
      </c>
      <c r="U143" s="56">
        <v>7.6749336666439997E-4</v>
      </c>
      <c r="V143" s="56">
        <v>1.0133178922986999E-3</v>
      </c>
      <c r="W143" s="56">
        <v>1.6084776232377E-3</v>
      </c>
      <c r="X143" s="56">
        <v>8.8339222614840002E-4</v>
      </c>
      <c r="Y143" s="30">
        <v>1</v>
      </c>
      <c r="Z143" s="20">
        <v>1</v>
      </c>
      <c r="AA143" s="29">
        <v>1</v>
      </c>
    </row>
    <row r="144" spans="1:27" ht="14.25" customHeight="1">
      <c r="A144" s="171"/>
      <c r="B144" s="30">
        <v>21786</v>
      </c>
      <c r="C144" s="20" t="s">
        <v>261</v>
      </c>
      <c r="D144" s="20" t="s">
        <v>452</v>
      </c>
      <c r="E144" s="20" t="s">
        <v>518</v>
      </c>
      <c r="F144" s="20" t="s">
        <v>480</v>
      </c>
      <c r="G144" s="29" t="s">
        <v>844</v>
      </c>
      <c r="H144" s="20" t="s">
        <v>845</v>
      </c>
      <c r="I144" s="125" t="s">
        <v>846</v>
      </c>
      <c r="J144" s="29" t="b">
        <v>1</v>
      </c>
      <c r="K144" s="102">
        <v>1.0507074763674001E-3</v>
      </c>
      <c r="L144" s="56">
        <v>1.5457853339094E-3</v>
      </c>
      <c r="M144" s="56">
        <v>5.2277514548439998E-4</v>
      </c>
      <c r="N144" s="56">
        <v>4.9682054771320002E-4</v>
      </c>
      <c r="O144" s="57">
        <v>4.673896683117E-4</v>
      </c>
      <c r="P144" s="56">
        <v>9.8259767796649998E-4</v>
      </c>
      <c r="Q144" s="56">
        <v>5.6911854377921E-3</v>
      </c>
      <c r="R144" s="56">
        <v>3.3146119141879999E-4</v>
      </c>
      <c r="S144" s="56">
        <v>5.0055060566620002E-4</v>
      </c>
      <c r="T144" s="56">
        <v>3.0731688717733001E-3</v>
      </c>
      <c r="U144" s="56">
        <v>1.3820638820638E-3</v>
      </c>
      <c r="V144" s="56">
        <v>1.2983266012694E-3</v>
      </c>
      <c r="W144" s="56">
        <v>0.959550137038087</v>
      </c>
      <c r="X144" s="56">
        <v>4.7111477533709999E-4</v>
      </c>
      <c r="Y144" s="30">
        <v>0</v>
      </c>
      <c r="Z144" s="20">
        <v>1</v>
      </c>
      <c r="AA144" s="29">
        <v>0</v>
      </c>
    </row>
    <row r="145" spans="1:27" ht="14.25" customHeight="1">
      <c r="A145" s="171"/>
      <c r="B145" s="30">
        <v>21789</v>
      </c>
      <c r="C145" s="20" t="s">
        <v>263</v>
      </c>
      <c r="D145" s="20" t="s">
        <v>452</v>
      </c>
      <c r="E145" s="20" t="s">
        <v>494</v>
      </c>
      <c r="F145" s="20" t="s">
        <v>499</v>
      </c>
      <c r="G145" s="29" t="s">
        <v>847</v>
      </c>
      <c r="H145" s="20" t="s">
        <v>848</v>
      </c>
      <c r="I145" s="125" t="s">
        <v>849</v>
      </c>
      <c r="J145" s="29" t="b">
        <v>1</v>
      </c>
      <c r="K145" s="102">
        <v>1.1730474221303001E-3</v>
      </c>
      <c r="L145" s="56">
        <v>2.8687934057800002E-4</v>
      </c>
      <c r="M145" s="56">
        <v>1.1350100875615E-3</v>
      </c>
      <c r="N145" s="56">
        <v>1.060275483782E-2</v>
      </c>
      <c r="O145" s="57">
        <v>1.9797981397809999E-4</v>
      </c>
      <c r="P145" s="56">
        <v>1.8361910673183001E-3</v>
      </c>
      <c r="Q145" s="56">
        <v>3.6123904994120001E-4</v>
      </c>
      <c r="R145" s="56">
        <v>5.1346940272499995E-4</v>
      </c>
      <c r="S145" s="56">
        <v>0</v>
      </c>
      <c r="T145" s="56">
        <v>1.6389693550846001E-3</v>
      </c>
      <c r="U145" s="56">
        <v>1.3158183293490001E-4</v>
      </c>
      <c r="V145" s="56">
        <v>2.88892098801E-4</v>
      </c>
      <c r="W145" s="56">
        <v>0.98805913570887005</v>
      </c>
      <c r="X145" s="56">
        <v>1.5899187374867E-3</v>
      </c>
      <c r="Y145" s="30">
        <v>0</v>
      </c>
      <c r="Z145" s="20">
        <v>1</v>
      </c>
      <c r="AA145" s="29">
        <v>0</v>
      </c>
    </row>
    <row r="146" spans="1:27" ht="14.25" customHeight="1">
      <c r="A146" s="171"/>
      <c r="B146" s="30">
        <v>21801</v>
      </c>
      <c r="C146" s="20" t="s">
        <v>262</v>
      </c>
      <c r="D146" s="20" t="s">
        <v>263</v>
      </c>
      <c r="E146" s="20" t="s">
        <v>457</v>
      </c>
      <c r="F146" s="20" t="s">
        <v>461</v>
      </c>
      <c r="G146" s="29" t="s">
        <v>850</v>
      </c>
      <c r="H146" s="20" t="s">
        <v>851</v>
      </c>
      <c r="I146" s="125" t="s">
        <v>852</v>
      </c>
      <c r="J146" s="29" t="b">
        <v>1</v>
      </c>
      <c r="K146" s="102">
        <v>5.6786580996800002E-5</v>
      </c>
      <c r="L146" s="56">
        <v>1.2490560069380001E-4</v>
      </c>
      <c r="M146" s="56">
        <v>2.29533867722E-5</v>
      </c>
      <c r="N146" s="56">
        <v>6.5836373033999997E-6</v>
      </c>
      <c r="O146" s="57">
        <v>3.9585617753E-6</v>
      </c>
      <c r="P146" s="56">
        <v>7.7559462254300003E-5</v>
      </c>
      <c r="Q146" s="56">
        <v>0.98794086253491697</v>
      </c>
      <c r="R146" s="56">
        <v>1.107317523299E-4</v>
      </c>
      <c r="S146" s="56">
        <v>2.0054146194719999E-4</v>
      </c>
      <c r="T146" s="56">
        <v>1.5246110336100001E-5</v>
      </c>
      <c r="U146" s="56">
        <v>0</v>
      </c>
      <c r="V146" s="56">
        <v>0</v>
      </c>
      <c r="W146" s="56">
        <v>0</v>
      </c>
      <c r="X146" s="56">
        <v>0</v>
      </c>
      <c r="Y146" s="30">
        <v>0</v>
      </c>
      <c r="Z146" s="20">
        <v>1</v>
      </c>
      <c r="AA146" s="29">
        <v>0</v>
      </c>
    </row>
    <row r="147" spans="1:27" ht="14.25" customHeight="1">
      <c r="A147" s="171"/>
      <c r="B147" s="30">
        <v>21810</v>
      </c>
      <c r="C147" s="20" t="s">
        <v>452</v>
      </c>
      <c r="D147" s="20" t="s">
        <v>263</v>
      </c>
      <c r="E147" s="20" t="s">
        <v>483</v>
      </c>
      <c r="F147" s="20" t="s">
        <v>532</v>
      </c>
      <c r="G147" s="29" t="s">
        <v>853</v>
      </c>
      <c r="H147" s="20" t="s">
        <v>854</v>
      </c>
      <c r="I147" s="125" t="s">
        <v>855</v>
      </c>
      <c r="J147" s="29" t="b">
        <v>1</v>
      </c>
      <c r="K147" s="102">
        <v>1.08620997942E-5</v>
      </c>
      <c r="L147" s="56">
        <v>4.58813612868E-5</v>
      </c>
      <c r="M147" s="56">
        <v>0.995113700432249</v>
      </c>
      <c r="N147" s="56">
        <v>8.6807127097200004E-5</v>
      </c>
      <c r="O147" s="57">
        <v>1.2558894817256E-3</v>
      </c>
      <c r="P147" s="56">
        <v>0.99644156048038901</v>
      </c>
      <c r="Q147" s="56">
        <v>0</v>
      </c>
      <c r="R147" s="56">
        <v>0</v>
      </c>
      <c r="S147" s="56">
        <v>0</v>
      </c>
      <c r="T147" s="56">
        <v>3.0508035053700001E-5</v>
      </c>
      <c r="U147" s="56">
        <v>0</v>
      </c>
      <c r="V147" s="56">
        <v>0</v>
      </c>
      <c r="W147" s="56">
        <v>0</v>
      </c>
      <c r="X147" s="56">
        <v>0</v>
      </c>
      <c r="Y147" s="30">
        <v>1</v>
      </c>
      <c r="Z147" s="20">
        <v>0</v>
      </c>
      <c r="AA147" s="29">
        <v>2</v>
      </c>
    </row>
    <row r="148" spans="1:27" ht="14.25" customHeight="1">
      <c r="A148" s="171"/>
      <c r="B148" s="30">
        <v>21846</v>
      </c>
      <c r="C148" s="20" t="s">
        <v>263</v>
      </c>
      <c r="D148" s="20" t="s">
        <v>452</v>
      </c>
      <c r="E148" s="20" t="s">
        <v>494</v>
      </c>
      <c r="F148" s="20" t="s">
        <v>499</v>
      </c>
      <c r="G148" s="29" t="s">
        <v>856</v>
      </c>
      <c r="H148" s="20" t="s">
        <v>857</v>
      </c>
      <c r="I148" s="125" t="s">
        <v>858</v>
      </c>
      <c r="J148" s="29" t="b">
        <v>1</v>
      </c>
      <c r="K148" s="102">
        <v>2.8566054298074998E-3</v>
      </c>
      <c r="L148" s="56">
        <v>0.44298720048916701</v>
      </c>
      <c r="M148" s="56">
        <v>1.4043542656301E-3</v>
      </c>
      <c r="N148" s="56">
        <v>0.374151401077289</v>
      </c>
      <c r="O148" s="57">
        <v>2.9073946868160001E-3</v>
      </c>
      <c r="P148" s="56">
        <v>4.4532537067545003E-3</v>
      </c>
      <c r="Q148" s="56">
        <v>1.2421518587108001E-3</v>
      </c>
      <c r="R148" s="56">
        <v>4.1736689504884E-3</v>
      </c>
      <c r="S148" s="56">
        <v>7.9277471149021006E-3</v>
      </c>
      <c r="T148" s="56">
        <v>1.2402699679659999E-3</v>
      </c>
      <c r="U148" s="56">
        <v>0.99081643835616395</v>
      </c>
      <c r="V148" s="56">
        <v>0.54185218165627702</v>
      </c>
      <c r="W148" s="56">
        <v>2.6281208935611E-3</v>
      </c>
      <c r="X148" s="56">
        <v>0.98957774998511105</v>
      </c>
      <c r="Y148" s="30">
        <v>2</v>
      </c>
      <c r="Z148" s="20">
        <v>3</v>
      </c>
      <c r="AA148" s="29">
        <v>1</v>
      </c>
    </row>
    <row r="149" spans="1:27" ht="14.25" customHeight="1">
      <c r="A149" s="171"/>
      <c r="B149" s="30">
        <v>21895</v>
      </c>
      <c r="C149" s="20" t="s">
        <v>452</v>
      </c>
      <c r="D149" s="20" t="s">
        <v>263</v>
      </c>
      <c r="E149" s="20" t="s">
        <v>457</v>
      </c>
      <c r="F149" s="20" t="s">
        <v>458</v>
      </c>
      <c r="G149" s="29" t="s">
        <v>859</v>
      </c>
      <c r="H149" s="20" t="s">
        <v>860</v>
      </c>
      <c r="I149" s="125" t="s">
        <v>861</v>
      </c>
      <c r="J149" s="29" t="b">
        <v>0</v>
      </c>
      <c r="K149" s="102">
        <v>5.3270312128900004E-4</v>
      </c>
      <c r="L149" s="56">
        <v>2.8663090986090001E-4</v>
      </c>
      <c r="M149" s="56">
        <v>8.8402813735200003E-5</v>
      </c>
      <c r="N149" s="56">
        <v>5.1719623940100003E-5</v>
      </c>
      <c r="O149" s="57">
        <v>1.387261853381E-4</v>
      </c>
      <c r="P149" s="56">
        <v>7.5418573080499995E-5</v>
      </c>
      <c r="Q149" s="56">
        <v>9.0321997922499997E-5</v>
      </c>
      <c r="R149" s="56">
        <v>3.82738493924E-5</v>
      </c>
      <c r="S149" s="56">
        <v>0</v>
      </c>
      <c r="T149" s="56">
        <v>5.32683966212E-5</v>
      </c>
      <c r="U149" s="56">
        <v>5.2576235541529999E-4</v>
      </c>
      <c r="V149" s="56">
        <v>0.94471984377347096</v>
      </c>
      <c r="W149" s="56">
        <v>0</v>
      </c>
      <c r="X149" s="56">
        <v>2.9563058002709999E-4</v>
      </c>
      <c r="Y149" s="30">
        <v>0</v>
      </c>
      <c r="Z149" s="20">
        <v>1</v>
      </c>
      <c r="AA149" s="29">
        <v>0</v>
      </c>
    </row>
    <row r="150" spans="1:27" ht="14.25" customHeight="1">
      <c r="A150" s="171"/>
      <c r="B150" s="30">
        <v>21941</v>
      </c>
      <c r="C150" s="20" t="s">
        <v>261</v>
      </c>
      <c r="D150" s="20" t="s">
        <v>452</v>
      </c>
      <c r="E150" s="20" t="s">
        <v>480</v>
      </c>
      <c r="F150" s="20" t="s">
        <v>473</v>
      </c>
      <c r="G150" s="29" t="s">
        <v>862</v>
      </c>
      <c r="H150" s="20" t="s">
        <v>863</v>
      </c>
      <c r="I150" s="125" t="s">
        <v>864</v>
      </c>
      <c r="J150" s="29" t="b">
        <v>1</v>
      </c>
      <c r="K150" s="102">
        <v>2.7090074497699998E-4</v>
      </c>
      <c r="L150" s="56">
        <v>1.5459743845169999E-4</v>
      </c>
      <c r="M150" s="56">
        <v>1.284808679139E-4</v>
      </c>
      <c r="N150" s="56">
        <v>4.6179327033900001E-5</v>
      </c>
      <c r="O150" s="57">
        <v>0.99463293155133603</v>
      </c>
      <c r="P150" s="56">
        <v>3.5292931330030002E-4</v>
      </c>
      <c r="Q150" s="56">
        <v>9.0462944116500001E-5</v>
      </c>
      <c r="R150" s="56">
        <v>7.9098661110460001E-4</v>
      </c>
      <c r="S150" s="56">
        <v>1.005429318318E-4</v>
      </c>
      <c r="T150" s="56">
        <v>1.067390459054E-4</v>
      </c>
      <c r="U150" s="56">
        <v>4.6069806726189999E-4</v>
      </c>
      <c r="V150" s="56">
        <v>0</v>
      </c>
      <c r="W150" s="56">
        <v>0</v>
      </c>
      <c r="X150" s="56">
        <v>0</v>
      </c>
      <c r="Y150" s="30">
        <v>1</v>
      </c>
      <c r="Z150" s="20">
        <v>0</v>
      </c>
      <c r="AA150" s="29">
        <v>1</v>
      </c>
    </row>
    <row r="151" spans="1:27" ht="14.25" customHeight="1">
      <c r="A151" s="171"/>
      <c r="B151" s="30">
        <v>21974</v>
      </c>
      <c r="C151" s="20" t="s">
        <v>261</v>
      </c>
      <c r="D151" s="20" t="s">
        <v>452</v>
      </c>
      <c r="E151" s="20" t="s">
        <v>457</v>
      </c>
      <c r="F151" s="20" t="s">
        <v>515</v>
      </c>
      <c r="G151" s="29" t="s">
        <v>865</v>
      </c>
      <c r="H151" s="20" t="s">
        <v>866</v>
      </c>
      <c r="I151" s="125" t="s">
        <v>867</v>
      </c>
      <c r="J151" s="29" t="b">
        <v>1</v>
      </c>
      <c r="K151" s="102">
        <v>1.8619346252209E-3</v>
      </c>
      <c r="L151" s="56">
        <v>9.5574001040669998E-4</v>
      </c>
      <c r="M151" s="56">
        <v>4.0686379217300001E-5</v>
      </c>
      <c r="N151" s="56">
        <v>1.015625529774E-4</v>
      </c>
      <c r="O151" s="57">
        <v>5.0303757303699997E-5</v>
      </c>
      <c r="P151" s="56">
        <v>5.0351199617299998E-5</v>
      </c>
      <c r="Q151" s="56">
        <v>6.3427341714802996E-3</v>
      </c>
      <c r="R151" s="56">
        <v>1.9302309258089E-3</v>
      </c>
      <c r="S151" s="56">
        <v>1.1007705393775E-3</v>
      </c>
      <c r="T151" s="56">
        <v>0.96451808198392197</v>
      </c>
      <c r="U151" s="56">
        <v>3.29113368585E-4</v>
      </c>
      <c r="V151" s="56">
        <v>2.7769657994737998E-3</v>
      </c>
      <c r="W151" s="56">
        <v>8.4562623320489998E-4</v>
      </c>
      <c r="X151" s="56">
        <v>1.3657957244654999E-3</v>
      </c>
      <c r="Y151" s="30">
        <v>0</v>
      </c>
      <c r="Z151" s="20">
        <v>1</v>
      </c>
      <c r="AA151" s="29">
        <v>0</v>
      </c>
    </row>
    <row r="152" spans="1:27" ht="14.25" customHeight="1">
      <c r="A152" s="171"/>
      <c r="B152" s="30">
        <v>21987</v>
      </c>
      <c r="C152" s="20" t="s">
        <v>261</v>
      </c>
      <c r="D152" s="20" t="s">
        <v>262</v>
      </c>
      <c r="E152" s="20" t="s">
        <v>518</v>
      </c>
      <c r="F152" s="20" t="s">
        <v>457</v>
      </c>
      <c r="G152" s="29" t="s">
        <v>868</v>
      </c>
      <c r="H152" s="20" t="s">
        <v>869</v>
      </c>
      <c r="I152" s="125" t="s">
        <v>870</v>
      </c>
      <c r="J152" s="29" t="b">
        <v>1</v>
      </c>
      <c r="K152" s="102">
        <v>1.7642228974389999E-4</v>
      </c>
      <c r="L152" s="56">
        <v>0.80313883434735001</v>
      </c>
      <c r="M152" s="56">
        <v>0.98765221030283801</v>
      </c>
      <c r="N152" s="56">
        <v>0.625122988370727</v>
      </c>
      <c r="O152" s="57">
        <v>0.99080799264327601</v>
      </c>
      <c r="P152" s="56">
        <v>0.99084458686198196</v>
      </c>
      <c r="Q152" s="56">
        <v>1.5858990915059999E-4</v>
      </c>
      <c r="R152" s="56">
        <v>0</v>
      </c>
      <c r="S152" s="56">
        <v>1.000100010001E-4</v>
      </c>
      <c r="T152" s="56">
        <v>1.754934800357E-4</v>
      </c>
      <c r="U152" s="56">
        <v>1.096563370397E-4</v>
      </c>
      <c r="V152" s="56">
        <v>0.78012844729882802</v>
      </c>
      <c r="W152" s="56">
        <v>9.3870271285000006E-5</v>
      </c>
      <c r="X152" s="56">
        <v>7.7082715683360001E-4</v>
      </c>
      <c r="Y152" s="30">
        <v>4</v>
      </c>
      <c r="Z152" s="20">
        <v>1</v>
      </c>
      <c r="AA152" s="29">
        <v>4</v>
      </c>
    </row>
    <row r="153" spans="1:27" ht="14.25" customHeight="1">
      <c r="A153" s="171"/>
      <c r="B153" s="30">
        <v>21993</v>
      </c>
      <c r="C153" s="20" t="s">
        <v>262</v>
      </c>
      <c r="D153" s="20" t="s">
        <v>263</v>
      </c>
      <c r="E153" s="20" t="s">
        <v>515</v>
      </c>
      <c r="F153" s="20" t="s">
        <v>465</v>
      </c>
      <c r="G153" s="29" t="s">
        <v>871</v>
      </c>
      <c r="H153" s="20" t="s">
        <v>872</v>
      </c>
      <c r="I153" s="125" t="s">
        <v>873</v>
      </c>
      <c r="J153" s="29" t="b">
        <v>1</v>
      </c>
      <c r="K153" s="102">
        <v>5.9901402291799998E-5</v>
      </c>
      <c r="L153" s="56">
        <v>5.6739437730900003E-5</v>
      </c>
      <c r="M153" s="56">
        <v>5.2399092447000004E-6</v>
      </c>
      <c r="N153" s="56">
        <v>5.1319222827E-6</v>
      </c>
      <c r="O153" s="57">
        <v>8.0124032001000002E-6</v>
      </c>
      <c r="P153" s="56">
        <v>0</v>
      </c>
      <c r="Q153" s="56">
        <v>0</v>
      </c>
      <c r="R153" s="56">
        <v>7.7512169410500005E-5</v>
      </c>
      <c r="S153" s="56">
        <v>1.0260619741429999E-4</v>
      </c>
      <c r="T153" s="56">
        <v>1.144924549472E-4</v>
      </c>
      <c r="U153" s="56">
        <v>0</v>
      </c>
      <c r="V153" s="56">
        <v>0</v>
      </c>
      <c r="W153" s="56">
        <v>0</v>
      </c>
      <c r="X153" s="56">
        <v>0.90272981953221698</v>
      </c>
      <c r="Y153" s="30">
        <v>0</v>
      </c>
      <c r="Z153" s="20">
        <v>1</v>
      </c>
      <c r="AA153" s="29">
        <v>0</v>
      </c>
    </row>
    <row r="154" spans="1:27" ht="14.25" customHeight="1">
      <c r="A154" s="171"/>
      <c r="B154" s="30">
        <v>21995</v>
      </c>
      <c r="C154" s="20" t="s">
        <v>452</v>
      </c>
      <c r="D154" s="20" t="s">
        <v>262</v>
      </c>
      <c r="E154" s="20" t="s">
        <v>514</v>
      </c>
      <c r="F154" s="20" t="s">
        <v>588</v>
      </c>
      <c r="G154" s="29" t="s">
        <v>874</v>
      </c>
      <c r="H154" s="20" t="s">
        <v>875</v>
      </c>
      <c r="I154" s="125" t="s">
        <v>876</v>
      </c>
      <c r="J154" s="29" t="b">
        <v>1</v>
      </c>
      <c r="K154" s="102">
        <v>2.9374910301599999E-5</v>
      </c>
      <c r="L154" s="56">
        <v>6.5151236408700003E-5</v>
      </c>
      <c r="M154" s="56">
        <v>3.2257486424970002E-4</v>
      </c>
      <c r="N154" s="56">
        <v>9.2944516475500005E-5</v>
      </c>
      <c r="O154" s="57">
        <v>8.1347423223499993E-5</v>
      </c>
      <c r="P154" s="56">
        <v>2.2821208509770001E-4</v>
      </c>
      <c r="Q154" s="56">
        <v>1.8020047302620001E-4</v>
      </c>
      <c r="R154" s="56">
        <v>4.6413045159800003E-5</v>
      </c>
      <c r="S154" s="56">
        <v>0</v>
      </c>
      <c r="T154" s="56">
        <v>9.1579983668199993E-5</v>
      </c>
      <c r="U154" s="56">
        <v>2.1934634788299999E-5</v>
      </c>
      <c r="V154" s="56">
        <v>0</v>
      </c>
      <c r="W154" s="56">
        <v>9.3835038003100001E-5</v>
      </c>
      <c r="X154" s="56">
        <v>0.90025606633337396</v>
      </c>
      <c r="Y154" s="30">
        <v>0</v>
      </c>
      <c r="Z154" s="20">
        <v>1</v>
      </c>
      <c r="AA154" s="29">
        <v>0</v>
      </c>
    </row>
    <row r="155" spans="1:27" ht="14.25" customHeight="1">
      <c r="A155" s="171"/>
      <c r="B155" s="30">
        <v>22000</v>
      </c>
      <c r="C155" s="20" t="s">
        <v>263</v>
      </c>
      <c r="D155" s="20" t="s">
        <v>262</v>
      </c>
      <c r="E155" s="20" t="s">
        <v>570</v>
      </c>
      <c r="F155" s="20" t="s">
        <v>547</v>
      </c>
      <c r="G155" s="29" t="s">
        <v>877</v>
      </c>
      <c r="H155" s="20" t="s">
        <v>878</v>
      </c>
      <c r="I155" s="125" t="s">
        <v>879</v>
      </c>
      <c r="J155" s="29" t="b">
        <v>1</v>
      </c>
      <c r="K155" s="102">
        <v>3.5695566142540002E-4</v>
      </c>
      <c r="L155" s="56">
        <v>1.5020307783149999E-4</v>
      </c>
      <c r="M155" s="56">
        <v>0.99233633984616199</v>
      </c>
      <c r="N155" s="56">
        <v>2.2767366466849999E-4</v>
      </c>
      <c r="O155" s="57">
        <v>9.1343424239029997E-3</v>
      </c>
      <c r="P155" s="56">
        <v>0.99476587556125695</v>
      </c>
      <c r="Q155" s="56">
        <v>2.250579524227E-4</v>
      </c>
      <c r="R155" s="56">
        <v>9.2785896543699998E-5</v>
      </c>
      <c r="S155" s="56">
        <v>2.9940119760469999E-4</v>
      </c>
      <c r="T155" s="56">
        <v>2.1418845524220001E-4</v>
      </c>
      <c r="U155" s="56">
        <v>2.199397365121E-4</v>
      </c>
      <c r="V155" s="56">
        <v>1.3912075681690001E-4</v>
      </c>
      <c r="W155" s="56">
        <v>5.6486537375249998E-4</v>
      </c>
      <c r="X155" s="56">
        <v>2.070148459218E-3</v>
      </c>
      <c r="Y155" s="30">
        <v>1</v>
      </c>
      <c r="Z155" s="20">
        <v>0</v>
      </c>
      <c r="AA155" s="29">
        <v>2</v>
      </c>
    </row>
    <row r="156" spans="1:27" ht="14.25" customHeight="1">
      <c r="A156" s="171"/>
      <c r="B156" s="30">
        <v>22018</v>
      </c>
      <c r="C156" s="20" t="s">
        <v>261</v>
      </c>
      <c r="D156" s="20" t="s">
        <v>452</v>
      </c>
      <c r="E156" s="20" t="s">
        <v>880</v>
      </c>
      <c r="F156" s="20" t="s">
        <v>728</v>
      </c>
      <c r="G156" s="29" t="s">
        <v>881</v>
      </c>
      <c r="H156" s="20" t="s">
        <v>882</v>
      </c>
      <c r="I156" s="125" t="s">
        <v>883</v>
      </c>
      <c r="J156" s="29" t="b">
        <v>1</v>
      </c>
      <c r="K156" s="102">
        <v>1.5879383545599999E-5</v>
      </c>
      <c r="L156" s="56">
        <v>1.94227147947E-5</v>
      </c>
      <c r="M156" s="56">
        <v>5.0712510776000004E-6</v>
      </c>
      <c r="N156" s="56">
        <v>1.80852984451E-5</v>
      </c>
      <c r="O156" s="57">
        <v>0</v>
      </c>
      <c r="P156" s="56">
        <v>0</v>
      </c>
      <c r="Q156" s="56">
        <v>9.0680329169499999E-5</v>
      </c>
      <c r="R156" s="56">
        <v>0.98649392846325401</v>
      </c>
      <c r="S156" s="56">
        <v>0</v>
      </c>
      <c r="T156" s="56">
        <v>6.26586045928E-5</v>
      </c>
      <c r="U156" s="56">
        <v>2.19944573967E-5</v>
      </c>
      <c r="V156" s="56">
        <v>2.7936862690310001E-4</v>
      </c>
      <c r="W156" s="56">
        <v>0</v>
      </c>
      <c r="X156" s="56">
        <v>0</v>
      </c>
      <c r="Y156" s="30">
        <v>0</v>
      </c>
      <c r="Z156" s="20">
        <v>1</v>
      </c>
      <c r="AA156" s="29">
        <v>0</v>
      </c>
    </row>
    <row r="157" spans="1:27" ht="14.25" customHeight="1">
      <c r="A157" s="171"/>
      <c r="B157" s="30">
        <v>22022</v>
      </c>
      <c r="C157" s="20" t="s">
        <v>261</v>
      </c>
      <c r="D157" s="20" t="s">
        <v>262</v>
      </c>
      <c r="E157" s="20" t="s">
        <v>675</v>
      </c>
      <c r="F157" s="20" t="s">
        <v>448</v>
      </c>
      <c r="G157" s="29" t="s">
        <v>884</v>
      </c>
      <c r="H157" s="20" t="s">
        <v>885</v>
      </c>
      <c r="I157" s="125" t="s">
        <v>886</v>
      </c>
      <c r="J157" s="29" t="b">
        <v>1</v>
      </c>
      <c r="K157" s="102">
        <v>8.0234686457800005E-5</v>
      </c>
      <c r="L157" s="56">
        <v>3.9742905482200003E-5</v>
      </c>
      <c r="M157" s="56">
        <v>3.2977598063899998E-5</v>
      </c>
      <c r="N157" s="56">
        <v>3.0997818194099998E-5</v>
      </c>
      <c r="O157" s="57">
        <v>2.70309929642E-5</v>
      </c>
      <c r="P157" s="56">
        <v>2.5236593059900001E-5</v>
      </c>
      <c r="Q157" s="56">
        <v>0</v>
      </c>
      <c r="R157" s="56">
        <v>1.3629363099799999E-5</v>
      </c>
      <c r="S157" s="56">
        <v>0</v>
      </c>
      <c r="T157" s="56">
        <v>0</v>
      </c>
      <c r="U157" s="56">
        <v>2.1985269869100002E-5</v>
      </c>
      <c r="V157" s="56">
        <v>0.84490777866880495</v>
      </c>
      <c r="W157" s="56">
        <v>1.88075982697E-4</v>
      </c>
      <c r="X157" s="56">
        <v>0</v>
      </c>
      <c r="Y157" s="30">
        <v>0</v>
      </c>
      <c r="Z157" s="20">
        <v>1</v>
      </c>
      <c r="AA157" s="29">
        <v>0</v>
      </c>
    </row>
    <row r="158" spans="1:27" ht="14.25" customHeight="1">
      <c r="A158" s="171"/>
      <c r="B158" s="30">
        <v>22032</v>
      </c>
      <c r="C158" s="20" t="s">
        <v>452</v>
      </c>
      <c r="D158" s="20" t="s">
        <v>263</v>
      </c>
      <c r="E158" s="20" t="s">
        <v>472</v>
      </c>
      <c r="F158" s="20" t="s">
        <v>464</v>
      </c>
      <c r="G158" s="29" t="s">
        <v>887</v>
      </c>
      <c r="H158" s="20" t="s">
        <v>888</v>
      </c>
      <c r="I158" s="125" t="s">
        <v>889</v>
      </c>
      <c r="J158" s="29" t="b">
        <v>1</v>
      </c>
      <c r="K158" s="102">
        <v>1.1633269141120001E-4</v>
      </c>
      <c r="L158" s="56">
        <v>9.0724039911999992E-6</v>
      </c>
      <c r="M158" s="56">
        <v>5.7636009556909999E-4</v>
      </c>
      <c r="N158" s="56">
        <v>4.6293616349779999E-4</v>
      </c>
      <c r="O158" s="57">
        <v>0.97666292712569502</v>
      </c>
      <c r="P158" s="56">
        <v>3.9638456877397997E-3</v>
      </c>
      <c r="Q158" s="56">
        <v>2.2733989587800001E-5</v>
      </c>
      <c r="R158" s="56">
        <v>2.7293693792E-5</v>
      </c>
      <c r="S158" s="56">
        <v>0</v>
      </c>
      <c r="T158" s="56">
        <v>1.269518852354E-4</v>
      </c>
      <c r="U158" s="56">
        <v>3.5161744022499999E-4</v>
      </c>
      <c r="V158" s="56">
        <v>0</v>
      </c>
      <c r="W158" s="56">
        <v>4.7241118669690002E-4</v>
      </c>
      <c r="X158" s="56">
        <v>5.3734551316489995E-4</v>
      </c>
      <c r="Y158" s="30">
        <v>1</v>
      </c>
      <c r="Z158" s="20">
        <v>0</v>
      </c>
      <c r="AA158" s="29">
        <v>1</v>
      </c>
    </row>
    <row r="159" spans="1:27" ht="14.25" customHeight="1">
      <c r="A159" s="171"/>
      <c r="B159" s="30">
        <v>22033</v>
      </c>
      <c r="C159" s="20" t="s">
        <v>263</v>
      </c>
      <c r="D159" s="20" t="s">
        <v>262</v>
      </c>
      <c r="E159" s="20" t="s">
        <v>472</v>
      </c>
      <c r="F159" s="20" t="s">
        <v>523</v>
      </c>
      <c r="G159" s="29" t="s">
        <v>890</v>
      </c>
      <c r="H159" s="20" t="s">
        <v>891</v>
      </c>
      <c r="I159" s="125" t="s">
        <v>892</v>
      </c>
      <c r="J159" s="29" t="b">
        <v>1</v>
      </c>
      <c r="K159" s="102">
        <v>7.8261735702999996E-4</v>
      </c>
      <c r="L159" s="56">
        <v>6.9256857204999996E-6</v>
      </c>
      <c r="M159" s="56">
        <v>3.5533678256386E-3</v>
      </c>
      <c r="N159" s="56">
        <v>5.2673216500657002E-3</v>
      </c>
      <c r="O159" s="57">
        <v>0.97714033952229795</v>
      </c>
      <c r="P159" s="56">
        <v>5.8912653720865599E-2</v>
      </c>
      <c r="Q159" s="56">
        <v>3.6383481899209999E-4</v>
      </c>
      <c r="R159" s="56">
        <v>1.0917626507990001E-4</v>
      </c>
      <c r="S159" s="56">
        <v>0</v>
      </c>
      <c r="T159" s="56">
        <v>1.350406710726E-4</v>
      </c>
      <c r="U159" s="56">
        <v>2.1975124159450001E-4</v>
      </c>
      <c r="V159" s="56">
        <v>2.7999440011189998E-4</v>
      </c>
      <c r="W159" s="56">
        <v>5.5760325111047998E-3</v>
      </c>
      <c r="X159" s="56">
        <v>2.3884874902960001E-4</v>
      </c>
      <c r="Y159" s="30">
        <v>1</v>
      </c>
      <c r="Z159" s="20">
        <v>0</v>
      </c>
      <c r="AA159" s="29">
        <v>1</v>
      </c>
    </row>
    <row r="160" spans="1:27" ht="14.25" customHeight="1">
      <c r="A160" s="171"/>
      <c r="B160" s="30">
        <v>22034</v>
      </c>
      <c r="C160" s="20" t="s">
        <v>262</v>
      </c>
      <c r="D160" s="20" t="s">
        <v>261</v>
      </c>
      <c r="E160" s="20" t="s">
        <v>449</v>
      </c>
      <c r="F160" s="20" t="s">
        <v>476</v>
      </c>
      <c r="G160" s="29" t="s">
        <v>893</v>
      </c>
      <c r="H160" s="20" t="s">
        <v>894</v>
      </c>
      <c r="I160" s="125" t="s">
        <v>895</v>
      </c>
      <c r="J160" s="29" t="b">
        <v>1</v>
      </c>
      <c r="K160" s="102">
        <v>2.34571676307E-5</v>
      </c>
      <c r="L160" s="56">
        <v>1.2683741068233001E-3</v>
      </c>
      <c r="M160" s="56">
        <v>8.1298747491100003E-5</v>
      </c>
      <c r="N160" s="56">
        <v>6.9199573003499994E-5</v>
      </c>
      <c r="O160" s="57">
        <v>0.98647880877792404</v>
      </c>
      <c r="P160" s="56">
        <v>4.547062092659E-4</v>
      </c>
      <c r="Q160" s="56">
        <v>0</v>
      </c>
      <c r="R160" s="56">
        <v>2.7296673900200001E-5</v>
      </c>
      <c r="S160" s="56">
        <v>0</v>
      </c>
      <c r="T160" s="56">
        <v>4.0075341642200002E-5</v>
      </c>
      <c r="U160" s="56">
        <v>2.1996876443500001E-5</v>
      </c>
      <c r="V160" s="56">
        <v>0</v>
      </c>
      <c r="W160" s="56">
        <v>9.4688003029999996E-5</v>
      </c>
      <c r="X160" s="56">
        <v>1.197174667784E-4</v>
      </c>
      <c r="Y160" s="30">
        <v>1</v>
      </c>
      <c r="Z160" s="20">
        <v>0</v>
      </c>
      <c r="AA160" s="29">
        <v>1</v>
      </c>
    </row>
    <row r="161" spans="1:27" ht="14.25" customHeight="1">
      <c r="A161" s="171"/>
      <c r="B161" s="30">
        <v>22109</v>
      </c>
      <c r="C161" s="20" t="s">
        <v>263</v>
      </c>
      <c r="D161" s="20" t="s">
        <v>261</v>
      </c>
      <c r="E161" s="20" t="s">
        <v>833</v>
      </c>
      <c r="F161" s="20" t="s">
        <v>741</v>
      </c>
      <c r="G161" s="29" t="s">
        <v>896</v>
      </c>
      <c r="H161" s="20" t="s">
        <v>897</v>
      </c>
      <c r="I161" s="125" t="s">
        <v>898</v>
      </c>
      <c r="J161" s="29" t="b">
        <v>1</v>
      </c>
      <c r="K161" s="102">
        <v>1.6771488469E-6</v>
      </c>
      <c r="L161" s="56">
        <v>2.5261786962599999E-5</v>
      </c>
      <c r="M161" s="56">
        <v>0.99318115884356895</v>
      </c>
      <c r="N161" s="56">
        <v>5.0516852533200003E-5</v>
      </c>
      <c r="O161" s="57">
        <v>5.7586428279599998E-4</v>
      </c>
      <c r="P161" s="56">
        <v>0.99787481657642996</v>
      </c>
      <c r="Q161" s="56">
        <v>4.5652719760699998E-5</v>
      </c>
      <c r="R161" s="56">
        <v>2.7154358953400001E-5</v>
      </c>
      <c r="S161" s="56">
        <v>0</v>
      </c>
      <c r="T161" s="56">
        <v>1.59187506964E-5</v>
      </c>
      <c r="U161" s="56">
        <v>0</v>
      </c>
      <c r="V161" s="56">
        <v>0</v>
      </c>
      <c r="W161" s="56">
        <v>0</v>
      </c>
      <c r="X161" s="56">
        <v>0</v>
      </c>
      <c r="Y161" s="30">
        <v>1</v>
      </c>
      <c r="Z161" s="20">
        <v>0</v>
      </c>
      <c r="AA161" s="29">
        <v>2</v>
      </c>
    </row>
    <row r="162" spans="1:27" ht="14.25" customHeight="1">
      <c r="A162" s="171"/>
      <c r="B162" s="30">
        <v>22132</v>
      </c>
      <c r="C162" s="20" t="s">
        <v>261</v>
      </c>
      <c r="D162" s="20" t="s">
        <v>452</v>
      </c>
      <c r="E162" s="20" t="s">
        <v>454</v>
      </c>
      <c r="F162" s="20" t="s">
        <v>453</v>
      </c>
      <c r="G162" s="29" t="s">
        <v>899</v>
      </c>
      <c r="H162" s="20" t="s">
        <v>900</v>
      </c>
      <c r="I162" s="125" t="s">
        <v>901</v>
      </c>
      <c r="J162" s="29" t="b">
        <v>1</v>
      </c>
      <c r="K162" s="102">
        <v>5.7019283418499997E-5</v>
      </c>
      <c r="L162" s="56">
        <v>5.7482646407900002E-5</v>
      </c>
      <c r="M162" s="56">
        <v>5.8262604058530003E-4</v>
      </c>
      <c r="N162" s="56">
        <v>7.4079901505299996E-5</v>
      </c>
      <c r="O162" s="57">
        <v>6.2928480413989999E-4</v>
      </c>
      <c r="P162" s="56">
        <v>1.2112953289423001E-3</v>
      </c>
      <c r="Q162" s="56">
        <v>9.13054395215E-5</v>
      </c>
      <c r="R162" s="56">
        <v>1.2216475953899999E-4</v>
      </c>
      <c r="S162" s="56">
        <v>0</v>
      </c>
      <c r="T162" s="56">
        <v>0.98457721397414799</v>
      </c>
      <c r="U162" s="56">
        <v>4.4122837980899998E-5</v>
      </c>
      <c r="V162" s="56">
        <v>1.4005602240889999E-4</v>
      </c>
      <c r="W162" s="56">
        <v>9.4804702313199996E-5</v>
      </c>
      <c r="X162" s="56">
        <v>2.9847182425970001E-4</v>
      </c>
      <c r="Y162" s="30">
        <v>0</v>
      </c>
      <c r="Z162" s="20">
        <v>1</v>
      </c>
      <c r="AA162" s="29">
        <v>0</v>
      </c>
    </row>
    <row r="163" spans="1:27" ht="14.25" customHeight="1">
      <c r="A163" s="171"/>
      <c r="B163" s="30">
        <v>22200</v>
      </c>
      <c r="C163" s="20" t="s">
        <v>452</v>
      </c>
      <c r="D163" s="20" t="s">
        <v>261</v>
      </c>
      <c r="E163" s="20" t="s">
        <v>511</v>
      </c>
      <c r="F163" s="20" t="s">
        <v>477</v>
      </c>
      <c r="G163" s="29" t="s">
        <v>902</v>
      </c>
      <c r="H163" s="20" t="s">
        <v>903</v>
      </c>
      <c r="I163" s="125" t="s">
        <v>904</v>
      </c>
      <c r="J163" s="29" t="b">
        <v>1</v>
      </c>
      <c r="K163" s="102">
        <v>8.3792446110982996E-7</v>
      </c>
      <c r="L163" s="56">
        <v>2.8042722276200001E-5</v>
      </c>
      <c r="M163" s="56">
        <v>1.0557384205035999E-3</v>
      </c>
      <c r="N163" s="56">
        <v>0.644729165904535</v>
      </c>
      <c r="O163" s="57">
        <v>0.99637117272122899</v>
      </c>
      <c r="P163" s="56">
        <v>8.8417329796639996E-4</v>
      </c>
      <c r="Q163" s="56">
        <v>4.5720555961900001E-5</v>
      </c>
      <c r="R163" s="56">
        <v>0</v>
      </c>
      <c r="S163" s="56">
        <v>0</v>
      </c>
      <c r="T163" s="56">
        <v>2.38701464035E-5</v>
      </c>
      <c r="U163" s="56">
        <v>0</v>
      </c>
      <c r="V163" s="56">
        <v>1.3941168269899999E-4</v>
      </c>
      <c r="W163" s="56">
        <v>0</v>
      </c>
      <c r="X163" s="56">
        <v>0</v>
      </c>
      <c r="Y163" s="30">
        <v>2</v>
      </c>
      <c r="Z163" s="20">
        <v>0</v>
      </c>
      <c r="AA163" s="29">
        <v>2</v>
      </c>
    </row>
    <row r="164" spans="1:27" ht="14.25" customHeight="1">
      <c r="A164" s="171"/>
      <c r="B164" s="30">
        <v>22200</v>
      </c>
      <c r="C164" s="20" t="s">
        <v>452</v>
      </c>
      <c r="D164" s="20" t="s">
        <v>262</v>
      </c>
      <c r="E164" s="20" t="s">
        <v>511</v>
      </c>
      <c r="F164" s="20" t="s">
        <v>741</v>
      </c>
      <c r="G164" s="29" t="s">
        <v>905</v>
      </c>
      <c r="H164" s="20" t="s">
        <v>906</v>
      </c>
      <c r="I164" s="125" t="s">
        <v>907</v>
      </c>
      <c r="J164" s="29" t="b">
        <v>1</v>
      </c>
      <c r="K164" s="102">
        <v>8.3792446110982996E-7</v>
      </c>
      <c r="L164" s="56">
        <v>2.7115690134799999E-5</v>
      </c>
      <c r="M164" s="56">
        <v>0.99726675413730104</v>
      </c>
      <c r="N164" s="56">
        <v>4.9530495189419998E-4</v>
      </c>
      <c r="O164" s="57">
        <v>1.8652485042818E-3</v>
      </c>
      <c r="P164" s="56">
        <v>0.99848427434634301</v>
      </c>
      <c r="Q164" s="56">
        <v>2.2860277980899998E-5</v>
      </c>
      <c r="R164" s="56">
        <v>0</v>
      </c>
      <c r="S164" s="56">
        <v>0</v>
      </c>
      <c r="T164" s="56">
        <v>1.5913430935700002E-5</v>
      </c>
      <c r="U164" s="56">
        <v>0</v>
      </c>
      <c r="V164" s="56">
        <v>0</v>
      </c>
      <c r="W164" s="56">
        <v>0</v>
      </c>
      <c r="X164" s="56">
        <v>0</v>
      </c>
      <c r="Y164" s="30">
        <v>1</v>
      </c>
      <c r="Z164" s="20">
        <v>0</v>
      </c>
      <c r="AA164" s="29">
        <v>2</v>
      </c>
    </row>
    <row r="165" spans="1:27" ht="14.25" customHeight="1">
      <c r="A165" s="171"/>
      <c r="B165" s="30">
        <v>22206</v>
      </c>
      <c r="C165" s="20" t="s">
        <v>262</v>
      </c>
      <c r="D165" s="20" t="s">
        <v>261</v>
      </c>
      <c r="E165" s="20" t="s">
        <v>457</v>
      </c>
      <c r="F165" s="20" t="s">
        <v>518</v>
      </c>
      <c r="G165" s="29" t="s">
        <v>908</v>
      </c>
      <c r="H165" s="20" t="s">
        <v>909</v>
      </c>
      <c r="I165" s="125" t="s">
        <v>910</v>
      </c>
      <c r="J165" s="29" t="b">
        <v>1</v>
      </c>
      <c r="K165" s="102">
        <v>3.0922392337280001E-4</v>
      </c>
      <c r="L165" s="56">
        <v>3.7243646127489997E-4</v>
      </c>
      <c r="M165" s="56">
        <v>5.1655246805730004E-4</v>
      </c>
      <c r="N165" s="56">
        <v>1.935032046901E-4</v>
      </c>
      <c r="O165" s="57">
        <v>4.6777789905299999E-5</v>
      </c>
      <c r="P165" s="56">
        <v>1.4880952380952001E-3</v>
      </c>
      <c r="Q165" s="56">
        <v>0.96572163764186902</v>
      </c>
      <c r="R165" s="56">
        <v>8.003364125937E-4</v>
      </c>
      <c r="S165" s="56">
        <v>0</v>
      </c>
      <c r="T165" s="56">
        <v>1.9095053585490001E-4</v>
      </c>
      <c r="U165" s="56">
        <v>3.9572615749900001E-4</v>
      </c>
      <c r="V165" s="56">
        <v>6.9589422407789997E-4</v>
      </c>
      <c r="W165" s="56">
        <v>1.1375485828040001E-3</v>
      </c>
      <c r="X165" s="56">
        <v>5.964096141229E-4</v>
      </c>
      <c r="Y165" s="30">
        <v>0</v>
      </c>
      <c r="Z165" s="20">
        <v>1</v>
      </c>
      <c r="AA165" s="29">
        <v>0</v>
      </c>
    </row>
    <row r="166" spans="1:27" ht="14.25" customHeight="1">
      <c r="A166" s="171"/>
      <c r="B166" s="30">
        <v>22208</v>
      </c>
      <c r="C166" s="20" t="s">
        <v>263</v>
      </c>
      <c r="D166" s="20" t="s">
        <v>452</v>
      </c>
      <c r="E166" s="20" t="s">
        <v>630</v>
      </c>
      <c r="F166" s="20" t="s">
        <v>472</v>
      </c>
      <c r="G166" s="29" t="s">
        <v>911</v>
      </c>
      <c r="H166" s="20" t="s">
        <v>912</v>
      </c>
      <c r="I166" s="125" t="s">
        <v>913</v>
      </c>
      <c r="J166" s="29" t="b">
        <v>1</v>
      </c>
      <c r="K166" s="102">
        <v>1.7481404009827999E-3</v>
      </c>
      <c r="L166" s="56">
        <v>1.1062474392420001E-3</v>
      </c>
      <c r="M166" s="56">
        <v>1.4104265210828999E-3</v>
      </c>
      <c r="N166" s="56">
        <v>2.8874928641050001E-4</v>
      </c>
      <c r="O166" s="57">
        <v>0.99593335392724602</v>
      </c>
      <c r="P166" s="56">
        <v>1.9178358736247E-3</v>
      </c>
      <c r="Q166" s="56">
        <v>4.5752979662799998E-5</v>
      </c>
      <c r="R166" s="56">
        <v>6.7817760115E-5</v>
      </c>
      <c r="S166" s="56">
        <v>2.013085052843E-4</v>
      </c>
      <c r="T166" s="56">
        <v>2.0611993155862998E-3</v>
      </c>
      <c r="U166" s="56">
        <v>1.6266953902969001E-3</v>
      </c>
      <c r="V166" s="56">
        <v>1.3910140492410001E-4</v>
      </c>
      <c r="W166" s="56">
        <v>9.4813691096900005E-5</v>
      </c>
      <c r="X166" s="56">
        <v>1.192748091603E-4</v>
      </c>
      <c r="Y166" s="30">
        <v>1</v>
      </c>
      <c r="Z166" s="20">
        <v>0</v>
      </c>
      <c r="AA166" s="29">
        <v>1</v>
      </c>
    </row>
    <row r="167" spans="1:27" ht="14.25" customHeight="1">
      <c r="A167" s="171"/>
      <c r="B167" s="30">
        <v>22295</v>
      </c>
      <c r="C167" s="20" t="s">
        <v>263</v>
      </c>
      <c r="D167" s="20" t="s">
        <v>262</v>
      </c>
      <c r="E167" s="20" t="s">
        <v>571</v>
      </c>
      <c r="F167" s="20" t="s">
        <v>539</v>
      </c>
      <c r="G167" s="29" t="s">
        <v>914</v>
      </c>
      <c r="H167" s="20" t="s">
        <v>915</v>
      </c>
      <c r="I167" s="125" t="s">
        <v>916</v>
      </c>
      <c r="J167" s="29" t="b">
        <v>1</v>
      </c>
      <c r="K167" s="102">
        <v>8.3414593048999999E-6</v>
      </c>
      <c r="L167" s="56">
        <v>1.66967848084E-5</v>
      </c>
      <c r="M167" s="56">
        <v>1.8695195937710001E-4</v>
      </c>
      <c r="N167" s="56">
        <v>5.0568354457300002E-4</v>
      </c>
      <c r="O167" s="57">
        <v>0.99751522171265805</v>
      </c>
      <c r="P167" s="56">
        <v>1.9877932694999001E-3</v>
      </c>
      <c r="Q167" s="56">
        <v>0</v>
      </c>
      <c r="R167" s="56">
        <v>0</v>
      </c>
      <c r="S167" s="56">
        <v>0</v>
      </c>
      <c r="T167" s="56">
        <v>0</v>
      </c>
      <c r="U167" s="56">
        <v>0</v>
      </c>
      <c r="V167" s="56">
        <v>0</v>
      </c>
      <c r="W167" s="56">
        <v>0</v>
      </c>
      <c r="X167" s="56">
        <v>0</v>
      </c>
      <c r="Y167" s="30">
        <v>1</v>
      </c>
      <c r="Z167" s="20">
        <v>0</v>
      </c>
      <c r="AA167" s="29">
        <v>1</v>
      </c>
    </row>
    <row r="168" spans="1:27" ht="14.25" customHeight="1">
      <c r="A168" s="171"/>
      <c r="B168" s="30">
        <v>22317</v>
      </c>
      <c r="C168" s="20" t="s">
        <v>261</v>
      </c>
      <c r="D168" s="20" t="s">
        <v>452</v>
      </c>
      <c r="E168" s="20" t="s">
        <v>518</v>
      </c>
      <c r="F168" s="20" t="s">
        <v>480</v>
      </c>
      <c r="G168" s="29" t="s">
        <v>917</v>
      </c>
      <c r="H168" s="20" t="s">
        <v>918</v>
      </c>
      <c r="I168" s="125" t="s">
        <v>919</v>
      </c>
      <c r="J168" s="29" t="b">
        <v>1</v>
      </c>
      <c r="K168" s="102">
        <v>8.6807874141900003E-5</v>
      </c>
      <c r="L168" s="56">
        <v>1.094720709379E-4</v>
      </c>
      <c r="M168" s="56">
        <v>0.990060706518615</v>
      </c>
      <c r="N168" s="56">
        <v>6.0258888420200001E-5</v>
      </c>
      <c r="O168" s="57">
        <v>9.8016627681300002E-4</v>
      </c>
      <c r="P168" s="56">
        <v>0.995314516581561</v>
      </c>
      <c r="Q168" s="56">
        <v>2.0901553682149999E-4</v>
      </c>
      <c r="R168" s="56">
        <v>1.1414145483354999E-3</v>
      </c>
      <c r="S168" s="56">
        <v>1.003613006824E-4</v>
      </c>
      <c r="T168" s="56">
        <v>2.3287224628500001E-5</v>
      </c>
      <c r="U168" s="56">
        <v>1.0307921747520999E-3</v>
      </c>
      <c r="V168" s="56">
        <v>0</v>
      </c>
      <c r="W168" s="56">
        <v>0</v>
      </c>
      <c r="X168" s="56">
        <v>5.9988002399500001E-5</v>
      </c>
      <c r="Y168" s="30">
        <v>1</v>
      </c>
      <c r="Z168" s="20">
        <v>0</v>
      </c>
      <c r="AA168" s="29">
        <v>2</v>
      </c>
    </row>
    <row r="169" spans="1:27" ht="14.25" customHeight="1">
      <c r="A169" s="171"/>
      <c r="B169" s="30">
        <v>22320</v>
      </c>
      <c r="C169" s="20" t="s">
        <v>262</v>
      </c>
      <c r="D169" s="20" t="s">
        <v>261</v>
      </c>
      <c r="E169" s="20" t="s">
        <v>457</v>
      </c>
      <c r="F169" s="20" t="s">
        <v>518</v>
      </c>
      <c r="G169" s="29" t="s">
        <v>920</v>
      </c>
      <c r="H169" s="20" t="s">
        <v>921</v>
      </c>
      <c r="I169" s="125" t="s">
        <v>922</v>
      </c>
      <c r="J169" s="29" t="b">
        <v>1</v>
      </c>
      <c r="K169" s="102">
        <v>5.7817860371530002E-4</v>
      </c>
      <c r="L169" s="56">
        <v>9.3865916705770003E-4</v>
      </c>
      <c r="M169" s="56">
        <v>8.3723994934239998E-4</v>
      </c>
      <c r="N169" s="56">
        <v>2.489301391775E-4</v>
      </c>
      <c r="O169" s="57">
        <v>3.6319612590789997E-4</v>
      </c>
      <c r="P169" s="56">
        <v>1.0650224215246001E-3</v>
      </c>
      <c r="Q169" s="56">
        <v>1.4361969504749999E-4</v>
      </c>
      <c r="R169" s="56">
        <v>2.0153164046749999E-4</v>
      </c>
      <c r="S169" s="56">
        <v>3.014772384684E-4</v>
      </c>
      <c r="T169" s="56">
        <v>2.6413921690490001E-4</v>
      </c>
      <c r="U169" s="56">
        <v>0.98677598518910303</v>
      </c>
      <c r="V169" s="56">
        <v>4.0755332155950001E-4</v>
      </c>
      <c r="W169" s="56">
        <v>9.8010389101199996E-5</v>
      </c>
      <c r="X169" s="56">
        <v>4.8036507745880002E-4</v>
      </c>
      <c r="Y169" s="30">
        <v>0</v>
      </c>
      <c r="Z169" s="20">
        <v>1</v>
      </c>
      <c r="AA169" s="29">
        <v>0</v>
      </c>
    </row>
    <row r="170" spans="1:27" ht="14.25" customHeight="1">
      <c r="A170" s="173"/>
      <c r="B170" s="35">
        <v>22353</v>
      </c>
      <c r="C170" s="33" t="s">
        <v>263</v>
      </c>
      <c r="D170" s="33" t="s">
        <v>262</v>
      </c>
      <c r="E170" s="33" t="s">
        <v>461</v>
      </c>
      <c r="F170" s="33" t="s">
        <v>457</v>
      </c>
      <c r="G170" s="32" t="s">
        <v>923</v>
      </c>
      <c r="H170" s="33" t="s">
        <v>924</v>
      </c>
      <c r="I170" s="128" t="s">
        <v>925</v>
      </c>
      <c r="J170" s="32" t="b">
        <v>1</v>
      </c>
      <c r="K170" s="103">
        <v>7.9806124320999995E-6</v>
      </c>
      <c r="L170" s="95">
        <v>5.8771147034E-6</v>
      </c>
      <c r="M170" s="95">
        <v>1.10873382597E-4</v>
      </c>
      <c r="N170" s="95">
        <v>6.7707760079999998E-6</v>
      </c>
      <c r="O170" s="77">
        <v>0.99113869541685196</v>
      </c>
      <c r="P170" s="95">
        <v>1.5544329095652999E-3</v>
      </c>
      <c r="Q170" s="95">
        <v>0</v>
      </c>
      <c r="R170" s="95">
        <v>0</v>
      </c>
      <c r="S170" s="95">
        <v>0</v>
      </c>
      <c r="T170" s="95">
        <v>0</v>
      </c>
      <c r="U170" s="95">
        <v>0</v>
      </c>
      <c r="V170" s="95">
        <v>0</v>
      </c>
      <c r="W170" s="95">
        <v>0</v>
      </c>
      <c r="X170" s="95">
        <v>7.51145496882E-5</v>
      </c>
      <c r="Y170" s="35">
        <v>1</v>
      </c>
      <c r="Z170" s="33">
        <v>0</v>
      </c>
      <c r="AA170" s="32">
        <v>1</v>
      </c>
    </row>
    <row r="171" spans="1:27" ht="14.25" customHeight="1">
      <c r="A171" s="200" t="s">
        <v>926</v>
      </c>
      <c r="B171" s="26">
        <v>22556</v>
      </c>
      <c r="C171" s="27" t="s">
        <v>262</v>
      </c>
      <c r="D171" s="27" t="s">
        <v>261</v>
      </c>
      <c r="E171" s="27" t="s">
        <v>499</v>
      </c>
      <c r="F171" s="27" t="s">
        <v>480</v>
      </c>
      <c r="G171" s="124" t="s">
        <v>927</v>
      </c>
      <c r="H171" s="27" t="s">
        <v>928</v>
      </c>
      <c r="I171" s="125" t="s">
        <v>929</v>
      </c>
      <c r="J171" s="124" t="b">
        <v>1</v>
      </c>
      <c r="K171" s="126">
        <v>2.91716744707E-5</v>
      </c>
      <c r="L171" s="85">
        <v>2.6834051516000002E-6</v>
      </c>
      <c r="M171" s="85">
        <v>6.9423910108799998E-5</v>
      </c>
      <c r="N171" s="85">
        <v>7.7193399239000005E-6</v>
      </c>
      <c r="O171" s="76">
        <v>0.99544510368279004</v>
      </c>
      <c r="P171" s="85">
        <v>7.943829438294E-4</v>
      </c>
      <c r="Q171" s="85">
        <v>0</v>
      </c>
      <c r="R171" s="85">
        <v>0</v>
      </c>
      <c r="S171" s="85">
        <v>0</v>
      </c>
      <c r="T171" s="85">
        <v>1.5194104687299999E-5</v>
      </c>
      <c r="U171" s="85">
        <v>0</v>
      </c>
      <c r="V171" s="85">
        <v>0</v>
      </c>
      <c r="W171" s="85">
        <v>0</v>
      </c>
      <c r="X171" s="85">
        <v>0</v>
      </c>
      <c r="Y171" s="26">
        <v>1</v>
      </c>
      <c r="Z171" s="27">
        <v>0</v>
      </c>
      <c r="AA171" s="124">
        <v>1</v>
      </c>
    </row>
    <row r="172" spans="1:27" ht="14.25" customHeight="1">
      <c r="A172" s="171"/>
      <c r="B172" s="30">
        <v>22577</v>
      </c>
      <c r="C172" s="20" t="s">
        <v>261</v>
      </c>
      <c r="D172" s="20" t="s">
        <v>263</v>
      </c>
      <c r="E172" s="20" t="s">
        <v>518</v>
      </c>
      <c r="F172" s="20" t="s">
        <v>745</v>
      </c>
      <c r="G172" s="29" t="s">
        <v>930</v>
      </c>
      <c r="H172" s="20" t="s">
        <v>931</v>
      </c>
      <c r="I172" s="125" t="s">
        <v>932</v>
      </c>
      <c r="J172" s="29" t="b">
        <v>1</v>
      </c>
      <c r="K172" s="102">
        <v>0</v>
      </c>
      <c r="L172" s="56">
        <v>2.2334350588554801E-7</v>
      </c>
      <c r="M172" s="56">
        <v>0.99727934002054697</v>
      </c>
      <c r="N172" s="56">
        <v>4.2930258368899001E-3</v>
      </c>
      <c r="O172" s="57">
        <v>0.996075211364993</v>
      </c>
      <c r="P172" s="56">
        <v>0.99848787738992195</v>
      </c>
      <c r="Q172" s="56">
        <v>0</v>
      </c>
      <c r="R172" s="56">
        <v>1.3185306294600001E-5</v>
      </c>
      <c r="S172" s="56">
        <v>0</v>
      </c>
      <c r="T172" s="56">
        <v>0</v>
      </c>
      <c r="U172" s="56">
        <v>0</v>
      </c>
      <c r="V172" s="56">
        <v>0</v>
      </c>
      <c r="W172" s="56">
        <v>0</v>
      </c>
      <c r="X172" s="56">
        <v>0</v>
      </c>
      <c r="Y172" s="30">
        <v>2</v>
      </c>
      <c r="Z172" s="20">
        <v>0</v>
      </c>
      <c r="AA172" s="29">
        <v>3</v>
      </c>
    </row>
    <row r="173" spans="1:27" ht="14.25" customHeight="1">
      <c r="A173" s="171"/>
      <c r="B173" s="30">
        <v>22578</v>
      </c>
      <c r="C173" s="20" t="s">
        <v>261</v>
      </c>
      <c r="D173" s="20" t="s">
        <v>262</v>
      </c>
      <c r="E173" s="20" t="s">
        <v>518</v>
      </c>
      <c r="F173" s="20" t="s">
        <v>457</v>
      </c>
      <c r="G173" s="29" t="s">
        <v>933</v>
      </c>
      <c r="H173" s="20" t="s">
        <v>934</v>
      </c>
      <c r="I173" s="125" t="s">
        <v>935</v>
      </c>
      <c r="J173" s="29" t="b">
        <v>1</v>
      </c>
      <c r="K173" s="102">
        <v>7.4955026983800004E-5</v>
      </c>
      <c r="L173" s="56">
        <v>1.974546663965E-4</v>
      </c>
      <c r="M173" s="56">
        <v>0.998472309316074</v>
      </c>
      <c r="N173" s="56">
        <v>0.99653657868562395</v>
      </c>
      <c r="O173" s="57">
        <v>0.99808689503456904</v>
      </c>
      <c r="P173" s="56">
        <v>0.99882099651425005</v>
      </c>
      <c r="Q173" s="56">
        <v>7.1309721891999999E-5</v>
      </c>
      <c r="R173" s="56">
        <v>3.9556440447699998E-5</v>
      </c>
      <c r="S173" s="56">
        <v>0</v>
      </c>
      <c r="T173" s="56">
        <v>6.8253173772499996E-5</v>
      </c>
      <c r="U173" s="56">
        <v>6.5545116888699996E-5</v>
      </c>
      <c r="V173" s="56">
        <v>0</v>
      </c>
      <c r="W173" s="56">
        <v>9.3554121059000002E-5</v>
      </c>
      <c r="X173" s="56">
        <v>8.1651697188840004E-4</v>
      </c>
      <c r="Y173" s="30">
        <v>3</v>
      </c>
      <c r="Z173" s="20">
        <v>0</v>
      </c>
      <c r="AA173" s="29">
        <v>4</v>
      </c>
    </row>
    <row r="174" spans="1:27" ht="14.25" customHeight="1">
      <c r="A174" s="171"/>
      <c r="B174" s="30">
        <v>22599</v>
      </c>
      <c r="C174" s="20" t="s">
        <v>261</v>
      </c>
      <c r="D174" s="20" t="s">
        <v>263</v>
      </c>
      <c r="E174" s="20" t="s">
        <v>449</v>
      </c>
      <c r="F174" s="20" t="s">
        <v>493</v>
      </c>
      <c r="G174" s="29" t="s">
        <v>936</v>
      </c>
      <c r="H174" s="20" t="s">
        <v>937</v>
      </c>
      <c r="I174" s="125" t="s">
        <v>938</v>
      </c>
      <c r="J174" s="29" t="b">
        <v>1</v>
      </c>
      <c r="K174" s="102">
        <v>8.9250785532000003E-5</v>
      </c>
      <c r="L174" s="56">
        <v>1.0730261348899999E-5</v>
      </c>
      <c r="M174" s="56">
        <v>0.994011774774472</v>
      </c>
      <c r="N174" s="56">
        <v>2.5838112882445401E-2</v>
      </c>
      <c r="O174" s="57">
        <v>9.8035277577590493E-2</v>
      </c>
      <c r="P174" s="56">
        <v>0.99713843165052096</v>
      </c>
      <c r="Q174" s="56">
        <v>2.3879456503499999E-5</v>
      </c>
      <c r="R174" s="56">
        <v>3.9696717081399997E-5</v>
      </c>
      <c r="S174" s="56">
        <v>0</v>
      </c>
      <c r="T174" s="56">
        <v>3.0399525767299999E-5</v>
      </c>
      <c r="U174" s="56">
        <v>0</v>
      </c>
      <c r="V174" s="56">
        <v>0</v>
      </c>
      <c r="W174" s="56">
        <v>0</v>
      </c>
      <c r="X174" s="56">
        <v>5.8833911866800002E-5</v>
      </c>
      <c r="Y174" s="30">
        <v>1</v>
      </c>
      <c r="Z174" s="20">
        <v>0</v>
      </c>
      <c r="AA174" s="29">
        <v>2</v>
      </c>
    </row>
    <row r="175" spans="1:27" ht="14.25" customHeight="1">
      <c r="A175" s="171"/>
      <c r="B175" s="30">
        <v>22599</v>
      </c>
      <c r="C175" s="20" t="s">
        <v>261</v>
      </c>
      <c r="D175" s="20" t="s">
        <v>262</v>
      </c>
      <c r="E175" s="20" t="s">
        <v>449</v>
      </c>
      <c r="F175" s="20" t="s">
        <v>448</v>
      </c>
      <c r="G175" s="29" t="s">
        <v>939</v>
      </c>
      <c r="H175" s="20" t="s">
        <v>940</v>
      </c>
      <c r="I175" s="125" t="s">
        <v>941</v>
      </c>
      <c r="J175" s="29" t="b">
        <v>1</v>
      </c>
      <c r="K175" s="102">
        <v>1.192790872063E-4</v>
      </c>
      <c r="L175" s="56">
        <v>3.3286164892820002E-4</v>
      </c>
      <c r="M175" s="56">
        <v>2.5855894756100001E-5</v>
      </c>
      <c r="N175" s="56">
        <v>0.203031556554538</v>
      </c>
      <c r="O175" s="57">
        <v>1.2011231485966E-3</v>
      </c>
      <c r="P175" s="56">
        <v>2.6252920637399999E-5</v>
      </c>
      <c r="Q175" s="56">
        <v>1.193972825178E-4</v>
      </c>
      <c r="R175" s="56">
        <v>3.308059756791E-4</v>
      </c>
      <c r="S175" s="56">
        <v>0</v>
      </c>
      <c r="T175" s="56">
        <v>2.5839596902280001E-4</v>
      </c>
      <c r="U175" s="56">
        <v>4.3872156535799997E-5</v>
      </c>
      <c r="V175" s="56">
        <v>1.28965695125E-4</v>
      </c>
      <c r="W175" s="56">
        <v>1.87318535169E-4</v>
      </c>
      <c r="X175" s="56">
        <v>0.995234453138789</v>
      </c>
      <c r="Y175" s="30">
        <v>0</v>
      </c>
      <c r="Z175" s="20">
        <v>1</v>
      </c>
      <c r="AA175" s="29">
        <v>0</v>
      </c>
    </row>
    <row r="176" spans="1:27" ht="14.25" customHeight="1">
      <c r="A176" s="171"/>
      <c r="B176" s="30">
        <v>22629</v>
      </c>
      <c r="C176" s="20" t="s">
        <v>262</v>
      </c>
      <c r="D176" s="20" t="s">
        <v>263</v>
      </c>
      <c r="E176" s="20" t="s">
        <v>490</v>
      </c>
      <c r="F176" s="20" t="s">
        <v>942</v>
      </c>
      <c r="G176" s="29" t="s">
        <v>943</v>
      </c>
      <c r="H176" s="20" t="s">
        <v>944</v>
      </c>
      <c r="I176" s="125" t="s">
        <v>945</v>
      </c>
      <c r="J176" s="29" t="b">
        <v>1</v>
      </c>
      <c r="K176" s="102">
        <v>5.0088740551999998E-6</v>
      </c>
      <c r="L176" s="56">
        <v>3.1271988115999999E-6</v>
      </c>
      <c r="M176" s="56">
        <v>2.8295971155353002E-3</v>
      </c>
      <c r="N176" s="56">
        <v>1.0708399460125E-3</v>
      </c>
      <c r="O176" s="57">
        <v>0.99610041142448202</v>
      </c>
      <c r="P176" s="56">
        <v>2.2542595019659E-3</v>
      </c>
      <c r="Q176" s="56">
        <v>0</v>
      </c>
      <c r="R176" s="56">
        <v>0</v>
      </c>
      <c r="S176" s="56">
        <v>0</v>
      </c>
      <c r="T176" s="56">
        <v>7.5995349084000001E-6</v>
      </c>
      <c r="U176" s="56">
        <v>0</v>
      </c>
      <c r="V176" s="56">
        <v>0</v>
      </c>
      <c r="W176" s="56">
        <v>0</v>
      </c>
      <c r="X176" s="56">
        <v>0</v>
      </c>
      <c r="Y176" s="30">
        <v>1</v>
      </c>
      <c r="Z176" s="20">
        <v>0</v>
      </c>
      <c r="AA176" s="29">
        <v>1</v>
      </c>
    </row>
    <row r="177" spans="1:27" ht="14.25" customHeight="1">
      <c r="A177" s="171"/>
      <c r="B177" s="30">
        <v>22664</v>
      </c>
      <c r="C177" s="20" t="s">
        <v>263</v>
      </c>
      <c r="D177" s="20" t="s">
        <v>262</v>
      </c>
      <c r="E177" s="20" t="s">
        <v>567</v>
      </c>
      <c r="F177" s="20" t="s">
        <v>577</v>
      </c>
      <c r="G177" s="29" t="s">
        <v>946</v>
      </c>
      <c r="H177" s="20" t="s">
        <v>947</v>
      </c>
      <c r="I177" s="125" t="s">
        <v>948</v>
      </c>
      <c r="J177" s="29" t="b">
        <v>1</v>
      </c>
      <c r="K177" s="102">
        <v>3.3499603029699999E-5</v>
      </c>
      <c r="L177" s="56">
        <v>1.2757574306099999E-5</v>
      </c>
      <c r="M177" s="56">
        <v>0.99574710210130701</v>
      </c>
      <c r="N177" s="56">
        <v>4.5818275684039999E-4</v>
      </c>
      <c r="O177" s="57">
        <v>5.2226552454049996E-4</v>
      </c>
      <c r="P177" s="56">
        <v>0.99654499419770004</v>
      </c>
      <c r="Q177" s="56">
        <v>0</v>
      </c>
      <c r="R177" s="56">
        <v>1.32280381496E-5</v>
      </c>
      <c r="S177" s="56">
        <v>0</v>
      </c>
      <c r="T177" s="56">
        <v>2.27697071815E-5</v>
      </c>
      <c r="U177" s="56">
        <v>2.1901966796600001E-5</v>
      </c>
      <c r="V177" s="56">
        <v>0</v>
      </c>
      <c r="W177" s="56">
        <v>0</v>
      </c>
      <c r="X177" s="56">
        <v>0</v>
      </c>
      <c r="Y177" s="30">
        <v>1</v>
      </c>
      <c r="Z177" s="20">
        <v>0</v>
      </c>
      <c r="AA177" s="29">
        <v>2</v>
      </c>
    </row>
    <row r="178" spans="1:27" ht="14.25" customHeight="1">
      <c r="A178" s="171"/>
      <c r="B178" s="30">
        <v>22673</v>
      </c>
      <c r="C178" s="20" t="s">
        <v>452</v>
      </c>
      <c r="D178" s="20" t="s">
        <v>263</v>
      </c>
      <c r="E178" s="20" t="s">
        <v>464</v>
      </c>
      <c r="F178" s="20" t="s">
        <v>637</v>
      </c>
      <c r="G178" s="29" t="s">
        <v>949</v>
      </c>
      <c r="H178" s="20" t="s">
        <v>950</v>
      </c>
      <c r="I178" s="125" t="s">
        <v>951</v>
      </c>
      <c r="J178" s="29" t="b">
        <v>1</v>
      </c>
      <c r="K178" s="102">
        <v>1.42394182276E-5</v>
      </c>
      <c r="L178" s="56">
        <v>4.4036388810399997E-5</v>
      </c>
      <c r="M178" s="56">
        <v>1.05952686827E-5</v>
      </c>
      <c r="N178" s="56">
        <v>0.35535576083646297</v>
      </c>
      <c r="O178" s="57">
        <v>1.18961702262E-5</v>
      </c>
      <c r="P178" s="56">
        <v>0</v>
      </c>
      <c r="Q178" s="56">
        <v>2.4062755666699998E-5</v>
      </c>
      <c r="R178" s="56">
        <v>1.3201494409100001E-5</v>
      </c>
      <c r="S178" s="56">
        <v>0</v>
      </c>
      <c r="T178" s="56">
        <v>0</v>
      </c>
      <c r="U178" s="56">
        <v>0</v>
      </c>
      <c r="V178" s="56">
        <v>0</v>
      </c>
      <c r="W178" s="56">
        <v>9.3967299379800007E-5</v>
      </c>
      <c r="X178" s="56">
        <v>0</v>
      </c>
      <c r="Y178" s="30">
        <v>1</v>
      </c>
      <c r="Z178" s="20">
        <v>0</v>
      </c>
      <c r="AA178" s="29">
        <v>1</v>
      </c>
    </row>
    <row r="179" spans="1:27" ht="14.25" customHeight="1">
      <c r="A179" s="171"/>
      <c r="B179" s="30">
        <v>22674</v>
      </c>
      <c r="C179" s="20" t="s">
        <v>263</v>
      </c>
      <c r="D179" s="20" t="s">
        <v>452</v>
      </c>
      <c r="E179" s="20" t="s">
        <v>464</v>
      </c>
      <c r="F179" s="20" t="s">
        <v>472</v>
      </c>
      <c r="G179" s="29" t="s">
        <v>952</v>
      </c>
      <c r="H179" s="20" t="s">
        <v>953</v>
      </c>
      <c r="I179" s="125" t="s">
        <v>954</v>
      </c>
      <c r="J179" s="29" t="b">
        <v>1</v>
      </c>
      <c r="K179" s="102">
        <v>2.2616853744299999E-5</v>
      </c>
      <c r="L179" s="56">
        <v>5.5662496599300002E-5</v>
      </c>
      <c r="M179" s="56">
        <v>0.99688409855166304</v>
      </c>
      <c r="N179" s="56">
        <v>0.993480784463462</v>
      </c>
      <c r="O179" s="57">
        <v>0.99690145102781103</v>
      </c>
      <c r="P179" s="56">
        <v>0.998068118665149</v>
      </c>
      <c r="Q179" s="56">
        <v>9.6260287818199995E-5</v>
      </c>
      <c r="R179" s="56">
        <v>1.3202017268199999E-5</v>
      </c>
      <c r="S179" s="56">
        <v>0</v>
      </c>
      <c r="T179" s="56">
        <v>3.7922456161600003E-5</v>
      </c>
      <c r="U179" s="56">
        <v>0</v>
      </c>
      <c r="V179" s="56">
        <v>0</v>
      </c>
      <c r="W179" s="56">
        <v>9.3967299379800007E-5</v>
      </c>
      <c r="X179" s="56">
        <v>5.2548607461900003E-4</v>
      </c>
      <c r="Y179" s="30">
        <v>3</v>
      </c>
      <c r="Z179" s="20">
        <v>0</v>
      </c>
      <c r="AA179" s="29">
        <v>4</v>
      </c>
    </row>
    <row r="180" spans="1:27" ht="14.25" customHeight="1">
      <c r="A180" s="171"/>
      <c r="B180" s="30">
        <v>22679</v>
      </c>
      <c r="C180" s="20" t="s">
        <v>452</v>
      </c>
      <c r="D180" s="20" t="s">
        <v>263</v>
      </c>
      <c r="E180" s="20" t="s">
        <v>522</v>
      </c>
      <c r="F180" s="20" t="s">
        <v>563</v>
      </c>
      <c r="G180" s="29" t="s">
        <v>955</v>
      </c>
      <c r="H180" s="20" t="s">
        <v>956</v>
      </c>
      <c r="I180" s="125" t="s">
        <v>957</v>
      </c>
      <c r="J180" s="29" t="b">
        <v>1</v>
      </c>
      <c r="K180" s="102">
        <v>3.8532837097399999E-5</v>
      </c>
      <c r="L180" s="56">
        <v>1.2546135511209999E-4</v>
      </c>
      <c r="M180" s="56">
        <v>0.99751400205701002</v>
      </c>
      <c r="N180" s="56">
        <v>0.99499690100027904</v>
      </c>
      <c r="O180" s="57">
        <v>0.99832778570296399</v>
      </c>
      <c r="P180" s="56">
        <v>0.99888738774537</v>
      </c>
      <c r="Q180" s="56">
        <v>1.6845955767329999E-4</v>
      </c>
      <c r="R180" s="56">
        <v>5.2803886366000002E-5</v>
      </c>
      <c r="S180" s="56">
        <v>0</v>
      </c>
      <c r="T180" s="56">
        <v>1.8962666302580001E-4</v>
      </c>
      <c r="U180" s="56">
        <v>0</v>
      </c>
      <c r="V180" s="56">
        <v>0</v>
      </c>
      <c r="W180" s="56">
        <v>0</v>
      </c>
      <c r="X180" s="56">
        <v>1.7517225271510001E-4</v>
      </c>
      <c r="Y180" s="30">
        <v>3</v>
      </c>
      <c r="Z180" s="20">
        <v>0</v>
      </c>
      <c r="AA180" s="29">
        <v>4</v>
      </c>
    </row>
    <row r="181" spans="1:27" ht="14.25" customHeight="1">
      <c r="A181" s="171"/>
      <c r="B181" s="30">
        <v>22686</v>
      </c>
      <c r="C181" s="20" t="s">
        <v>263</v>
      </c>
      <c r="D181" s="20" t="s">
        <v>452</v>
      </c>
      <c r="E181" s="20" t="s">
        <v>464</v>
      </c>
      <c r="F181" s="20" t="s">
        <v>472</v>
      </c>
      <c r="G181" s="29" t="s">
        <v>958</v>
      </c>
      <c r="H181" s="20" t="s">
        <v>959</v>
      </c>
      <c r="I181" s="125" t="s">
        <v>960</v>
      </c>
      <c r="J181" s="29" t="b">
        <v>1</v>
      </c>
      <c r="K181" s="102">
        <v>1.08878907391E-5</v>
      </c>
      <c r="L181" s="56">
        <v>1.205885255998E-4</v>
      </c>
      <c r="M181" s="56">
        <v>0.99629747845515404</v>
      </c>
      <c r="N181" s="56">
        <v>0.99307608252873902</v>
      </c>
      <c r="O181" s="57">
        <v>0.99630631671640701</v>
      </c>
      <c r="P181" s="56">
        <v>0.99461962631832501</v>
      </c>
      <c r="Q181" s="56">
        <v>4.8131302192300003E-5</v>
      </c>
      <c r="R181" s="56">
        <v>3.9598210160899997E-5</v>
      </c>
      <c r="S181" s="56">
        <v>0</v>
      </c>
      <c r="T181" s="56">
        <v>0</v>
      </c>
      <c r="U181" s="56">
        <v>0</v>
      </c>
      <c r="V181" s="56">
        <v>0</v>
      </c>
      <c r="W181" s="56">
        <v>9.39584703561E-5</v>
      </c>
      <c r="X181" s="56">
        <v>1.7525411847169999E-4</v>
      </c>
      <c r="Y181" s="30">
        <v>3</v>
      </c>
      <c r="Z181" s="20">
        <v>0</v>
      </c>
      <c r="AA181" s="29">
        <v>4</v>
      </c>
    </row>
    <row r="182" spans="1:27" ht="14.25" customHeight="1">
      <c r="A182" s="171"/>
      <c r="B182" s="30">
        <v>22688</v>
      </c>
      <c r="C182" s="20" t="s">
        <v>262</v>
      </c>
      <c r="D182" s="20" t="s">
        <v>261</v>
      </c>
      <c r="E182" s="20" t="s">
        <v>494</v>
      </c>
      <c r="F182" s="20" t="s">
        <v>461</v>
      </c>
      <c r="G182" s="29" t="s">
        <v>961</v>
      </c>
      <c r="H182" s="20" t="s">
        <v>962</v>
      </c>
      <c r="I182" s="125" t="s">
        <v>963</v>
      </c>
      <c r="J182" s="29" t="b">
        <v>1</v>
      </c>
      <c r="K182" s="102">
        <v>5.0253571143999997E-6</v>
      </c>
      <c r="L182" s="56">
        <v>1.7421785674900001E-5</v>
      </c>
      <c r="M182" s="56">
        <v>0.996497312478557</v>
      </c>
      <c r="N182" s="56">
        <v>0.63573557128101799</v>
      </c>
      <c r="O182" s="57">
        <v>0.995262701136155</v>
      </c>
      <c r="P182" s="56">
        <v>0.99520199342593496</v>
      </c>
      <c r="Q182" s="56">
        <v>2.40650719545E-5</v>
      </c>
      <c r="R182" s="56">
        <v>1.32001003207E-5</v>
      </c>
      <c r="S182" s="56">
        <v>0</v>
      </c>
      <c r="T182" s="56">
        <v>0</v>
      </c>
      <c r="U182" s="56">
        <v>0</v>
      </c>
      <c r="V182" s="56">
        <v>0</v>
      </c>
      <c r="W182" s="56">
        <v>0</v>
      </c>
      <c r="X182" s="56">
        <v>1.752643570719E-4</v>
      </c>
      <c r="Y182" s="30">
        <v>3</v>
      </c>
      <c r="Z182" s="20">
        <v>0</v>
      </c>
      <c r="AA182" s="29">
        <v>4</v>
      </c>
    </row>
    <row r="183" spans="1:27" ht="14.25" customHeight="1">
      <c r="A183" s="171"/>
      <c r="B183" s="30">
        <v>22770</v>
      </c>
      <c r="C183" s="20" t="s">
        <v>261</v>
      </c>
      <c r="D183" s="20" t="s">
        <v>262</v>
      </c>
      <c r="E183" s="20" t="s">
        <v>449</v>
      </c>
      <c r="F183" s="20" t="s">
        <v>448</v>
      </c>
      <c r="G183" s="29" t="s">
        <v>964</v>
      </c>
      <c r="H183" s="20" t="s">
        <v>965</v>
      </c>
      <c r="I183" s="125" t="s">
        <v>966</v>
      </c>
      <c r="J183" s="29" t="b">
        <v>1</v>
      </c>
      <c r="K183" s="102">
        <v>1.5727545373550001E-4</v>
      </c>
      <c r="L183" s="56">
        <v>5.57524857245E-5</v>
      </c>
      <c r="M183" s="56">
        <v>8.9535504680020002E-4</v>
      </c>
      <c r="N183" s="56">
        <v>2.5293574626500001E-5</v>
      </c>
      <c r="O183" s="57">
        <v>0.97696816881718995</v>
      </c>
      <c r="P183" s="56">
        <v>3.6816914742540002E-4</v>
      </c>
      <c r="Q183" s="56">
        <v>0</v>
      </c>
      <c r="R183" s="56">
        <v>3.9624884427400001E-5</v>
      </c>
      <c r="S183" s="56">
        <v>0</v>
      </c>
      <c r="T183" s="56">
        <v>6.8385939850699995E-5</v>
      </c>
      <c r="U183" s="56">
        <v>0</v>
      </c>
      <c r="V183" s="56">
        <v>1.2960082944529999E-4</v>
      </c>
      <c r="W183" s="56">
        <v>0</v>
      </c>
      <c r="X183" s="56">
        <v>0</v>
      </c>
      <c r="Y183" s="30">
        <v>1</v>
      </c>
      <c r="Z183" s="20">
        <v>0</v>
      </c>
      <c r="AA183" s="29">
        <v>1</v>
      </c>
    </row>
    <row r="184" spans="1:27" ht="14.25" customHeight="1">
      <c r="A184" s="171"/>
      <c r="B184" s="30">
        <v>22775</v>
      </c>
      <c r="C184" s="20" t="s">
        <v>261</v>
      </c>
      <c r="D184" s="20" t="s">
        <v>262</v>
      </c>
      <c r="E184" s="20" t="s">
        <v>457</v>
      </c>
      <c r="F184" s="20" t="s">
        <v>539</v>
      </c>
      <c r="G184" s="29" t="s">
        <v>967</v>
      </c>
      <c r="H184" s="20" t="s">
        <v>968</v>
      </c>
      <c r="I184" s="125" t="s">
        <v>969</v>
      </c>
      <c r="J184" s="29" t="b">
        <v>1</v>
      </c>
      <c r="K184" s="102">
        <v>1.75706339484E-5</v>
      </c>
      <c r="L184" s="56">
        <v>4.1256600219699998E-5</v>
      </c>
      <c r="M184" s="56">
        <v>0.99716222317893999</v>
      </c>
      <c r="N184" s="56">
        <v>0.631007902857605</v>
      </c>
      <c r="O184" s="57">
        <v>0.99753157721930596</v>
      </c>
      <c r="P184" s="56">
        <v>0.99702505219206605</v>
      </c>
      <c r="Q184" s="56">
        <v>2.2719527433800001E-5</v>
      </c>
      <c r="R184" s="56">
        <v>0</v>
      </c>
      <c r="S184" s="56">
        <v>0</v>
      </c>
      <c r="T184" s="56">
        <v>0</v>
      </c>
      <c r="U184" s="56">
        <v>2.1870830872800001E-5</v>
      </c>
      <c r="V184" s="56">
        <v>0</v>
      </c>
      <c r="W184" s="56">
        <v>0</v>
      </c>
      <c r="X184" s="56">
        <v>1.7505981210240001E-4</v>
      </c>
      <c r="Y184" s="30">
        <v>3</v>
      </c>
      <c r="Z184" s="20">
        <v>0</v>
      </c>
      <c r="AA184" s="29">
        <v>4</v>
      </c>
    </row>
    <row r="185" spans="1:27" ht="14.25" customHeight="1">
      <c r="A185" s="171"/>
      <c r="B185" s="30">
        <v>22786</v>
      </c>
      <c r="C185" s="20" t="s">
        <v>262</v>
      </c>
      <c r="D185" s="20" t="s">
        <v>263</v>
      </c>
      <c r="E185" s="20" t="s">
        <v>449</v>
      </c>
      <c r="F185" s="20" t="s">
        <v>554</v>
      </c>
      <c r="G185" s="29" t="s">
        <v>970</v>
      </c>
      <c r="H185" s="20" t="s">
        <v>971</v>
      </c>
      <c r="I185" s="125" t="s">
        <v>972</v>
      </c>
      <c r="J185" s="29" t="b">
        <v>1</v>
      </c>
      <c r="K185" s="102">
        <v>1.9241435678800001E-5</v>
      </c>
      <c r="L185" s="56">
        <v>2.6132240752500001E-5</v>
      </c>
      <c r="M185" s="56">
        <v>0.97484340976907902</v>
      </c>
      <c r="N185" s="56">
        <v>0.64539377408916299</v>
      </c>
      <c r="O185" s="57">
        <v>0.985052883655956</v>
      </c>
      <c r="P185" s="56">
        <v>0.973866624173372</v>
      </c>
      <c r="Q185" s="56">
        <v>2.26716241951E-5</v>
      </c>
      <c r="R185" s="56">
        <v>0</v>
      </c>
      <c r="S185" s="56">
        <v>0</v>
      </c>
      <c r="T185" s="56">
        <v>7.5919191612000002E-6</v>
      </c>
      <c r="U185" s="56">
        <v>2.1872744373200001E-5</v>
      </c>
      <c r="V185" s="56">
        <v>0</v>
      </c>
      <c r="W185" s="56">
        <v>0</v>
      </c>
      <c r="X185" s="56">
        <v>1.767721407106E-4</v>
      </c>
      <c r="Y185" s="30">
        <v>3</v>
      </c>
      <c r="Z185" s="20">
        <v>0</v>
      </c>
      <c r="AA185" s="29">
        <v>4</v>
      </c>
    </row>
    <row r="186" spans="1:27" ht="14.25" customHeight="1">
      <c r="A186" s="171"/>
      <c r="B186" s="30">
        <v>22812</v>
      </c>
      <c r="C186" s="20" t="s">
        <v>262</v>
      </c>
      <c r="D186" s="20" t="s">
        <v>263</v>
      </c>
      <c r="E186" s="20" t="s">
        <v>490</v>
      </c>
      <c r="F186" s="20" t="s">
        <v>942</v>
      </c>
      <c r="G186" s="29" t="s">
        <v>973</v>
      </c>
      <c r="H186" s="20" t="s">
        <v>974</v>
      </c>
      <c r="I186" s="125" t="s">
        <v>975</v>
      </c>
      <c r="J186" s="29" t="b">
        <v>1</v>
      </c>
      <c r="K186" s="102">
        <v>5.34462385121E-5</v>
      </c>
      <c r="L186" s="56">
        <v>2.7458697542400001E-5</v>
      </c>
      <c r="M186" s="56">
        <v>2.4812595976400001E-5</v>
      </c>
      <c r="N186" s="56">
        <v>4.9239779443577001E-3</v>
      </c>
      <c r="O186" s="57">
        <v>2.3912876070499999E-4</v>
      </c>
      <c r="P186" s="56">
        <v>0</v>
      </c>
      <c r="Q186" s="56">
        <v>6.7891735312700002E-5</v>
      </c>
      <c r="R186" s="56">
        <v>2.6514297835100001E-5</v>
      </c>
      <c r="S186" s="56">
        <v>0</v>
      </c>
      <c r="T186" s="56">
        <v>0.96991957637948301</v>
      </c>
      <c r="U186" s="56">
        <v>1.0950024090050001E-4</v>
      </c>
      <c r="V186" s="56">
        <v>0</v>
      </c>
      <c r="W186" s="56">
        <v>2.820609251598E-4</v>
      </c>
      <c r="X186" s="56">
        <v>3.5341933203740002E-4</v>
      </c>
      <c r="Y186" s="30">
        <v>0</v>
      </c>
      <c r="Z186" s="20">
        <v>1</v>
      </c>
      <c r="AA186" s="29">
        <v>0</v>
      </c>
    </row>
    <row r="187" spans="1:27" ht="14.25" customHeight="1">
      <c r="A187" s="171"/>
      <c r="B187" s="30">
        <v>22813</v>
      </c>
      <c r="C187" s="20" t="s">
        <v>261</v>
      </c>
      <c r="D187" s="20" t="s">
        <v>452</v>
      </c>
      <c r="E187" s="20" t="s">
        <v>490</v>
      </c>
      <c r="F187" s="20" t="s">
        <v>539</v>
      </c>
      <c r="G187" s="29" t="s">
        <v>976</v>
      </c>
      <c r="H187" s="20" t="s">
        <v>977</v>
      </c>
      <c r="I187" s="125" t="s">
        <v>978</v>
      </c>
      <c r="J187" s="29" t="b">
        <v>1</v>
      </c>
      <c r="K187" s="102">
        <v>1.6367937881999999E-4</v>
      </c>
      <c r="L187" s="56">
        <v>2.0514961477236999E-3</v>
      </c>
      <c r="M187" s="56">
        <v>0.97310091630246598</v>
      </c>
      <c r="N187" s="56">
        <v>0.979422952688209</v>
      </c>
      <c r="O187" s="57">
        <v>0.98703464512858996</v>
      </c>
      <c r="P187" s="56">
        <v>0.98881874598758801</v>
      </c>
      <c r="Q187" s="56">
        <v>0.96058143527526596</v>
      </c>
      <c r="R187" s="56">
        <v>2.1211157068610001E-4</v>
      </c>
      <c r="S187" s="56">
        <v>1.0019036168719999E-4</v>
      </c>
      <c r="T187" s="56">
        <v>1.138079377242E-4</v>
      </c>
      <c r="U187" s="56">
        <v>8.7594437753199997E-5</v>
      </c>
      <c r="V187" s="56">
        <v>0</v>
      </c>
      <c r="W187" s="56">
        <v>0</v>
      </c>
      <c r="X187" s="56">
        <v>5.0512790286455202E-2</v>
      </c>
      <c r="Y187" s="30">
        <v>3</v>
      </c>
      <c r="Z187" s="20">
        <v>1</v>
      </c>
      <c r="AA187" s="29">
        <v>4</v>
      </c>
    </row>
    <row r="188" spans="1:27" ht="14.25" customHeight="1">
      <c r="A188" s="171"/>
      <c r="B188" s="30">
        <v>22882</v>
      </c>
      <c r="C188" s="20" t="s">
        <v>452</v>
      </c>
      <c r="D188" s="20" t="s">
        <v>261</v>
      </c>
      <c r="E188" s="20" t="s">
        <v>539</v>
      </c>
      <c r="F188" s="20" t="s">
        <v>490</v>
      </c>
      <c r="G188" s="29" t="s">
        <v>979</v>
      </c>
      <c r="H188" s="20" t="s">
        <v>980</v>
      </c>
      <c r="I188" s="125" t="s">
        <v>981</v>
      </c>
      <c r="J188" s="29" t="b">
        <v>1</v>
      </c>
      <c r="K188" s="102">
        <v>5.48167013839E-5</v>
      </c>
      <c r="L188" s="56">
        <v>7.8012591910700004E-5</v>
      </c>
      <c r="M188" s="56">
        <v>0.99441416387596004</v>
      </c>
      <c r="N188" s="56">
        <v>0.96235220390422505</v>
      </c>
      <c r="O188" s="57">
        <v>0.99624665743097396</v>
      </c>
      <c r="P188" s="56">
        <v>0.99926726506686203</v>
      </c>
      <c r="Q188" s="56">
        <v>1.43688483368E-4</v>
      </c>
      <c r="R188" s="56">
        <v>0</v>
      </c>
      <c r="S188" s="56">
        <v>0</v>
      </c>
      <c r="T188" s="56">
        <v>3.8208772734200003E-5</v>
      </c>
      <c r="U188" s="56">
        <v>0</v>
      </c>
      <c r="V188" s="56">
        <v>0</v>
      </c>
      <c r="W188" s="56">
        <v>2.0547305501074E-3</v>
      </c>
      <c r="X188" s="56">
        <v>0</v>
      </c>
      <c r="Y188" s="30">
        <v>3</v>
      </c>
      <c r="Z188" s="20">
        <v>0</v>
      </c>
      <c r="AA188" s="29">
        <v>4</v>
      </c>
    </row>
    <row r="189" spans="1:27" ht="14.25" customHeight="1">
      <c r="A189" s="171"/>
      <c r="B189" s="30">
        <v>22895</v>
      </c>
      <c r="C189" s="20" t="s">
        <v>261</v>
      </c>
      <c r="D189" s="20" t="s">
        <v>263</v>
      </c>
      <c r="E189" s="20" t="s">
        <v>480</v>
      </c>
      <c r="F189" s="20" t="s">
        <v>605</v>
      </c>
      <c r="G189" s="29" t="s">
        <v>982</v>
      </c>
      <c r="H189" s="20" t="s">
        <v>983</v>
      </c>
      <c r="I189" s="125" t="s">
        <v>984</v>
      </c>
      <c r="J189" s="29" t="b">
        <v>1</v>
      </c>
      <c r="K189" s="102">
        <v>8.4325848571014099E-7</v>
      </c>
      <c r="L189" s="56">
        <v>2.2614738703000002E-6</v>
      </c>
      <c r="M189" s="56">
        <v>0.99140268589184699</v>
      </c>
      <c r="N189" s="56">
        <v>3.8970552481300002E-5</v>
      </c>
      <c r="O189" s="57">
        <v>0.99584980077427199</v>
      </c>
      <c r="P189" s="56">
        <v>0.99887502289197605</v>
      </c>
      <c r="Q189" s="56">
        <v>0</v>
      </c>
      <c r="R189" s="56">
        <v>0</v>
      </c>
      <c r="S189" s="56">
        <v>0</v>
      </c>
      <c r="T189" s="56">
        <v>0</v>
      </c>
      <c r="U189" s="56">
        <v>2.2021096210100001E-5</v>
      </c>
      <c r="V189" s="56">
        <v>0</v>
      </c>
      <c r="W189" s="56">
        <v>0</v>
      </c>
      <c r="X189" s="56">
        <v>0</v>
      </c>
      <c r="Y189" s="30">
        <v>2</v>
      </c>
      <c r="Z189" s="20">
        <v>0</v>
      </c>
      <c r="AA189" s="29">
        <v>3</v>
      </c>
    </row>
    <row r="190" spans="1:27" ht="14.25" customHeight="1">
      <c r="A190" s="171"/>
      <c r="B190" s="30">
        <v>22896</v>
      </c>
      <c r="C190" s="20" t="s">
        <v>452</v>
      </c>
      <c r="D190" s="20" t="s">
        <v>263</v>
      </c>
      <c r="E190" s="20" t="s">
        <v>480</v>
      </c>
      <c r="F190" s="20" t="s">
        <v>461</v>
      </c>
      <c r="G190" s="29" t="s">
        <v>985</v>
      </c>
      <c r="H190" s="20" t="s">
        <v>986</v>
      </c>
      <c r="I190" s="125" t="s">
        <v>987</v>
      </c>
      <c r="J190" s="29" t="b">
        <v>1</v>
      </c>
      <c r="K190" s="102">
        <v>4.8138801901200003E-5</v>
      </c>
      <c r="L190" s="56">
        <v>6.5257482688000005E-5</v>
      </c>
      <c r="M190" s="56">
        <v>0.99454766564385</v>
      </c>
      <c r="N190" s="56">
        <v>1.3060341741493999E-3</v>
      </c>
      <c r="O190" s="57">
        <v>2.6870540265034998E-3</v>
      </c>
      <c r="P190" s="56">
        <v>0.99868883411129095</v>
      </c>
      <c r="Q190" s="56">
        <v>4.8386316349699997E-5</v>
      </c>
      <c r="R190" s="56">
        <v>1.34145359912E-5</v>
      </c>
      <c r="S190" s="56">
        <v>0</v>
      </c>
      <c r="T190" s="56">
        <v>3.8493517691600002E-5</v>
      </c>
      <c r="U190" s="56">
        <v>0</v>
      </c>
      <c r="V190" s="56">
        <v>1.0656720394298001E-3</v>
      </c>
      <c r="W190" s="56">
        <v>0</v>
      </c>
      <c r="X190" s="56">
        <v>0</v>
      </c>
      <c r="Y190" s="30">
        <v>1</v>
      </c>
      <c r="Z190" s="20">
        <v>0</v>
      </c>
      <c r="AA190" s="29">
        <v>2</v>
      </c>
    </row>
    <row r="191" spans="1:27" ht="14.25" customHeight="1">
      <c r="A191" s="171"/>
      <c r="B191" s="30">
        <v>22896</v>
      </c>
      <c r="C191" s="20" t="s">
        <v>452</v>
      </c>
      <c r="D191" s="20" t="s">
        <v>262</v>
      </c>
      <c r="E191" s="20" t="s">
        <v>480</v>
      </c>
      <c r="F191" s="20" t="s">
        <v>457</v>
      </c>
      <c r="G191" s="29" t="s">
        <v>988</v>
      </c>
      <c r="H191" s="20" t="s">
        <v>989</v>
      </c>
      <c r="I191" s="125" t="s">
        <v>990</v>
      </c>
      <c r="J191" s="29" t="b">
        <v>1</v>
      </c>
      <c r="K191" s="102">
        <v>0</v>
      </c>
      <c r="L191" s="56">
        <v>4.5317696311162098E-7</v>
      </c>
      <c r="M191" s="56">
        <v>9.9328592406399999E-5</v>
      </c>
      <c r="N191" s="56">
        <v>7.5829691450000003E-6</v>
      </c>
      <c r="O191" s="57">
        <v>0.99362283384301697</v>
      </c>
      <c r="P191" s="56">
        <v>3.6712644883829998E-4</v>
      </c>
      <c r="Q191" s="56">
        <v>0</v>
      </c>
      <c r="R191" s="56">
        <v>0</v>
      </c>
      <c r="S191" s="56">
        <v>0</v>
      </c>
      <c r="T191" s="56">
        <v>0</v>
      </c>
      <c r="U191" s="56">
        <v>0</v>
      </c>
      <c r="V191" s="56">
        <v>0</v>
      </c>
      <c r="W191" s="56">
        <v>0</v>
      </c>
      <c r="X191" s="56">
        <v>0</v>
      </c>
      <c r="Y191" s="30">
        <v>1</v>
      </c>
      <c r="Z191" s="20">
        <v>0</v>
      </c>
      <c r="AA191" s="29">
        <v>1</v>
      </c>
    </row>
    <row r="192" spans="1:27" ht="14.25" customHeight="1">
      <c r="A192" s="171"/>
      <c r="B192" s="30">
        <v>22898</v>
      </c>
      <c r="C192" s="20" t="s">
        <v>261</v>
      </c>
      <c r="D192" s="20" t="s">
        <v>262</v>
      </c>
      <c r="E192" s="20" t="s">
        <v>518</v>
      </c>
      <c r="F192" s="20" t="s">
        <v>453</v>
      </c>
      <c r="G192" s="29" t="s">
        <v>991</v>
      </c>
      <c r="H192" s="20" t="s">
        <v>992</v>
      </c>
      <c r="I192" s="125" t="s">
        <v>993</v>
      </c>
      <c r="J192" s="29" t="b">
        <v>1</v>
      </c>
      <c r="K192" s="102">
        <v>5.1710647561400001E-5</v>
      </c>
      <c r="L192" s="56">
        <v>2.7567226389019997E-4</v>
      </c>
      <c r="M192" s="56">
        <v>0.995532330339709</v>
      </c>
      <c r="N192" s="56">
        <v>0.32651475125810397</v>
      </c>
      <c r="O192" s="57">
        <v>0.99660570795234105</v>
      </c>
      <c r="P192" s="56">
        <v>0.99942322313399501</v>
      </c>
      <c r="Q192" s="56">
        <v>4.9562609967000002E-5</v>
      </c>
      <c r="R192" s="56">
        <v>6.7361840864300004E-5</v>
      </c>
      <c r="S192" s="56">
        <v>0</v>
      </c>
      <c r="T192" s="56">
        <v>5.4647368338799999E-5</v>
      </c>
      <c r="U192" s="56">
        <v>4.0000888908640003E-4</v>
      </c>
      <c r="V192" s="56">
        <v>0</v>
      </c>
      <c r="W192" s="56">
        <v>5.5422131904670001E-4</v>
      </c>
      <c r="X192" s="56">
        <v>6.1046334167600002E-5</v>
      </c>
      <c r="Y192" s="30">
        <v>3</v>
      </c>
      <c r="Z192" s="20">
        <v>0</v>
      </c>
      <c r="AA192" s="29">
        <v>4</v>
      </c>
    </row>
    <row r="193" spans="1:27" ht="14.25" customHeight="1">
      <c r="A193" s="171"/>
      <c r="B193" s="30">
        <v>22910</v>
      </c>
      <c r="C193" s="20" t="s">
        <v>262</v>
      </c>
      <c r="D193" s="20" t="s">
        <v>261</v>
      </c>
      <c r="E193" s="20" t="s">
        <v>539</v>
      </c>
      <c r="F193" s="20" t="s">
        <v>457</v>
      </c>
      <c r="G193" s="29" t="s">
        <v>994</v>
      </c>
      <c r="H193" s="20" t="s">
        <v>995</v>
      </c>
      <c r="I193" s="125" t="s">
        <v>996</v>
      </c>
      <c r="J193" s="29" t="b">
        <v>1</v>
      </c>
      <c r="K193" s="102">
        <v>1.5278786932200001E-5</v>
      </c>
      <c r="L193" s="56">
        <v>1.8657111191999999E-5</v>
      </c>
      <c r="M193" s="56">
        <v>6.3531061680479999E-4</v>
      </c>
      <c r="N193" s="56">
        <v>2.2527203243042E-3</v>
      </c>
      <c r="O193" s="57">
        <v>0.99540444914392601</v>
      </c>
      <c r="P193" s="56">
        <v>1.2789392634353E-3</v>
      </c>
      <c r="Q193" s="56">
        <v>2.256940090779E-4</v>
      </c>
      <c r="R193" s="56">
        <v>0</v>
      </c>
      <c r="S193" s="56">
        <v>0</v>
      </c>
      <c r="T193" s="56">
        <v>1.5555607407499999E-5</v>
      </c>
      <c r="U193" s="56">
        <v>2.2244466688900001E-5</v>
      </c>
      <c r="V193" s="56">
        <v>0</v>
      </c>
      <c r="W193" s="56">
        <v>0</v>
      </c>
      <c r="X193" s="56">
        <v>1.2212248885630001E-4</v>
      </c>
      <c r="Y193" s="30">
        <v>1</v>
      </c>
      <c r="Z193" s="20">
        <v>0</v>
      </c>
      <c r="AA193" s="29">
        <v>1</v>
      </c>
    </row>
    <row r="194" spans="1:27" ht="14.25" customHeight="1">
      <c r="A194" s="171"/>
      <c r="B194" s="30">
        <v>22916</v>
      </c>
      <c r="C194" s="20" t="s">
        <v>263</v>
      </c>
      <c r="D194" s="20" t="s">
        <v>452</v>
      </c>
      <c r="E194" s="20" t="s">
        <v>487</v>
      </c>
      <c r="F194" s="20" t="s">
        <v>486</v>
      </c>
      <c r="G194" s="29" t="s">
        <v>997</v>
      </c>
      <c r="H194" s="20" t="s">
        <v>998</v>
      </c>
      <c r="I194" s="125" t="s">
        <v>999</v>
      </c>
      <c r="J194" s="29" t="b">
        <v>0</v>
      </c>
      <c r="K194" s="102">
        <v>1.3153651623410001E-4</v>
      </c>
      <c r="L194" s="56">
        <v>4.5363321452200002E-5</v>
      </c>
      <c r="M194" s="56">
        <v>4.6306040833499998E-4</v>
      </c>
      <c r="N194" s="56">
        <v>4.9671402535399997E-5</v>
      </c>
      <c r="O194" s="57">
        <v>0.99424459844754998</v>
      </c>
      <c r="P194" s="56">
        <v>2.3483365949109999E-4</v>
      </c>
      <c r="Q194" s="56">
        <v>1.753814546638E-4</v>
      </c>
      <c r="R194" s="56">
        <v>1.3496551630999999E-5</v>
      </c>
      <c r="S194" s="56">
        <v>2.0416496529189999E-4</v>
      </c>
      <c r="T194" s="56">
        <v>1.5549560336099998E-5</v>
      </c>
      <c r="U194" s="56">
        <v>4.4511706578800001E-5</v>
      </c>
      <c r="V194" s="56">
        <v>0</v>
      </c>
      <c r="W194" s="56">
        <v>0</v>
      </c>
      <c r="X194" s="56">
        <v>4.2810837257660001E-4</v>
      </c>
      <c r="Y194" s="30">
        <v>1</v>
      </c>
      <c r="Z194" s="20">
        <v>0</v>
      </c>
      <c r="AA194" s="29">
        <v>1</v>
      </c>
    </row>
    <row r="195" spans="1:27" ht="14.25" customHeight="1">
      <c r="A195" s="171"/>
      <c r="B195" s="30">
        <v>22917</v>
      </c>
      <c r="C195" s="20" t="s">
        <v>452</v>
      </c>
      <c r="D195" s="20" t="s">
        <v>261</v>
      </c>
      <c r="E195" s="20" t="s">
        <v>487</v>
      </c>
      <c r="F195" s="20" t="s">
        <v>834</v>
      </c>
      <c r="G195" s="29" t="s">
        <v>1000</v>
      </c>
      <c r="H195" s="20" t="s">
        <v>1001</v>
      </c>
      <c r="I195" s="125" t="s">
        <v>1002</v>
      </c>
      <c r="J195" s="29" t="b">
        <v>1</v>
      </c>
      <c r="K195" s="102">
        <v>5.3560045394469998E-4</v>
      </c>
      <c r="L195" s="56">
        <v>0.996729641889748</v>
      </c>
      <c r="M195" s="56">
        <v>4.4761107337130002E-4</v>
      </c>
      <c r="N195" s="56">
        <v>0.29381993877371498</v>
      </c>
      <c r="O195" s="57">
        <v>0.99366624577410201</v>
      </c>
      <c r="P195" s="56">
        <v>2.8726626971690002E-4</v>
      </c>
      <c r="Q195" s="56">
        <v>2.2329268904610999E-3</v>
      </c>
      <c r="R195" s="56">
        <v>0.99672614618704203</v>
      </c>
      <c r="S195" s="56">
        <v>6.1261997141100004E-4</v>
      </c>
      <c r="T195" s="56">
        <v>6.1455643028279999E-4</v>
      </c>
      <c r="U195" s="56">
        <v>6.4533357069740003E-4</v>
      </c>
      <c r="V195" s="56">
        <v>0.997810918046244</v>
      </c>
      <c r="W195" s="56">
        <v>9.5685455810709996E-4</v>
      </c>
      <c r="X195" s="56">
        <v>1.7742428877332E-3</v>
      </c>
      <c r="Y195" s="30">
        <v>2</v>
      </c>
      <c r="Z195" s="20">
        <v>2</v>
      </c>
      <c r="AA195" s="29">
        <v>1</v>
      </c>
    </row>
    <row r="196" spans="1:27" ht="14.25" customHeight="1">
      <c r="A196" s="171"/>
      <c r="B196" s="30">
        <v>22917</v>
      </c>
      <c r="C196" s="20" t="s">
        <v>452</v>
      </c>
      <c r="D196" s="20" t="s">
        <v>262</v>
      </c>
      <c r="E196" s="20" t="s">
        <v>487</v>
      </c>
      <c r="F196" s="20" t="s">
        <v>833</v>
      </c>
      <c r="G196" s="29" t="s">
        <v>1003</v>
      </c>
      <c r="H196" s="20" t="s">
        <v>1004</v>
      </c>
      <c r="I196" s="125" t="s">
        <v>1005</v>
      </c>
      <c r="J196" s="29" t="b">
        <v>1</v>
      </c>
      <c r="K196" s="102">
        <v>3.22548609348E-5</v>
      </c>
      <c r="L196" s="56">
        <v>1.4012890948259999E-4</v>
      </c>
      <c r="M196" s="56">
        <v>1.579803788369E-4</v>
      </c>
      <c r="N196" s="56">
        <v>4.8776163075117798E-2</v>
      </c>
      <c r="O196" s="57">
        <v>0</v>
      </c>
      <c r="P196" s="56">
        <v>7.8345346286399996E-5</v>
      </c>
      <c r="Q196" s="56">
        <v>0</v>
      </c>
      <c r="R196" s="56">
        <v>9.4698250788000007E-5</v>
      </c>
      <c r="S196" s="56">
        <v>0</v>
      </c>
      <c r="T196" s="56">
        <v>7.0790677412320001E-4</v>
      </c>
      <c r="U196" s="56">
        <v>0</v>
      </c>
      <c r="V196" s="56">
        <v>2.7363524421940001E-4</v>
      </c>
      <c r="W196" s="56">
        <v>0.99538970076548305</v>
      </c>
      <c r="X196" s="56">
        <v>0</v>
      </c>
      <c r="Y196" s="30">
        <v>0</v>
      </c>
      <c r="Z196" s="20">
        <v>1</v>
      </c>
      <c r="AA196" s="29">
        <v>0</v>
      </c>
    </row>
    <row r="197" spans="1:27" ht="14.25" customHeight="1">
      <c r="A197" s="171"/>
      <c r="B197" s="30">
        <v>22926</v>
      </c>
      <c r="C197" s="20" t="s">
        <v>452</v>
      </c>
      <c r="D197" s="20" t="s">
        <v>263</v>
      </c>
      <c r="E197" s="20" t="s">
        <v>486</v>
      </c>
      <c r="F197" s="20" t="s">
        <v>583</v>
      </c>
      <c r="G197" s="29" t="s">
        <v>1006</v>
      </c>
      <c r="H197" s="20" t="s">
        <v>1007</v>
      </c>
      <c r="I197" s="125" t="s">
        <v>1008</v>
      </c>
      <c r="J197" s="29" t="b">
        <v>1</v>
      </c>
      <c r="K197" s="102">
        <v>9.3334634361000003E-6</v>
      </c>
      <c r="L197" s="56">
        <v>3.8694220289000001E-6</v>
      </c>
      <c r="M197" s="56">
        <v>4.2173517666699997E-5</v>
      </c>
      <c r="N197" s="56">
        <v>1.803490159331E-4</v>
      </c>
      <c r="O197" s="57">
        <v>0.91043337259394297</v>
      </c>
      <c r="P197" s="56">
        <v>5.23944252331E-5</v>
      </c>
      <c r="Q197" s="56">
        <v>0</v>
      </c>
      <c r="R197" s="56">
        <v>0</v>
      </c>
      <c r="S197" s="56">
        <v>0</v>
      </c>
      <c r="T197" s="56">
        <v>0</v>
      </c>
      <c r="U197" s="56">
        <v>2.2240508862800002E-5</v>
      </c>
      <c r="V197" s="56">
        <v>0</v>
      </c>
      <c r="W197" s="56">
        <v>0</v>
      </c>
      <c r="X197" s="56">
        <v>0</v>
      </c>
      <c r="Y197" s="30">
        <v>1</v>
      </c>
      <c r="Z197" s="20">
        <v>0</v>
      </c>
      <c r="AA197" s="29">
        <v>1</v>
      </c>
    </row>
    <row r="198" spans="1:27" ht="14.25" customHeight="1">
      <c r="A198" s="171"/>
      <c r="B198" s="30">
        <v>22927</v>
      </c>
      <c r="C198" s="20" t="s">
        <v>261</v>
      </c>
      <c r="D198" s="20" t="s">
        <v>452</v>
      </c>
      <c r="E198" s="20" t="s">
        <v>486</v>
      </c>
      <c r="F198" s="20" t="s">
        <v>473</v>
      </c>
      <c r="G198" s="29" t="s">
        <v>1009</v>
      </c>
      <c r="H198" s="20" t="s">
        <v>1010</v>
      </c>
      <c r="I198" s="125" t="s">
        <v>1011</v>
      </c>
      <c r="J198" s="29" t="b">
        <v>1</v>
      </c>
      <c r="K198" s="102">
        <v>7.0839915365380004E-4</v>
      </c>
      <c r="L198" s="56">
        <v>4.1249263406009998E-4</v>
      </c>
      <c r="M198" s="56">
        <v>8.5273137840433E-2</v>
      </c>
      <c r="N198" s="56">
        <v>1.4505802144379999E-4</v>
      </c>
      <c r="O198" s="57">
        <v>7.3963902399800004E-4</v>
      </c>
      <c r="P198" s="56">
        <v>0.99773839931885899</v>
      </c>
      <c r="Q198" s="56">
        <v>2.0016012810240001E-4</v>
      </c>
      <c r="R198" s="56">
        <v>8.7637692297320004E-4</v>
      </c>
      <c r="S198" s="56">
        <v>0</v>
      </c>
      <c r="T198" s="56">
        <v>1.087741925458E-4</v>
      </c>
      <c r="U198" s="56">
        <v>1.1120254431420001E-4</v>
      </c>
      <c r="V198" s="56">
        <v>0</v>
      </c>
      <c r="W198" s="56">
        <v>0</v>
      </c>
      <c r="X198" s="56">
        <v>3.0538080986989999E-4</v>
      </c>
      <c r="Y198" s="30">
        <v>0</v>
      </c>
      <c r="Z198" s="20">
        <v>0</v>
      </c>
      <c r="AA198" s="29">
        <v>1</v>
      </c>
    </row>
    <row r="199" spans="1:27" ht="14.25" customHeight="1">
      <c r="A199" s="171"/>
      <c r="B199" s="30">
        <v>22930</v>
      </c>
      <c r="C199" s="20" t="s">
        <v>452</v>
      </c>
      <c r="D199" s="20" t="s">
        <v>262</v>
      </c>
      <c r="E199" s="20" t="s">
        <v>473</v>
      </c>
      <c r="F199" s="20" t="s">
        <v>523</v>
      </c>
      <c r="G199" s="29" t="s">
        <v>1012</v>
      </c>
      <c r="H199" s="20" t="s">
        <v>1013</v>
      </c>
      <c r="I199" s="125" t="s">
        <v>1014</v>
      </c>
      <c r="J199" s="29" t="b">
        <v>1</v>
      </c>
      <c r="K199" s="102">
        <v>8.4842396763771598E-7</v>
      </c>
      <c r="L199" s="56">
        <v>3.8681709149000003E-6</v>
      </c>
      <c r="M199" s="56">
        <v>1.8010558459160999E-3</v>
      </c>
      <c r="N199" s="56">
        <v>2.8256180421E-6</v>
      </c>
      <c r="O199" s="57">
        <v>2.5803339965032E-3</v>
      </c>
      <c r="P199" s="56">
        <v>0.997975978055341</v>
      </c>
      <c r="Q199" s="56">
        <v>0</v>
      </c>
      <c r="R199" s="56">
        <v>0</v>
      </c>
      <c r="S199" s="56">
        <v>0</v>
      </c>
      <c r="T199" s="56">
        <v>0</v>
      </c>
      <c r="U199" s="56">
        <v>0</v>
      </c>
      <c r="V199" s="56">
        <v>0</v>
      </c>
      <c r="W199" s="56">
        <v>0</v>
      </c>
      <c r="X199" s="56">
        <v>0</v>
      </c>
      <c r="Y199" s="30">
        <v>0</v>
      </c>
      <c r="Z199" s="20">
        <v>0</v>
      </c>
      <c r="AA199" s="29">
        <v>1</v>
      </c>
    </row>
    <row r="200" spans="1:27" ht="14.25" customHeight="1">
      <c r="A200" s="171"/>
      <c r="B200" s="30">
        <v>22942</v>
      </c>
      <c r="C200" s="20" t="s">
        <v>452</v>
      </c>
      <c r="D200" s="20" t="s">
        <v>261</v>
      </c>
      <c r="E200" s="20" t="s">
        <v>539</v>
      </c>
      <c r="F200" s="20" t="s">
        <v>490</v>
      </c>
      <c r="G200" s="29" t="s">
        <v>1015</v>
      </c>
      <c r="H200" s="20" t="s">
        <v>1016</v>
      </c>
      <c r="I200" s="125" t="s">
        <v>1017</v>
      </c>
      <c r="J200" s="29" t="b">
        <v>1</v>
      </c>
      <c r="K200" s="102">
        <v>1.6111716949299999E-5</v>
      </c>
      <c r="L200" s="56">
        <v>5.2306143765000002E-6</v>
      </c>
      <c r="M200" s="56">
        <v>0.99457201070798995</v>
      </c>
      <c r="N200" s="56">
        <v>5.4222025034847002E-3</v>
      </c>
      <c r="O200" s="57">
        <v>7.6943529089479996E-4</v>
      </c>
      <c r="P200" s="56">
        <v>0.998690242305173</v>
      </c>
      <c r="Q200" s="56">
        <v>4.9825610363700003E-5</v>
      </c>
      <c r="R200" s="56">
        <v>1.3475817645200001E-5</v>
      </c>
      <c r="S200" s="56">
        <v>0</v>
      </c>
      <c r="T200" s="56">
        <v>7.7565077099000006E-6</v>
      </c>
      <c r="U200" s="56">
        <v>2.22276556491E-5</v>
      </c>
      <c r="V200" s="56">
        <v>0</v>
      </c>
      <c r="W200" s="56">
        <v>0</v>
      </c>
      <c r="X200" s="56">
        <v>0</v>
      </c>
      <c r="Y200" s="30">
        <v>1</v>
      </c>
      <c r="Z200" s="20">
        <v>0</v>
      </c>
      <c r="AA200" s="29">
        <v>2</v>
      </c>
    </row>
    <row r="201" spans="1:27" ht="14.25" customHeight="1">
      <c r="A201" s="171"/>
      <c r="B201" s="30">
        <v>22942</v>
      </c>
      <c r="C201" s="20" t="s">
        <v>452</v>
      </c>
      <c r="D201" s="20" t="s">
        <v>262</v>
      </c>
      <c r="E201" s="20" t="s">
        <v>539</v>
      </c>
      <c r="F201" s="20" t="s">
        <v>448</v>
      </c>
      <c r="G201" s="29" t="s">
        <v>1018</v>
      </c>
      <c r="H201" s="20" t="s">
        <v>1016</v>
      </c>
      <c r="I201" s="125" t="s">
        <v>1017</v>
      </c>
      <c r="J201" s="29" t="b">
        <v>1</v>
      </c>
      <c r="K201" s="102">
        <v>8.4798510259771698E-7</v>
      </c>
      <c r="L201" s="56">
        <v>3.4112702455999998E-6</v>
      </c>
      <c r="M201" s="56">
        <v>2.5897904119610003E-4</v>
      </c>
      <c r="N201" s="56">
        <v>4.2761977238835996E-3</v>
      </c>
      <c r="O201" s="57">
        <v>0.99362295253671895</v>
      </c>
      <c r="P201" s="56">
        <v>5.500982318271E-4</v>
      </c>
      <c r="Q201" s="56">
        <v>0</v>
      </c>
      <c r="R201" s="56">
        <v>0</v>
      </c>
      <c r="S201" s="56">
        <v>0</v>
      </c>
      <c r="T201" s="56">
        <v>0</v>
      </c>
      <c r="U201" s="56">
        <v>0</v>
      </c>
      <c r="V201" s="56">
        <v>0</v>
      </c>
      <c r="W201" s="56">
        <v>0</v>
      </c>
      <c r="X201" s="56">
        <v>0</v>
      </c>
      <c r="Y201" s="30">
        <v>1</v>
      </c>
      <c r="Z201" s="20">
        <v>0</v>
      </c>
      <c r="AA201" s="29">
        <v>1</v>
      </c>
    </row>
    <row r="202" spans="1:27" ht="14.25" customHeight="1">
      <c r="A202" s="171"/>
      <c r="B202" s="30">
        <v>22992</v>
      </c>
      <c r="C202" s="20" t="s">
        <v>261</v>
      </c>
      <c r="D202" s="20" t="s">
        <v>262</v>
      </c>
      <c r="E202" s="20" t="s">
        <v>554</v>
      </c>
      <c r="F202" s="20" t="s">
        <v>588</v>
      </c>
      <c r="G202" s="29" t="s">
        <v>1019</v>
      </c>
      <c r="H202" s="20" t="s">
        <v>1020</v>
      </c>
      <c r="I202" s="125" t="s">
        <v>1021</v>
      </c>
      <c r="J202" s="29" t="b">
        <v>1</v>
      </c>
      <c r="K202" s="102">
        <v>1.162410857087E-4</v>
      </c>
      <c r="L202" s="56">
        <v>4.9930742694779997E-4</v>
      </c>
      <c r="M202" s="56">
        <v>0.98908193957951496</v>
      </c>
      <c r="N202" s="56">
        <v>0.99252495407672303</v>
      </c>
      <c r="O202" s="57">
        <v>0.99375935199409404</v>
      </c>
      <c r="P202" s="56">
        <v>0.997593445980542</v>
      </c>
      <c r="Q202" s="56">
        <v>4.723665564478E-4</v>
      </c>
      <c r="R202" s="56">
        <v>8.1024145195199995E-5</v>
      </c>
      <c r="S202" s="56">
        <v>3.0590394616090001E-4</v>
      </c>
      <c r="T202" s="56">
        <v>2.7199465336220002E-4</v>
      </c>
      <c r="U202" s="56">
        <v>0.38405909970850599</v>
      </c>
      <c r="V202" s="56">
        <v>2.7056277056269998E-4</v>
      </c>
      <c r="W202" s="56">
        <v>2.6012312494580001E-3</v>
      </c>
      <c r="X202" s="56">
        <v>6.0705396709699998E-5</v>
      </c>
      <c r="Y202" s="30">
        <v>3</v>
      </c>
      <c r="Z202" s="20">
        <v>1</v>
      </c>
      <c r="AA202" s="29">
        <v>4</v>
      </c>
    </row>
    <row r="203" spans="1:27" ht="14.25" customHeight="1">
      <c r="A203" s="171"/>
      <c r="B203" s="30">
        <v>22995</v>
      </c>
      <c r="C203" s="20" t="s">
        <v>263</v>
      </c>
      <c r="D203" s="20" t="s">
        <v>262</v>
      </c>
      <c r="E203" s="20" t="s">
        <v>493</v>
      </c>
      <c r="F203" s="20" t="s">
        <v>448</v>
      </c>
      <c r="G203" s="29" t="s">
        <v>1022</v>
      </c>
      <c r="H203" s="20" t="s">
        <v>1023</v>
      </c>
      <c r="I203" s="125" t="s">
        <v>1024</v>
      </c>
      <c r="J203" s="29" t="b">
        <v>1</v>
      </c>
      <c r="K203" s="102">
        <v>1.96064950971E-4</v>
      </c>
      <c r="L203" s="56">
        <v>0.99756969637694803</v>
      </c>
      <c r="M203" s="56">
        <v>0.96640606038698396</v>
      </c>
      <c r="N203" s="56">
        <v>0.99430396220317596</v>
      </c>
      <c r="O203" s="57">
        <v>0.99287922234558301</v>
      </c>
      <c r="P203" s="56">
        <v>0.99025840853158298</v>
      </c>
      <c r="Q203" s="56">
        <v>2.1184856566059001E-3</v>
      </c>
      <c r="R203" s="56">
        <v>4.0556982560489998E-4</v>
      </c>
      <c r="S203" s="56">
        <v>7.1428571428569997E-4</v>
      </c>
      <c r="T203" s="56">
        <v>5.9096599612760005E-4</v>
      </c>
      <c r="U203" s="56">
        <v>8.8964014056299999E-5</v>
      </c>
      <c r="V203" s="56">
        <v>3.4018233773302001E-3</v>
      </c>
      <c r="W203" s="56">
        <v>5.2029136316329998E-4</v>
      </c>
      <c r="X203" s="56">
        <v>1.1531925224568999E-3</v>
      </c>
      <c r="Y203" s="30">
        <v>4</v>
      </c>
      <c r="Z203" s="20">
        <v>0</v>
      </c>
      <c r="AA203" s="29">
        <v>4</v>
      </c>
    </row>
    <row r="204" spans="1:27" ht="14.25" customHeight="1">
      <c r="A204" s="171"/>
      <c r="B204" s="30">
        <v>23005</v>
      </c>
      <c r="C204" s="20" t="s">
        <v>452</v>
      </c>
      <c r="D204" s="20" t="s">
        <v>262</v>
      </c>
      <c r="E204" s="20" t="s">
        <v>539</v>
      </c>
      <c r="F204" s="20" t="s">
        <v>448</v>
      </c>
      <c r="G204" s="29" t="s">
        <v>1025</v>
      </c>
      <c r="H204" s="20" t="s">
        <v>1026</v>
      </c>
      <c r="I204" s="125" t="s">
        <v>1027</v>
      </c>
      <c r="J204" s="29" t="b">
        <v>1</v>
      </c>
      <c r="K204" s="102">
        <v>1.61256510731E-5</v>
      </c>
      <c r="L204" s="56">
        <v>4.04668694556E-5</v>
      </c>
      <c r="M204" s="56">
        <v>8.4296445928190003E-4</v>
      </c>
      <c r="N204" s="56">
        <v>3.1503838136800001E-5</v>
      </c>
      <c r="O204" s="57">
        <v>0.99411439613058805</v>
      </c>
      <c r="P204" s="56">
        <v>2.549784543206E-3</v>
      </c>
      <c r="Q204" s="56">
        <v>0</v>
      </c>
      <c r="R204" s="56">
        <v>0</v>
      </c>
      <c r="S204" s="56">
        <v>0</v>
      </c>
      <c r="T204" s="56">
        <v>7.7583130324E-6</v>
      </c>
      <c r="U204" s="56">
        <v>0</v>
      </c>
      <c r="V204" s="56">
        <v>0</v>
      </c>
      <c r="W204" s="56">
        <v>0</v>
      </c>
      <c r="X204" s="56">
        <v>1.211020284589E-4</v>
      </c>
      <c r="Y204" s="30">
        <v>1</v>
      </c>
      <c r="Z204" s="20">
        <v>0</v>
      </c>
      <c r="AA204" s="29">
        <v>1</v>
      </c>
    </row>
    <row r="205" spans="1:27" ht="14.25" customHeight="1">
      <c r="A205" s="171"/>
      <c r="B205" s="30">
        <v>23012</v>
      </c>
      <c r="C205" s="20" t="s">
        <v>261</v>
      </c>
      <c r="D205" s="20" t="s">
        <v>263</v>
      </c>
      <c r="E205" s="20" t="s">
        <v>675</v>
      </c>
      <c r="F205" s="20" t="s">
        <v>547</v>
      </c>
      <c r="G205" s="29" t="s">
        <v>1028</v>
      </c>
      <c r="H205" s="20" t="s">
        <v>1029</v>
      </c>
      <c r="I205" s="125" t="s">
        <v>1030</v>
      </c>
      <c r="J205" s="29" t="b">
        <v>1</v>
      </c>
      <c r="K205" s="102">
        <v>3.7615947123690002E-4</v>
      </c>
      <c r="L205" s="56">
        <v>3.4295934076501999E-3</v>
      </c>
      <c r="M205" s="56">
        <v>5.1386009131000003E-6</v>
      </c>
      <c r="N205" s="56">
        <v>5.6612859109499997E-5</v>
      </c>
      <c r="O205" s="57">
        <v>4.0609466877999998E-6</v>
      </c>
      <c r="P205" s="56">
        <v>0</v>
      </c>
      <c r="Q205" s="56">
        <v>0</v>
      </c>
      <c r="R205" s="56">
        <v>2.8382981023940002E-4</v>
      </c>
      <c r="S205" s="56">
        <v>0</v>
      </c>
      <c r="T205" s="56">
        <v>0</v>
      </c>
      <c r="U205" s="56">
        <v>1.5583606046430001E-4</v>
      </c>
      <c r="V205" s="56">
        <v>0.994541484716157</v>
      </c>
      <c r="W205" s="56">
        <v>0</v>
      </c>
      <c r="X205" s="56">
        <v>0</v>
      </c>
      <c r="Y205" s="30">
        <v>0</v>
      </c>
      <c r="Z205" s="20">
        <v>1</v>
      </c>
      <c r="AA205" s="29">
        <v>0</v>
      </c>
    </row>
    <row r="206" spans="1:27" ht="14.25" customHeight="1">
      <c r="A206" s="171"/>
      <c r="B206" s="30">
        <v>23012</v>
      </c>
      <c r="C206" s="20" t="s">
        <v>261</v>
      </c>
      <c r="D206" s="20" t="s">
        <v>262</v>
      </c>
      <c r="E206" s="20" t="s">
        <v>675</v>
      </c>
      <c r="F206" s="20" t="s">
        <v>448</v>
      </c>
      <c r="G206" s="29" t="s">
        <v>1031</v>
      </c>
      <c r="H206" s="20" t="s">
        <v>1032</v>
      </c>
      <c r="I206" s="125" t="s">
        <v>1033</v>
      </c>
      <c r="J206" s="29" t="b">
        <v>1</v>
      </c>
      <c r="K206" s="102">
        <v>3.9764216790127999E-3</v>
      </c>
      <c r="L206" s="56">
        <v>5.3340136133299995E-4</v>
      </c>
      <c r="M206" s="56">
        <v>1.6443522922010001E-4</v>
      </c>
      <c r="N206" s="56">
        <v>4.650341998281E-4</v>
      </c>
      <c r="O206" s="57">
        <v>0.96677333419966804</v>
      </c>
      <c r="P206" s="56">
        <v>5.08181725785E-5</v>
      </c>
      <c r="Q206" s="56">
        <v>0.97916038210155798</v>
      </c>
      <c r="R206" s="56">
        <v>2.432826944909E-4</v>
      </c>
      <c r="S206" s="56">
        <v>0.99336328364304605</v>
      </c>
      <c r="T206" s="56">
        <v>0.99142365731985405</v>
      </c>
      <c r="U206" s="56">
        <v>0.56096529308310505</v>
      </c>
      <c r="V206" s="56">
        <v>1.3646288209600001E-4</v>
      </c>
      <c r="W206" s="56">
        <v>1.6475893166840001E-3</v>
      </c>
      <c r="X206" s="56">
        <v>0.99116930572472595</v>
      </c>
      <c r="Y206" s="30">
        <v>1</v>
      </c>
      <c r="Z206" s="20">
        <v>5</v>
      </c>
      <c r="AA206" s="29">
        <v>1</v>
      </c>
    </row>
    <row r="207" spans="1:27" ht="14.25" customHeight="1">
      <c r="A207" s="171"/>
      <c r="B207" s="30">
        <v>23013</v>
      </c>
      <c r="C207" s="20" t="s">
        <v>262</v>
      </c>
      <c r="D207" s="20" t="s">
        <v>263</v>
      </c>
      <c r="E207" s="20" t="s">
        <v>675</v>
      </c>
      <c r="F207" s="20" t="s">
        <v>508</v>
      </c>
      <c r="G207" s="29" t="s">
        <v>1034</v>
      </c>
      <c r="H207" s="20" t="s">
        <v>1035</v>
      </c>
      <c r="I207" s="125" t="s">
        <v>1036</v>
      </c>
      <c r="J207" s="29" t="b">
        <v>1</v>
      </c>
      <c r="K207" s="102">
        <v>3.5651804108599999E-5</v>
      </c>
      <c r="L207" s="56">
        <v>1.0066246724434E-3</v>
      </c>
      <c r="M207" s="56">
        <v>0.99316144893259395</v>
      </c>
      <c r="N207" s="56">
        <v>0.99245860491478</v>
      </c>
      <c r="O207" s="57">
        <v>2.1477333742425E-3</v>
      </c>
      <c r="P207" s="56">
        <v>0.99798505368939205</v>
      </c>
      <c r="Q207" s="56">
        <v>0</v>
      </c>
      <c r="R207" s="56">
        <v>1.3514061380800001E-5</v>
      </c>
      <c r="S207" s="56">
        <v>0</v>
      </c>
      <c r="T207" s="56">
        <v>2.3306039371600002E-5</v>
      </c>
      <c r="U207" s="56">
        <v>8.8965992749199998E-5</v>
      </c>
      <c r="V207" s="56">
        <v>0</v>
      </c>
      <c r="W207" s="56">
        <v>0</v>
      </c>
      <c r="X207" s="56">
        <v>0</v>
      </c>
      <c r="Y207" s="30">
        <v>2</v>
      </c>
      <c r="Z207" s="20">
        <v>0</v>
      </c>
      <c r="AA207" s="29">
        <v>3</v>
      </c>
    </row>
    <row r="208" spans="1:27" ht="14.25" customHeight="1">
      <c r="A208" s="171"/>
      <c r="B208" s="30">
        <v>23018</v>
      </c>
      <c r="C208" s="20" t="s">
        <v>452</v>
      </c>
      <c r="D208" s="20" t="s">
        <v>263</v>
      </c>
      <c r="E208" s="20" t="s">
        <v>473</v>
      </c>
      <c r="F208" s="20" t="s">
        <v>605</v>
      </c>
      <c r="G208" s="29" t="s">
        <v>1037</v>
      </c>
      <c r="H208" s="20" t="s">
        <v>1038</v>
      </c>
      <c r="I208" s="125" t="s">
        <v>1039</v>
      </c>
      <c r="J208" s="29" t="b">
        <v>1</v>
      </c>
      <c r="K208" s="102">
        <v>1.35834499246E-5</v>
      </c>
      <c r="L208" s="56">
        <v>6.3577236805999997E-6</v>
      </c>
      <c r="M208" s="56">
        <v>0.991872745672989</v>
      </c>
      <c r="N208" s="56">
        <v>4.6989946735E-5</v>
      </c>
      <c r="O208" s="57">
        <v>0.99558863078967097</v>
      </c>
      <c r="P208" s="56">
        <v>0.99719873688499505</v>
      </c>
      <c r="Q208" s="56">
        <v>2.4853982850700001E-5</v>
      </c>
      <c r="R208" s="56">
        <v>0</v>
      </c>
      <c r="S208" s="56">
        <v>0</v>
      </c>
      <c r="T208" s="56">
        <v>7.7607214365999995E-6</v>
      </c>
      <c r="U208" s="56">
        <v>0</v>
      </c>
      <c r="V208" s="56">
        <v>0</v>
      </c>
      <c r="W208" s="56">
        <v>8.6722747376599994E-5</v>
      </c>
      <c r="X208" s="56">
        <v>0</v>
      </c>
      <c r="Y208" s="30">
        <v>2</v>
      </c>
      <c r="Z208" s="20">
        <v>0</v>
      </c>
      <c r="AA208" s="29">
        <v>3</v>
      </c>
    </row>
    <row r="209" spans="1:27" ht="14.25" customHeight="1">
      <c r="A209" s="171"/>
      <c r="B209" s="30">
        <v>23019</v>
      </c>
      <c r="C209" s="20" t="s">
        <v>452</v>
      </c>
      <c r="D209" s="20" t="s">
        <v>263</v>
      </c>
      <c r="E209" s="20" t="s">
        <v>473</v>
      </c>
      <c r="F209" s="20" t="s">
        <v>465</v>
      </c>
      <c r="G209" s="29" t="s">
        <v>1040</v>
      </c>
      <c r="H209" s="20" t="s">
        <v>1041</v>
      </c>
      <c r="I209" s="125" t="s">
        <v>1042</v>
      </c>
      <c r="J209" s="29" t="b">
        <v>1</v>
      </c>
      <c r="K209" s="102">
        <v>2.0374725153399999E-5</v>
      </c>
      <c r="L209" s="56">
        <v>1.2260475156899999E-5</v>
      </c>
      <c r="M209" s="56">
        <v>0.99177507474258197</v>
      </c>
      <c r="N209" s="56">
        <v>1.5617510391370999E-3</v>
      </c>
      <c r="O209" s="57">
        <v>0.99573198125922602</v>
      </c>
      <c r="P209" s="56">
        <v>0.99470387533737303</v>
      </c>
      <c r="Q209" s="56">
        <v>0</v>
      </c>
      <c r="R209" s="56">
        <v>0</v>
      </c>
      <c r="S209" s="56">
        <v>0</v>
      </c>
      <c r="T209" s="56">
        <v>0</v>
      </c>
      <c r="U209" s="56">
        <v>0</v>
      </c>
      <c r="V209" s="56">
        <v>0</v>
      </c>
      <c r="W209" s="56">
        <v>8.6707708315199999E-5</v>
      </c>
      <c r="X209" s="56">
        <v>0</v>
      </c>
      <c r="Y209" s="30">
        <v>2</v>
      </c>
      <c r="Z209" s="20">
        <v>0</v>
      </c>
      <c r="AA209" s="29">
        <v>3</v>
      </c>
    </row>
    <row r="210" spans="1:27" ht="14.25" customHeight="1">
      <c r="A210" s="171"/>
      <c r="B210" s="30">
        <v>23031</v>
      </c>
      <c r="C210" s="20" t="s">
        <v>452</v>
      </c>
      <c r="D210" s="20" t="s">
        <v>263</v>
      </c>
      <c r="E210" s="20" t="s">
        <v>473</v>
      </c>
      <c r="F210" s="20" t="s">
        <v>465</v>
      </c>
      <c r="G210" s="29" t="s">
        <v>1043</v>
      </c>
      <c r="H210" s="20" t="s">
        <v>1044</v>
      </c>
      <c r="I210" s="125" t="s">
        <v>1045</v>
      </c>
      <c r="J210" s="29" t="b">
        <v>1</v>
      </c>
      <c r="K210" s="102">
        <v>4.0432741445044001E-3</v>
      </c>
      <c r="L210" s="56">
        <v>3.7166309694400002E-4</v>
      </c>
      <c r="M210" s="56">
        <v>0.99429305252343603</v>
      </c>
      <c r="N210" s="56">
        <v>6.8822004819160004E-4</v>
      </c>
      <c r="O210" s="57">
        <v>9.8159509202450004E-4</v>
      </c>
      <c r="P210" s="56">
        <v>0.99824855315260397</v>
      </c>
      <c r="Q210" s="56">
        <v>1.4919806042519999E-4</v>
      </c>
      <c r="R210" s="56">
        <v>1.8935039290199999E-4</v>
      </c>
      <c r="S210" s="56">
        <v>0</v>
      </c>
      <c r="T210" s="56">
        <v>6.6824662962810004E-4</v>
      </c>
      <c r="U210" s="56">
        <v>6.6706690681000004E-5</v>
      </c>
      <c r="V210" s="56">
        <v>0</v>
      </c>
      <c r="W210" s="56">
        <v>0.99114198871037695</v>
      </c>
      <c r="X210" s="56">
        <v>3.0273674013070001E-4</v>
      </c>
      <c r="Y210" s="30">
        <v>1</v>
      </c>
      <c r="Z210" s="20">
        <v>1</v>
      </c>
      <c r="AA210" s="29">
        <v>2</v>
      </c>
    </row>
    <row r="211" spans="1:27" ht="14.25" customHeight="1">
      <c r="A211" s="171"/>
      <c r="B211" s="30">
        <v>23040</v>
      </c>
      <c r="C211" s="20" t="s">
        <v>262</v>
      </c>
      <c r="D211" s="20" t="s">
        <v>261</v>
      </c>
      <c r="E211" s="20" t="s">
        <v>547</v>
      </c>
      <c r="F211" s="20" t="s">
        <v>646</v>
      </c>
      <c r="G211" s="29" t="s">
        <v>1046</v>
      </c>
      <c r="H211" s="20" t="s">
        <v>1047</v>
      </c>
      <c r="I211" s="125" t="s">
        <v>1048</v>
      </c>
      <c r="J211" s="29" t="b">
        <v>1</v>
      </c>
      <c r="K211" s="102">
        <v>2.0525173022109999E-4</v>
      </c>
      <c r="L211" s="56">
        <v>6.1130375638199995E-5</v>
      </c>
      <c r="M211" s="56">
        <v>2.04404926158E-5</v>
      </c>
      <c r="N211" s="56">
        <v>0.71511662236042395</v>
      </c>
      <c r="O211" s="57">
        <v>1.58198436208E-5</v>
      </c>
      <c r="P211" s="56">
        <v>2.5349185023699999E-5</v>
      </c>
      <c r="Q211" s="56">
        <v>0</v>
      </c>
      <c r="R211" s="56">
        <v>0</v>
      </c>
      <c r="S211" s="56">
        <v>0</v>
      </c>
      <c r="T211" s="56">
        <v>3.8839778147099997E-5</v>
      </c>
      <c r="U211" s="56">
        <v>6.6709657334700006E-5</v>
      </c>
      <c r="V211" s="56">
        <v>0</v>
      </c>
      <c r="W211" s="56">
        <v>0</v>
      </c>
      <c r="X211" s="56">
        <v>0</v>
      </c>
      <c r="Y211" s="30">
        <v>1</v>
      </c>
      <c r="Z211" s="20">
        <v>0</v>
      </c>
      <c r="AA211" s="29">
        <v>1</v>
      </c>
    </row>
    <row r="212" spans="1:27" ht="14.25" customHeight="1">
      <c r="A212" s="171"/>
      <c r="B212" s="30">
        <v>23048</v>
      </c>
      <c r="C212" s="20" t="s">
        <v>261</v>
      </c>
      <c r="D212" s="20" t="s">
        <v>262</v>
      </c>
      <c r="E212" s="20" t="s">
        <v>518</v>
      </c>
      <c r="F212" s="20" t="s">
        <v>453</v>
      </c>
      <c r="G212" s="29" t="s">
        <v>1049</v>
      </c>
      <c r="H212" s="20" t="s">
        <v>1050</v>
      </c>
      <c r="I212" s="125" t="s">
        <v>1051</v>
      </c>
      <c r="J212" s="29" t="b">
        <v>1</v>
      </c>
      <c r="K212" s="102">
        <v>4.1036424065650002E-4</v>
      </c>
      <c r="L212" s="56">
        <v>4.5547607498000001E-5</v>
      </c>
      <c r="M212" s="56">
        <v>4.3422067605599997E-5</v>
      </c>
      <c r="N212" s="56">
        <v>0.36801391778280801</v>
      </c>
      <c r="O212" s="57">
        <v>3.9544917093999998E-6</v>
      </c>
      <c r="P212" s="56">
        <v>2.53466149595E-5</v>
      </c>
      <c r="Q212" s="56">
        <v>1.4919806042519999E-4</v>
      </c>
      <c r="R212" s="56">
        <v>0</v>
      </c>
      <c r="S212" s="56">
        <v>0</v>
      </c>
      <c r="T212" s="56">
        <v>3.88072212477E-5</v>
      </c>
      <c r="U212" s="56">
        <v>0</v>
      </c>
      <c r="V212" s="56">
        <v>0</v>
      </c>
      <c r="W212" s="56">
        <v>8.6700190740400003E-5</v>
      </c>
      <c r="X212" s="56">
        <v>6.0558347968200002E-5</v>
      </c>
      <c r="Y212" s="30">
        <v>1</v>
      </c>
      <c r="Z212" s="20">
        <v>0</v>
      </c>
      <c r="AA212" s="29">
        <v>1</v>
      </c>
    </row>
    <row r="213" spans="1:27" ht="14.25" customHeight="1">
      <c r="A213" s="171"/>
      <c r="B213" s="30">
        <v>23055</v>
      </c>
      <c r="C213" s="20" t="s">
        <v>262</v>
      </c>
      <c r="D213" s="20" t="s">
        <v>261</v>
      </c>
      <c r="E213" s="20" t="s">
        <v>547</v>
      </c>
      <c r="F213" s="20" t="s">
        <v>646</v>
      </c>
      <c r="G213" s="29" t="s">
        <v>1052</v>
      </c>
      <c r="H213" s="20" t="s">
        <v>1053</v>
      </c>
      <c r="I213" s="125" t="s">
        <v>1054</v>
      </c>
      <c r="J213" s="29" t="b">
        <v>1</v>
      </c>
      <c r="K213" s="102">
        <v>2.7994095790700001E-5</v>
      </c>
      <c r="L213" s="56">
        <v>9.75278189498E-5</v>
      </c>
      <c r="M213" s="56">
        <v>0.99683869377189205</v>
      </c>
      <c r="N213" s="56">
        <v>0.99508815020597097</v>
      </c>
      <c r="O213" s="57">
        <v>0.99846404411942502</v>
      </c>
      <c r="P213" s="56">
        <v>0.99837439674879302</v>
      </c>
      <c r="Q213" s="56">
        <v>7.4790586358099994E-5</v>
      </c>
      <c r="R213" s="56">
        <v>1.35239305951E-5</v>
      </c>
      <c r="S213" s="56">
        <v>0</v>
      </c>
      <c r="T213" s="56">
        <v>5.44209225123E-5</v>
      </c>
      <c r="U213" s="56">
        <v>0</v>
      </c>
      <c r="V213" s="56">
        <v>0</v>
      </c>
      <c r="W213" s="56">
        <v>0</v>
      </c>
      <c r="X213" s="56">
        <v>1.818181818181E-4</v>
      </c>
      <c r="Y213" s="30">
        <v>3</v>
      </c>
      <c r="Z213" s="20">
        <v>0</v>
      </c>
      <c r="AA213" s="29">
        <v>4</v>
      </c>
    </row>
    <row r="214" spans="1:27" ht="14.25" customHeight="1">
      <c r="A214" s="171"/>
      <c r="B214" s="30">
        <v>23063</v>
      </c>
      <c r="C214" s="20" t="s">
        <v>262</v>
      </c>
      <c r="D214" s="20" t="s">
        <v>452</v>
      </c>
      <c r="E214" s="20" t="s">
        <v>539</v>
      </c>
      <c r="F214" s="20" t="s">
        <v>515</v>
      </c>
      <c r="G214" s="29" t="s">
        <v>1055</v>
      </c>
      <c r="H214" s="20" t="s">
        <v>1056</v>
      </c>
      <c r="I214" s="125" t="s">
        <v>1057</v>
      </c>
      <c r="J214" s="29" t="b">
        <v>1</v>
      </c>
      <c r="K214" s="102">
        <v>0.99728432036700299</v>
      </c>
      <c r="L214" s="56">
        <v>5.2219596832570004E-4</v>
      </c>
      <c r="M214" s="56">
        <v>0.99797004275212997</v>
      </c>
      <c r="N214" s="56">
        <v>0.99548359321796098</v>
      </c>
      <c r="O214" s="57">
        <v>0.99834237249947699</v>
      </c>
      <c r="P214" s="56">
        <v>0.99900927219611302</v>
      </c>
      <c r="Q214" s="56">
        <v>0.98447360512871795</v>
      </c>
      <c r="R214" s="56">
        <v>1.0408781226342999E-3</v>
      </c>
      <c r="S214" s="56">
        <v>1.8316882059631E-3</v>
      </c>
      <c r="T214" s="56">
        <v>0.99417749305268999</v>
      </c>
      <c r="U214" s="56">
        <v>2.7124974987215002E-3</v>
      </c>
      <c r="V214" s="56">
        <v>8.0818965517240001E-4</v>
      </c>
      <c r="W214" s="56">
        <v>1.4749262536873E-3</v>
      </c>
      <c r="X214" s="56">
        <v>0.99397846846298799</v>
      </c>
      <c r="Y214" s="30">
        <v>4</v>
      </c>
      <c r="Z214" s="20">
        <v>3</v>
      </c>
      <c r="AA214" s="29">
        <v>4</v>
      </c>
    </row>
    <row r="215" spans="1:27" ht="14.25" customHeight="1">
      <c r="A215" s="173"/>
      <c r="B215" s="35">
        <v>23075</v>
      </c>
      <c r="C215" s="33" t="s">
        <v>452</v>
      </c>
      <c r="D215" s="33" t="s">
        <v>263</v>
      </c>
      <c r="E215" s="33" t="s">
        <v>514</v>
      </c>
      <c r="F215" s="33" t="s">
        <v>570</v>
      </c>
      <c r="G215" s="32" t="s">
        <v>1058</v>
      </c>
      <c r="H215" s="33" t="s">
        <v>1059</v>
      </c>
      <c r="I215" s="128" t="s">
        <v>1060</v>
      </c>
      <c r="J215" s="32" t="b">
        <v>1</v>
      </c>
      <c r="K215" s="103">
        <v>1.171052598082E-4</v>
      </c>
      <c r="L215" s="95">
        <v>6.23235507589E-5</v>
      </c>
      <c r="M215" s="95">
        <v>0.99635533441854196</v>
      </c>
      <c r="N215" s="95">
        <v>0.99307683495028798</v>
      </c>
      <c r="O215" s="77">
        <v>0.995628057162952</v>
      </c>
      <c r="P215" s="95">
        <v>0.998653557909712</v>
      </c>
      <c r="Q215" s="95">
        <v>2.49768963708E-5</v>
      </c>
      <c r="R215" s="95">
        <v>0</v>
      </c>
      <c r="S215" s="95">
        <v>0</v>
      </c>
      <c r="T215" s="95">
        <v>7.7849485804099998E-5</v>
      </c>
      <c r="U215" s="95">
        <v>0</v>
      </c>
      <c r="V215" s="95">
        <v>0</v>
      </c>
      <c r="W215" s="95">
        <v>0</v>
      </c>
      <c r="X215" s="95">
        <v>6.0882800608799997E-5</v>
      </c>
      <c r="Y215" s="35">
        <v>3</v>
      </c>
      <c r="Z215" s="33">
        <v>0</v>
      </c>
      <c r="AA215" s="32">
        <v>4</v>
      </c>
    </row>
    <row r="216" spans="1:27" ht="14.25" customHeight="1">
      <c r="A216" s="200" t="s">
        <v>1061</v>
      </c>
      <c r="B216" s="26">
        <v>23202</v>
      </c>
      <c r="C216" s="27" t="s">
        <v>263</v>
      </c>
      <c r="D216" s="27" t="s">
        <v>262</v>
      </c>
      <c r="E216" s="27" t="s">
        <v>493</v>
      </c>
      <c r="F216" s="27" t="s">
        <v>448</v>
      </c>
      <c r="G216" s="124" t="s">
        <v>1062</v>
      </c>
      <c r="H216" s="27" t="s">
        <v>1063</v>
      </c>
      <c r="I216" s="125" t="s">
        <v>1064</v>
      </c>
      <c r="J216" s="124" t="b">
        <v>1</v>
      </c>
      <c r="K216" s="126">
        <v>1.1226079096450001E-4</v>
      </c>
      <c r="L216" s="85">
        <v>1.6245561876720001E-4</v>
      </c>
      <c r="M216" s="85">
        <v>3.4224930238600001E-4</v>
      </c>
      <c r="N216" s="85">
        <v>0.38243249393203799</v>
      </c>
      <c r="O216" s="76">
        <v>3.6056217012389997E-4</v>
      </c>
      <c r="P216" s="85">
        <v>3.7501875093749997E-4</v>
      </c>
      <c r="Q216" s="85">
        <v>8.9198108999999994E-5</v>
      </c>
      <c r="R216" s="85">
        <v>1.3146996568600001E-5</v>
      </c>
      <c r="S216" s="85">
        <v>9.9492587802199996E-5</v>
      </c>
      <c r="T216" s="85">
        <v>4.3347309103679998E-4</v>
      </c>
      <c r="U216" s="85">
        <v>0</v>
      </c>
      <c r="V216" s="85">
        <v>0</v>
      </c>
      <c r="W216" s="85">
        <v>0</v>
      </c>
      <c r="X216" s="85">
        <v>0</v>
      </c>
      <c r="Y216" s="26">
        <v>1</v>
      </c>
      <c r="Z216" s="27">
        <v>0</v>
      </c>
      <c r="AA216" s="124">
        <v>1</v>
      </c>
    </row>
    <row r="217" spans="1:27" ht="14.25" customHeight="1">
      <c r="A217" s="171"/>
      <c r="B217" s="30">
        <v>23222</v>
      </c>
      <c r="C217" s="20" t="s">
        <v>261</v>
      </c>
      <c r="D217" s="20" t="s">
        <v>262</v>
      </c>
      <c r="E217" s="20" t="s">
        <v>741</v>
      </c>
      <c r="F217" s="20" t="s">
        <v>490</v>
      </c>
      <c r="G217" s="29" t="s">
        <v>1065</v>
      </c>
      <c r="H217" s="20" t="s">
        <v>1066</v>
      </c>
      <c r="I217" s="125" t="s">
        <v>1067</v>
      </c>
      <c r="J217" s="29" t="b">
        <v>1</v>
      </c>
      <c r="K217" s="102">
        <v>5.8242523532000003E-6</v>
      </c>
      <c r="L217" s="56">
        <v>1.3973059940399999E-5</v>
      </c>
      <c r="M217" s="56">
        <v>6.4304750117280002E-3</v>
      </c>
      <c r="N217" s="56">
        <v>3.5469491008200002E-5</v>
      </c>
      <c r="O217" s="57">
        <v>0.99767429365304705</v>
      </c>
      <c r="P217" s="56">
        <v>4.72216669998E-3</v>
      </c>
      <c r="Q217" s="56">
        <v>2.23094770658E-5</v>
      </c>
      <c r="R217" s="56">
        <v>0</v>
      </c>
      <c r="S217" s="56">
        <v>0</v>
      </c>
      <c r="T217" s="56">
        <v>5.9751434034399998E-5</v>
      </c>
      <c r="U217" s="56">
        <v>2.1800265963199999E-5</v>
      </c>
      <c r="V217" s="56">
        <v>0</v>
      </c>
      <c r="W217" s="56">
        <v>0</v>
      </c>
      <c r="X217" s="56">
        <v>1.7406440382939999E-4</v>
      </c>
      <c r="Y217" s="30">
        <v>1</v>
      </c>
      <c r="Z217" s="20">
        <v>0</v>
      </c>
      <c r="AA217" s="29">
        <v>1</v>
      </c>
    </row>
    <row r="218" spans="1:27" ht="14.25" customHeight="1">
      <c r="A218" s="171"/>
      <c r="B218" s="30">
        <v>23271</v>
      </c>
      <c r="C218" s="20" t="s">
        <v>263</v>
      </c>
      <c r="D218" s="20" t="s">
        <v>452</v>
      </c>
      <c r="E218" s="20" t="s">
        <v>461</v>
      </c>
      <c r="F218" s="20" t="s">
        <v>480</v>
      </c>
      <c r="G218" s="29" t="s">
        <v>1068</v>
      </c>
      <c r="H218" s="20" t="s">
        <v>1069</v>
      </c>
      <c r="I218" s="125" t="s">
        <v>1070</v>
      </c>
      <c r="J218" s="29" t="b">
        <v>1</v>
      </c>
      <c r="K218" s="102">
        <v>1.41663243138E-5</v>
      </c>
      <c r="L218" s="56">
        <v>7.6008907446100001E-5</v>
      </c>
      <c r="M218" s="56">
        <v>1.887335975603E-4</v>
      </c>
      <c r="N218" s="56">
        <v>1.389683593214E-4</v>
      </c>
      <c r="O218" s="57">
        <v>0.99888769134585498</v>
      </c>
      <c r="P218" s="56">
        <v>1.9950622210029999E-4</v>
      </c>
      <c r="Q218" s="56">
        <v>2.895903410483E-4</v>
      </c>
      <c r="R218" s="56">
        <v>6.5721158269599998E-5</v>
      </c>
      <c r="S218" s="56">
        <v>1.9896538002387E-3</v>
      </c>
      <c r="T218" s="56">
        <v>2.01784673333E-4</v>
      </c>
      <c r="U218" s="56">
        <v>7.1972257966020005E-4</v>
      </c>
      <c r="V218" s="56">
        <v>0</v>
      </c>
      <c r="W218" s="56">
        <v>0</v>
      </c>
      <c r="X218" s="56">
        <v>0</v>
      </c>
      <c r="Y218" s="30">
        <v>1</v>
      </c>
      <c r="Z218" s="20">
        <v>0</v>
      </c>
      <c r="AA218" s="29">
        <v>1</v>
      </c>
    </row>
    <row r="219" spans="1:27" ht="14.25" customHeight="1">
      <c r="A219" s="171"/>
      <c r="B219" s="30">
        <v>23271</v>
      </c>
      <c r="C219" s="20" t="s">
        <v>263</v>
      </c>
      <c r="D219" s="20" t="s">
        <v>262</v>
      </c>
      <c r="E219" s="20" t="s">
        <v>461</v>
      </c>
      <c r="F219" s="20" t="s">
        <v>457</v>
      </c>
      <c r="G219" s="29" t="s">
        <v>1071</v>
      </c>
      <c r="H219" s="20" t="s">
        <v>1072</v>
      </c>
      <c r="I219" s="125" t="s">
        <v>1073</v>
      </c>
      <c r="J219" s="29" t="b">
        <v>1</v>
      </c>
      <c r="K219" s="102">
        <v>0.99770672208754896</v>
      </c>
      <c r="L219" s="56">
        <v>5.9832084578600002E-5</v>
      </c>
      <c r="M219" s="56">
        <v>0</v>
      </c>
      <c r="N219" s="56">
        <v>3.94247193292E-5</v>
      </c>
      <c r="O219" s="57">
        <v>1.5342188332999999E-5</v>
      </c>
      <c r="P219" s="56">
        <v>0</v>
      </c>
      <c r="Q219" s="56">
        <v>6.4600922233849995E-4</v>
      </c>
      <c r="R219" s="56">
        <v>4.0747118127199998E-4</v>
      </c>
      <c r="S219" s="56">
        <v>6.9637883008349998E-4</v>
      </c>
      <c r="T219" s="56">
        <v>5.9788051357930003E-4</v>
      </c>
      <c r="U219" s="56">
        <v>1.8102113367210999E-3</v>
      </c>
      <c r="V219" s="56">
        <v>5.1860495267720002E-4</v>
      </c>
      <c r="W219" s="56">
        <v>5.1396265204719995E-4</v>
      </c>
      <c r="X219" s="56">
        <v>5.7537399309550005E-4</v>
      </c>
      <c r="Y219" s="30">
        <v>1</v>
      </c>
      <c r="Z219" s="20">
        <v>0</v>
      </c>
      <c r="AA219" s="29">
        <v>0</v>
      </c>
    </row>
    <row r="220" spans="1:27" ht="14.25" customHeight="1">
      <c r="A220" s="171"/>
      <c r="B220" s="30">
        <v>23403</v>
      </c>
      <c r="C220" s="20" t="s">
        <v>262</v>
      </c>
      <c r="D220" s="20" t="s">
        <v>261</v>
      </c>
      <c r="E220" s="20" t="s">
        <v>457</v>
      </c>
      <c r="F220" s="20" t="s">
        <v>518</v>
      </c>
      <c r="G220" s="29" t="s">
        <v>1074</v>
      </c>
      <c r="H220" s="20" t="s">
        <v>1075</v>
      </c>
      <c r="I220" s="125" t="s">
        <v>1076</v>
      </c>
      <c r="J220" s="29" t="b">
        <v>1</v>
      </c>
      <c r="K220" s="102">
        <v>0.99943379431912505</v>
      </c>
      <c r="L220" s="56">
        <v>0.99946752064522204</v>
      </c>
      <c r="M220" s="56">
        <v>0.99979857009636297</v>
      </c>
      <c r="N220" s="56">
        <v>0.99959412297318295</v>
      </c>
      <c r="O220" s="57">
        <v>0.99980341896814195</v>
      </c>
      <c r="P220" s="56">
        <v>0.99992500749924995</v>
      </c>
      <c r="Q220" s="56">
        <v>0.99667381016162104</v>
      </c>
      <c r="R220" s="56">
        <v>0.999710739455138</v>
      </c>
      <c r="S220" s="56">
        <v>0.99830778419271304</v>
      </c>
      <c r="T220" s="56">
        <v>0.99958874199916203</v>
      </c>
      <c r="U220" s="56">
        <v>0.99965108925572899</v>
      </c>
      <c r="V220" s="56">
        <v>1</v>
      </c>
      <c r="W220" s="56">
        <v>0.99991432488005405</v>
      </c>
      <c r="X220" s="56">
        <v>0.99959714548802903</v>
      </c>
      <c r="Y220" s="30">
        <v>5</v>
      </c>
      <c r="Z220" s="20">
        <v>8</v>
      </c>
      <c r="AA220" s="29">
        <v>4</v>
      </c>
    </row>
    <row r="221" spans="1:27" ht="14.25" customHeight="1">
      <c r="A221" s="171"/>
      <c r="B221" s="30">
        <v>23423</v>
      </c>
      <c r="C221" s="20" t="s">
        <v>263</v>
      </c>
      <c r="D221" s="20" t="s">
        <v>452</v>
      </c>
      <c r="E221" s="20" t="s">
        <v>580</v>
      </c>
      <c r="F221" s="20" t="s">
        <v>465</v>
      </c>
      <c r="G221" s="29" t="s">
        <v>1077</v>
      </c>
      <c r="H221" s="20" t="s">
        <v>1078</v>
      </c>
      <c r="I221" s="125" t="s">
        <v>1079</v>
      </c>
      <c r="J221" s="29" t="b">
        <v>1</v>
      </c>
      <c r="K221" s="102">
        <v>1.4635626941190001E-4</v>
      </c>
      <c r="L221" s="56">
        <v>2.163006472619E-4</v>
      </c>
      <c r="M221" s="56">
        <v>6.0694971094672001E-3</v>
      </c>
      <c r="N221" s="56">
        <v>1.284887876546E-4</v>
      </c>
      <c r="O221" s="57">
        <v>0.99797082775568102</v>
      </c>
      <c r="P221" s="56">
        <v>1.2747450509897999E-3</v>
      </c>
      <c r="Q221" s="56">
        <v>8.9285714285700001E-5</v>
      </c>
      <c r="R221" s="56">
        <v>9.2101627567299998E-5</v>
      </c>
      <c r="S221" s="56">
        <v>2.9841838257230001E-4</v>
      </c>
      <c r="T221" s="56">
        <v>3.2899410053759999E-4</v>
      </c>
      <c r="U221" s="56">
        <v>1.090369853454E-4</v>
      </c>
      <c r="V221" s="56">
        <v>0</v>
      </c>
      <c r="W221" s="56">
        <v>8.5660442007799993E-5</v>
      </c>
      <c r="X221" s="56">
        <v>0</v>
      </c>
      <c r="Y221" s="30">
        <v>1</v>
      </c>
      <c r="Z221" s="20">
        <v>0</v>
      </c>
      <c r="AA221" s="29">
        <v>1</v>
      </c>
    </row>
    <row r="222" spans="1:27" ht="14.25" customHeight="1">
      <c r="A222" s="171"/>
      <c r="B222" s="30">
        <v>23525</v>
      </c>
      <c r="C222" s="20" t="s">
        <v>263</v>
      </c>
      <c r="D222" s="20" t="s">
        <v>452</v>
      </c>
      <c r="E222" s="20" t="s">
        <v>571</v>
      </c>
      <c r="F222" s="20" t="s">
        <v>515</v>
      </c>
      <c r="G222" s="29" t="s">
        <v>1080</v>
      </c>
      <c r="H222" s="20" t="s">
        <v>1081</v>
      </c>
      <c r="I222" s="125" t="s">
        <v>1082</v>
      </c>
      <c r="J222" s="29" t="b">
        <v>1</v>
      </c>
      <c r="K222" s="102">
        <v>1.1700047852444E-3</v>
      </c>
      <c r="L222" s="56">
        <v>1.2784313638269E-3</v>
      </c>
      <c r="M222" s="56">
        <v>0.99949022812291499</v>
      </c>
      <c r="N222" s="56">
        <v>0.99894381213648098</v>
      </c>
      <c r="O222" s="57">
        <v>0.99959171700835603</v>
      </c>
      <c r="P222" s="56">
        <v>0.99974816157952995</v>
      </c>
      <c r="Q222" s="56">
        <v>9.4605248338770005E-4</v>
      </c>
      <c r="R222" s="56">
        <v>2.6505611013674002E-3</v>
      </c>
      <c r="S222" s="56">
        <v>3.0012004801920002E-4</v>
      </c>
      <c r="T222" s="56">
        <v>0.99632072982244502</v>
      </c>
      <c r="U222" s="56">
        <v>1.0513404590852999E-3</v>
      </c>
      <c r="V222" s="56">
        <v>7.8441626356380004E-4</v>
      </c>
      <c r="W222" s="56">
        <v>2.5764342150463001E-3</v>
      </c>
      <c r="X222" s="56">
        <v>1.0515861424314999E-3</v>
      </c>
      <c r="Y222" s="30">
        <v>3</v>
      </c>
      <c r="Z222" s="20">
        <v>1</v>
      </c>
      <c r="AA222" s="29">
        <v>4</v>
      </c>
    </row>
    <row r="223" spans="1:27" ht="14.25" customHeight="1">
      <c r="A223" s="171"/>
      <c r="B223" s="30">
        <v>23593</v>
      </c>
      <c r="C223" s="20" t="s">
        <v>261</v>
      </c>
      <c r="D223" s="20" t="s">
        <v>263</v>
      </c>
      <c r="E223" s="20" t="s">
        <v>833</v>
      </c>
      <c r="F223" s="20" t="s">
        <v>570</v>
      </c>
      <c r="G223" s="29" t="s">
        <v>1083</v>
      </c>
      <c r="H223" s="20" t="s">
        <v>1084</v>
      </c>
      <c r="I223" s="125" t="s">
        <v>1085</v>
      </c>
      <c r="J223" s="29" t="b">
        <v>1</v>
      </c>
      <c r="K223" s="102">
        <v>7.3858078988920002E-4</v>
      </c>
      <c r="L223" s="56">
        <v>6.8354982818480004E-3</v>
      </c>
      <c r="M223" s="56">
        <v>5.2028877271589999E-4</v>
      </c>
      <c r="N223" s="56">
        <v>2.1129570516539999E-4</v>
      </c>
      <c r="O223" s="57">
        <v>7.7730125644359996E-4</v>
      </c>
      <c r="P223" s="56">
        <v>1.753243500475E-4</v>
      </c>
      <c r="Q223" s="56">
        <v>3.8695163104610999E-3</v>
      </c>
      <c r="R223" s="56">
        <v>3.2750660932011999E-3</v>
      </c>
      <c r="S223" s="56">
        <v>0.99488670543412805</v>
      </c>
      <c r="T223" s="56">
        <v>1.5022120071805001E-3</v>
      </c>
      <c r="U223" s="56">
        <v>8.7594437753199997E-5</v>
      </c>
      <c r="V223" s="56">
        <v>0</v>
      </c>
      <c r="W223" s="56">
        <v>2.5762129669386E-3</v>
      </c>
      <c r="X223" s="56">
        <v>6.9416324405619997E-4</v>
      </c>
      <c r="Y223" s="30">
        <v>0</v>
      </c>
      <c r="Z223" s="20">
        <v>1</v>
      </c>
      <c r="AA223" s="29">
        <v>0</v>
      </c>
    </row>
    <row r="224" spans="1:27" ht="14.25" customHeight="1">
      <c r="A224" s="171"/>
      <c r="B224" s="30">
        <v>23599</v>
      </c>
      <c r="C224" s="20" t="s">
        <v>452</v>
      </c>
      <c r="D224" s="20" t="s">
        <v>261</v>
      </c>
      <c r="E224" s="20" t="s">
        <v>539</v>
      </c>
      <c r="F224" s="20" t="s">
        <v>490</v>
      </c>
      <c r="G224" s="29" t="s">
        <v>1086</v>
      </c>
      <c r="H224" s="20" t="s">
        <v>1087</v>
      </c>
      <c r="I224" s="125" t="s">
        <v>1088</v>
      </c>
      <c r="J224" s="29" t="b">
        <v>1</v>
      </c>
      <c r="K224" s="102">
        <v>2.4178816521900001E-5</v>
      </c>
      <c r="L224" s="56">
        <v>2.4553433047669999E-4</v>
      </c>
      <c r="M224" s="56">
        <v>0.99866868487046501</v>
      </c>
      <c r="N224" s="56">
        <v>0.99818263075265201</v>
      </c>
      <c r="O224" s="57">
        <v>0.99616974448112605</v>
      </c>
      <c r="P224" s="56">
        <v>0.99907107529311301</v>
      </c>
      <c r="Q224" s="56">
        <v>4.49883030412E-5</v>
      </c>
      <c r="R224" s="56">
        <v>2.6314750733499999E-5</v>
      </c>
      <c r="S224" s="56">
        <v>9.9860195725900002E-5</v>
      </c>
      <c r="T224" s="56">
        <v>8.3946538519297006E-3</v>
      </c>
      <c r="U224" s="56">
        <v>4.3789547434999997E-5</v>
      </c>
      <c r="V224" s="56">
        <v>1.307873397855E-4</v>
      </c>
      <c r="W224" s="56">
        <v>4.2959017097679998E-4</v>
      </c>
      <c r="X224" s="56">
        <v>0</v>
      </c>
      <c r="Y224" s="30">
        <v>3</v>
      </c>
      <c r="Z224" s="20">
        <v>0</v>
      </c>
      <c r="AA224" s="29">
        <v>4</v>
      </c>
    </row>
    <row r="225" spans="1:27" ht="14.25" customHeight="1">
      <c r="A225" s="171"/>
      <c r="B225" s="30">
        <v>23604</v>
      </c>
      <c r="C225" s="20" t="s">
        <v>263</v>
      </c>
      <c r="D225" s="20" t="s">
        <v>261</v>
      </c>
      <c r="E225" s="20" t="s">
        <v>580</v>
      </c>
      <c r="F225" s="20" t="s">
        <v>745</v>
      </c>
      <c r="G225" s="29" t="s">
        <v>1089</v>
      </c>
      <c r="H225" s="20" t="s">
        <v>1090</v>
      </c>
      <c r="I225" s="125" t="s">
        <v>1091</v>
      </c>
      <c r="J225" s="29" t="b">
        <v>1</v>
      </c>
      <c r="K225" s="102">
        <v>2.1612864163815999E-3</v>
      </c>
      <c r="L225" s="56">
        <v>0.99827768479919499</v>
      </c>
      <c r="M225" s="56">
        <v>3.675064313625E-4</v>
      </c>
      <c r="N225" s="56">
        <v>2.7959636782620001E-4</v>
      </c>
      <c r="O225" s="57">
        <v>0.99427457905320504</v>
      </c>
      <c r="P225" s="56">
        <v>1.3821873743465999E-3</v>
      </c>
      <c r="Q225" s="56">
        <v>1.4415388427145E-3</v>
      </c>
      <c r="R225" s="56">
        <v>0</v>
      </c>
      <c r="S225" s="56">
        <v>2.9982010793520002E-4</v>
      </c>
      <c r="T225" s="56">
        <v>4.0800685271178E-3</v>
      </c>
      <c r="U225" s="56">
        <v>2.1901966796610001E-4</v>
      </c>
      <c r="V225" s="56">
        <v>0.99541224275789697</v>
      </c>
      <c r="W225" s="56">
        <v>2.5788704547408002E-3</v>
      </c>
      <c r="X225" s="56">
        <v>2.4377503047187002E-3</v>
      </c>
      <c r="Y225" s="30">
        <v>2</v>
      </c>
      <c r="Z225" s="20">
        <v>1</v>
      </c>
      <c r="AA225" s="29">
        <v>1</v>
      </c>
    </row>
    <row r="226" spans="1:27" ht="14.25" customHeight="1">
      <c r="A226" s="171"/>
      <c r="B226" s="30">
        <v>23604</v>
      </c>
      <c r="C226" s="20" t="s">
        <v>263</v>
      </c>
      <c r="D226" s="20" t="s">
        <v>262</v>
      </c>
      <c r="E226" s="20" t="s">
        <v>580</v>
      </c>
      <c r="F226" s="20" t="s">
        <v>571</v>
      </c>
      <c r="G226" s="29" t="s">
        <v>1092</v>
      </c>
      <c r="H226" s="20" t="s">
        <v>1093</v>
      </c>
      <c r="I226" s="125" t="s">
        <v>1094</v>
      </c>
      <c r="J226" s="29" t="b">
        <v>1</v>
      </c>
      <c r="K226" s="102">
        <v>0.99535674170205402</v>
      </c>
      <c r="L226" s="56">
        <v>4.7611063201069998E-4</v>
      </c>
      <c r="M226" s="56">
        <v>0.998209968674451</v>
      </c>
      <c r="N226" s="56">
        <v>0.996553970973861</v>
      </c>
      <c r="O226" s="57">
        <v>3.7184119735976999E-3</v>
      </c>
      <c r="P226" s="56">
        <v>0.99766284680337702</v>
      </c>
      <c r="Q226" s="56">
        <v>2.3425006194111998E-3</v>
      </c>
      <c r="R226" s="56">
        <v>2.8566538972920998E-3</v>
      </c>
      <c r="S226" s="56">
        <v>8.9946032380569996E-4</v>
      </c>
      <c r="T226" s="56">
        <v>5.1620756503313603E-2</v>
      </c>
      <c r="U226" s="56">
        <v>2.1244907792719002E-3</v>
      </c>
      <c r="V226" s="56">
        <v>1.5729453401494E-3</v>
      </c>
      <c r="W226" s="56">
        <v>3.8683056821111998E-3</v>
      </c>
      <c r="X226" s="56">
        <v>0.99535666608624995</v>
      </c>
      <c r="Y226" s="30">
        <v>3</v>
      </c>
      <c r="Z226" s="20">
        <v>1</v>
      </c>
      <c r="AA226" s="29">
        <v>3</v>
      </c>
    </row>
    <row r="227" spans="1:27" ht="14.25" customHeight="1">
      <c r="A227" s="171"/>
      <c r="B227" s="30">
        <v>23664</v>
      </c>
      <c r="C227" s="20" t="s">
        <v>263</v>
      </c>
      <c r="D227" s="20" t="s">
        <v>452</v>
      </c>
      <c r="E227" s="20" t="s">
        <v>508</v>
      </c>
      <c r="F227" s="20" t="s">
        <v>574</v>
      </c>
      <c r="G227" s="29" t="s">
        <v>1095</v>
      </c>
      <c r="H227" s="20" t="s">
        <v>1096</v>
      </c>
      <c r="I227" s="125" t="s">
        <v>1097</v>
      </c>
      <c r="J227" s="29" t="b">
        <v>1</v>
      </c>
      <c r="K227" s="102">
        <v>4.9305135343979001E-3</v>
      </c>
      <c r="L227" s="56">
        <v>9.3744614854379996E-4</v>
      </c>
      <c r="M227" s="56">
        <v>8.5793770052389998E-4</v>
      </c>
      <c r="N227" s="56">
        <v>3.1387173120625098E-2</v>
      </c>
      <c r="O227" s="57">
        <v>1.997923726323E-4</v>
      </c>
      <c r="P227" s="56">
        <v>1.011122345803E-4</v>
      </c>
      <c r="Q227" s="56">
        <v>0.97905592658216301</v>
      </c>
      <c r="R227" s="56">
        <v>5.3936705276349996E-4</v>
      </c>
      <c r="S227" s="56">
        <v>3.0229746070130001E-4</v>
      </c>
      <c r="T227" s="56">
        <v>6.3929859810950003E-4</v>
      </c>
      <c r="U227" s="56">
        <v>0.67140108127920795</v>
      </c>
      <c r="V227" s="56">
        <v>1.311303435615E-4</v>
      </c>
      <c r="W227" s="56">
        <v>6.9042892897209997E-4</v>
      </c>
      <c r="X227" s="56">
        <v>1.2742542716478E-3</v>
      </c>
      <c r="Y227" s="30">
        <v>0</v>
      </c>
      <c r="Z227" s="20">
        <v>2</v>
      </c>
      <c r="AA227" s="29">
        <v>0</v>
      </c>
    </row>
    <row r="228" spans="1:27" ht="14.25" customHeight="1">
      <c r="A228" s="171"/>
      <c r="B228" s="30">
        <v>23709</v>
      </c>
      <c r="C228" s="20" t="s">
        <v>263</v>
      </c>
      <c r="D228" s="20" t="s">
        <v>452</v>
      </c>
      <c r="E228" s="20" t="s">
        <v>493</v>
      </c>
      <c r="F228" s="20" t="s">
        <v>577</v>
      </c>
      <c r="G228" s="29" t="s">
        <v>1098</v>
      </c>
      <c r="H228" s="20" t="s">
        <v>1099</v>
      </c>
      <c r="I228" s="125" t="s">
        <v>1100</v>
      </c>
      <c r="J228" s="29" t="b">
        <v>1</v>
      </c>
      <c r="K228" s="102">
        <v>0.99722729543746502</v>
      </c>
      <c r="L228" s="56">
        <v>6.9440891832790003E-4</v>
      </c>
      <c r="M228" s="56">
        <v>1.6501315027870001E-4</v>
      </c>
      <c r="N228" s="56">
        <v>2.1475074911030001E-4</v>
      </c>
      <c r="O228" s="57">
        <v>8.6187646176199997E-5</v>
      </c>
      <c r="P228" s="56">
        <v>2.2734161867230001E-4</v>
      </c>
      <c r="Q228" s="56">
        <v>3.1615554852987E-3</v>
      </c>
      <c r="R228" s="56">
        <v>5.6756756756749999E-4</v>
      </c>
      <c r="S228" s="56">
        <v>3.0217566478639999E-4</v>
      </c>
      <c r="T228" s="56">
        <v>8.3785904164149997E-4</v>
      </c>
      <c r="U228" s="56">
        <v>2.6126415180822002E-3</v>
      </c>
      <c r="V228" s="56">
        <v>5.2479664130140001E-4</v>
      </c>
      <c r="W228" s="56">
        <v>3.4536349507850001E-4</v>
      </c>
      <c r="X228" s="56">
        <v>6.3727478129880003E-4</v>
      </c>
      <c r="Y228" s="30">
        <v>1</v>
      </c>
      <c r="Z228" s="20">
        <v>0</v>
      </c>
      <c r="AA228" s="29">
        <v>0</v>
      </c>
    </row>
    <row r="229" spans="1:27" ht="14.25" customHeight="1">
      <c r="A229" s="171"/>
      <c r="B229" s="30">
        <v>23731</v>
      </c>
      <c r="C229" s="20" t="s">
        <v>263</v>
      </c>
      <c r="D229" s="20" t="s">
        <v>452</v>
      </c>
      <c r="E229" s="20" t="s">
        <v>468</v>
      </c>
      <c r="F229" s="20" t="s">
        <v>494</v>
      </c>
      <c r="G229" s="29" t="s">
        <v>1101</v>
      </c>
      <c r="H229" s="20" t="s">
        <v>1102</v>
      </c>
      <c r="I229" s="125" t="s">
        <v>1103</v>
      </c>
      <c r="J229" s="29" t="b">
        <v>0</v>
      </c>
      <c r="K229" s="102">
        <v>8.71082371086E-5</v>
      </c>
      <c r="L229" s="56">
        <v>1.139618930163E-4</v>
      </c>
      <c r="M229" s="56">
        <v>1.040527268159E-4</v>
      </c>
      <c r="N229" s="56">
        <v>6.3863143018999999E-5</v>
      </c>
      <c r="O229" s="57">
        <v>1.96067666873E-5</v>
      </c>
      <c r="P229" s="56">
        <v>2.021989131808E-4</v>
      </c>
      <c r="Q229" s="56">
        <v>1.8360836336095E-3</v>
      </c>
      <c r="R229" s="56">
        <v>2.7043472381799999E-5</v>
      </c>
      <c r="S229" s="56">
        <v>0</v>
      </c>
      <c r="T229" s="56">
        <v>1.8303145853190001E-4</v>
      </c>
      <c r="U229" s="56">
        <v>7.0281677218093405E-2</v>
      </c>
      <c r="V229" s="56">
        <v>0</v>
      </c>
      <c r="W229" s="56">
        <v>0.99671109572442396</v>
      </c>
      <c r="X229" s="56">
        <v>0</v>
      </c>
      <c r="Y229" s="30">
        <v>0</v>
      </c>
      <c r="Z229" s="20">
        <v>1</v>
      </c>
      <c r="AA229" s="29">
        <v>0</v>
      </c>
    </row>
    <row r="230" spans="1:27" ht="14.25" customHeight="1">
      <c r="A230" s="171"/>
      <c r="B230" s="30">
        <v>23854</v>
      </c>
      <c r="C230" s="20" t="s">
        <v>263</v>
      </c>
      <c r="D230" s="20" t="s">
        <v>262</v>
      </c>
      <c r="E230" s="20" t="s">
        <v>588</v>
      </c>
      <c r="F230" s="20" t="s">
        <v>448</v>
      </c>
      <c r="G230" s="29" t="s">
        <v>1104</v>
      </c>
      <c r="H230" s="20" t="s">
        <v>1105</v>
      </c>
      <c r="I230" s="125" t="s">
        <v>1106</v>
      </c>
      <c r="J230" s="29" t="b">
        <v>1</v>
      </c>
      <c r="K230" s="102">
        <v>1.28534484088E-5</v>
      </c>
      <c r="L230" s="56">
        <v>1.123160349486E-4</v>
      </c>
      <c r="M230" s="56">
        <v>0.99836461255560405</v>
      </c>
      <c r="N230" s="56">
        <v>0.99538377475836803</v>
      </c>
      <c r="O230" s="57">
        <v>0.99900140195333598</v>
      </c>
      <c r="P230" s="56">
        <v>0.99929122895835898</v>
      </c>
      <c r="Q230" s="56">
        <v>2.3431825104850001E-4</v>
      </c>
      <c r="R230" s="56">
        <v>2.7122689485799999E-5</v>
      </c>
      <c r="S230" s="56">
        <v>0</v>
      </c>
      <c r="T230" s="56">
        <v>2.3278009264599999E-5</v>
      </c>
      <c r="U230" s="56">
        <v>4.5724737082700002E-5</v>
      </c>
      <c r="V230" s="56">
        <v>0</v>
      </c>
      <c r="W230" s="56">
        <v>9.5066070919199997E-5</v>
      </c>
      <c r="X230" s="56">
        <v>1.203804020705E-4</v>
      </c>
      <c r="Y230" s="30">
        <v>3</v>
      </c>
      <c r="Z230" s="20">
        <v>0</v>
      </c>
      <c r="AA230" s="29">
        <v>4</v>
      </c>
    </row>
    <row r="231" spans="1:27" ht="14.25" customHeight="1">
      <c r="A231" s="171"/>
      <c r="B231" s="30">
        <v>23948</v>
      </c>
      <c r="C231" s="20" t="s">
        <v>261</v>
      </c>
      <c r="D231" s="20" t="s">
        <v>452</v>
      </c>
      <c r="E231" s="20" t="s">
        <v>457</v>
      </c>
      <c r="F231" s="20" t="s">
        <v>515</v>
      </c>
      <c r="G231" s="29" t="s">
        <v>1107</v>
      </c>
      <c r="H231" s="20" t="s">
        <v>1108</v>
      </c>
      <c r="I231" s="125" t="s">
        <v>1109</v>
      </c>
      <c r="J231" s="29" t="b">
        <v>1</v>
      </c>
      <c r="K231" s="102">
        <v>4.3500100546649999E-4</v>
      </c>
      <c r="L231" s="56">
        <v>7.3567346282429999E-4</v>
      </c>
      <c r="M231" s="56">
        <v>0.99835976220354605</v>
      </c>
      <c r="N231" s="56">
        <v>0.99724214357030905</v>
      </c>
      <c r="O231" s="57">
        <v>0.99920641533840404</v>
      </c>
      <c r="P231" s="56">
        <v>0.99946720791576804</v>
      </c>
      <c r="Q231" s="56">
        <v>6.6675863337469995E-4</v>
      </c>
      <c r="R231" s="56">
        <v>6.8302278564000003E-5</v>
      </c>
      <c r="S231" s="56">
        <v>5.066369439659E-4</v>
      </c>
      <c r="T231" s="56">
        <v>4.72099682687E-4</v>
      </c>
      <c r="U231" s="56">
        <v>4.5864196115299999E-4</v>
      </c>
      <c r="V231" s="56">
        <v>2.645502645502E-4</v>
      </c>
      <c r="W231" s="56">
        <v>3.7968675842420003E-4</v>
      </c>
      <c r="X231" s="56">
        <v>2.3842164868569999E-4</v>
      </c>
      <c r="Y231" s="30">
        <v>3</v>
      </c>
      <c r="Z231" s="20">
        <v>0</v>
      </c>
      <c r="AA231" s="29">
        <v>4</v>
      </c>
    </row>
    <row r="232" spans="1:27" ht="14.25" customHeight="1">
      <c r="A232" s="171"/>
      <c r="B232" s="30">
        <v>24130</v>
      </c>
      <c r="C232" s="20" t="s">
        <v>263</v>
      </c>
      <c r="D232" s="20" t="s">
        <v>262</v>
      </c>
      <c r="E232" s="20" t="s">
        <v>588</v>
      </c>
      <c r="F232" s="20" t="s">
        <v>448</v>
      </c>
      <c r="G232" s="29" t="s">
        <v>1110</v>
      </c>
      <c r="H232" s="20" t="s">
        <v>1111</v>
      </c>
      <c r="I232" s="125" t="s">
        <v>1112</v>
      </c>
      <c r="J232" s="29" t="b">
        <v>1</v>
      </c>
      <c r="K232" s="102">
        <v>2.2163970760599999E-5</v>
      </c>
      <c r="L232" s="56">
        <v>1.421052490461E-4</v>
      </c>
      <c r="M232" s="56">
        <v>2.30027245449E-5</v>
      </c>
      <c r="N232" s="56">
        <v>0.38416641137676599</v>
      </c>
      <c r="O232" s="57">
        <v>2.37232915276E-5</v>
      </c>
      <c r="P232" s="56">
        <v>0</v>
      </c>
      <c r="Q232" s="56">
        <v>0</v>
      </c>
      <c r="R232" s="56">
        <v>0</v>
      </c>
      <c r="S232" s="56">
        <v>0</v>
      </c>
      <c r="T232" s="56">
        <v>1.53865091088E-5</v>
      </c>
      <c r="U232" s="56">
        <v>2.2755199563100001E-5</v>
      </c>
      <c r="V232" s="56">
        <v>0</v>
      </c>
      <c r="W232" s="56">
        <v>0</v>
      </c>
      <c r="X232" s="56">
        <v>0</v>
      </c>
      <c r="Y232" s="30">
        <v>1</v>
      </c>
      <c r="Z232" s="20">
        <v>0</v>
      </c>
      <c r="AA232" s="29">
        <v>1</v>
      </c>
    </row>
    <row r="233" spans="1:27" ht="14.25" customHeight="1">
      <c r="A233" s="171"/>
      <c r="B233" s="30">
        <v>24138</v>
      </c>
      <c r="C233" s="20" t="s">
        <v>263</v>
      </c>
      <c r="D233" s="20" t="s">
        <v>262</v>
      </c>
      <c r="E233" s="20" t="s">
        <v>494</v>
      </c>
      <c r="F233" s="20" t="s">
        <v>539</v>
      </c>
      <c r="G233" s="29" t="s">
        <v>1113</v>
      </c>
      <c r="H233" s="20" t="s">
        <v>1114</v>
      </c>
      <c r="I233" s="125" t="s">
        <v>1115</v>
      </c>
      <c r="J233" s="29" t="b">
        <v>1</v>
      </c>
      <c r="K233" s="102">
        <v>3.3244624173699999E-5</v>
      </c>
      <c r="L233" s="56">
        <v>1.0146935125280999E-3</v>
      </c>
      <c r="M233" s="56">
        <v>2.2236535394430001E-4</v>
      </c>
      <c r="N233" s="56">
        <v>8.1666753725999993E-6</v>
      </c>
      <c r="O233" s="57">
        <v>1.1865539703999999E-5</v>
      </c>
      <c r="P233" s="56">
        <v>0</v>
      </c>
      <c r="Q233" s="56">
        <v>1.14897626215E-4</v>
      </c>
      <c r="R233" s="56">
        <v>4.0437806653300003E-5</v>
      </c>
      <c r="S233" s="56">
        <v>0</v>
      </c>
      <c r="T233" s="56">
        <v>1.6925290230260001E-4</v>
      </c>
      <c r="U233" s="56">
        <v>4.0954699551770001E-4</v>
      </c>
      <c r="V233" s="56">
        <v>1.3037809647969999E-4</v>
      </c>
      <c r="W233" s="56">
        <v>0.99736272016577199</v>
      </c>
      <c r="X233" s="56">
        <v>2.322475759159E-4</v>
      </c>
      <c r="Y233" s="30">
        <v>0</v>
      </c>
      <c r="Z233" s="20">
        <v>1</v>
      </c>
      <c r="AA233" s="29">
        <v>0</v>
      </c>
    </row>
    <row r="234" spans="1:27" ht="14.25" customHeight="1">
      <c r="A234" s="171"/>
      <c r="B234" s="30">
        <v>24224</v>
      </c>
      <c r="C234" s="20" t="s">
        <v>452</v>
      </c>
      <c r="D234" s="20" t="s">
        <v>263</v>
      </c>
      <c r="E234" s="20" t="s">
        <v>473</v>
      </c>
      <c r="F234" s="20" t="s">
        <v>605</v>
      </c>
      <c r="G234" s="29" t="s">
        <v>1116</v>
      </c>
      <c r="H234" s="20" t="s">
        <v>1117</v>
      </c>
      <c r="I234" s="125" t="s">
        <v>1118</v>
      </c>
      <c r="J234" s="29" t="b">
        <v>1</v>
      </c>
      <c r="K234" s="102">
        <v>1.4538687447200001E-5</v>
      </c>
      <c r="L234" s="56">
        <v>1.8568535906700001E-5</v>
      </c>
      <c r="M234" s="56">
        <v>2.2986274640000002E-5</v>
      </c>
      <c r="N234" s="56">
        <v>2.43382161751E-5</v>
      </c>
      <c r="O234" s="57">
        <v>2.3685737633000001E-5</v>
      </c>
      <c r="P234" s="56">
        <v>0</v>
      </c>
      <c r="Q234" s="56">
        <v>9.2876381536100006E-5</v>
      </c>
      <c r="R234" s="56">
        <v>0</v>
      </c>
      <c r="S234" s="56">
        <v>0.99151762902401597</v>
      </c>
      <c r="T234" s="56">
        <v>1.158462180071E-4</v>
      </c>
      <c r="U234" s="56">
        <v>2.2861845865400001E-5</v>
      </c>
      <c r="V234" s="56">
        <v>1.3149243918470001E-4</v>
      </c>
      <c r="W234" s="56">
        <v>2.8203440819780001E-4</v>
      </c>
      <c r="X234" s="56">
        <v>0</v>
      </c>
      <c r="Y234" s="30">
        <v>0</v>
      </c>
      <c r="Z234" s="20">
        <v>1</v>
      </c>
      <c r="AA234" s="29">
        <v>0</v>
      </c>
    </row>
    <row r="235" spans="1:27" ht="14.25" customHeight="1">
      <c r="A235" s="171"/>
      <c r="B235" s="30">
        <v>24349</v>
      </c>
      <c r="C235" s="20" t="s">
        <v>452</v>
      </c>
      <c r="D235" s="20" t="s">
        <v>263</v>
      </c>
      <c r="E235" s="20" t="s">
        <v>453</v>
      </c>
      <c r="F235" s="20" t="s">
        <v>554</v>
      </c>
      <c r="G235" s="29" t="s">
        <v>1119</v>
      </c>
      <c r="H235" s="20" t="s">
        <v>1120</v>
      </c>
      <c r="I235" s="125" t="s">
        <v>1121</v>
      </c>
      <c r="J235" s="29" t="b">
        <v>0</v>
      </c>
      <c r="K235" s="102">
        <v>5.7342197695299998E-5</v>
      </c>
      <c r="L235" s="56">
        <v>4.86274291865E-5</v>
      </c>
      <c r="M235" s="56">
        <v>2.0492590647599999E-5</v>
      </c>
      <c r="N235" s="56">
        <v>2.2707514240799999E-5</v>
      </c>
      <c r="O235" s="57">
        <v>1.5698279076099999E-5</v>
      </c>
      <c r="P235" s="56">
        <v>0</v>
      </c>
      <c r="Q235" s="56">
        <v>2.3163161308200001E-5</v>
      </c>
      <c r="R235" s="56">
        <v>0.67941600674885005</v>
      </c>
      <c r="S235" s="56">
        <v>0</v>
      </c>
      <c r="T235" s="56">
        <v>2.3193066819200001E-5</v>
      </c>
      <c r="U235" s="56">
        <v>1.376620396925E-4</v>
      </c>
      <c r="V235" s="56">
        <v>0</v>
      </c>
      <c r="W235" s="56">
        <v>2.7286413248023998E-3</v>
      </c>
      <c r="X235" s="56">
        <v>0</v>
      </c>
      <c r="Y235" s="30">
        <v>0</v>
      </c>
      <c r="Z235" s="20">
        <v>1</v>
      </c>
      <c r="AA235" s="29">
        <v>0</v>
      </c>
    </row>
    <row r="236" spans="1:27" ht="14.25" customHeight="1">
      <c r="A236" s="171"/>
      <c r="B236" s="30">
        <v>24378</v>
      </c>
      <c r="C236" s="20" t="s">
        <v>263</v>
      </c>
      <c r="D236" s="20" t="s">
        <v>452</v>
      </c>
      <c r="E236" s="20" t="s">
        <v>465</v>
      </c>
      <c r="F236" s="20" t="s">
        <v>473</v>
      </c>
      <c r="G236" s="29" t="s">
        <v>1122</v>
      </c>
      <c r="H236" s="20" t="s">
        <v>1123</v>
      </c>
      <c r="I236" s="125" t="s">
        <v>1124</v>
      </c>
      <c r="J236" s="29" t="b">
        <v>1</v>
      </c>
      <c r="K236" s="102">
        <v>2.0756885936417998E-3</v>
      </c>
      <c r="L236" s="56">
        <v>2.0661212536438999E-3</v>
      </c>
      <c r="M236" s="56">
        <v>1.0782817158253E-3</v>
      </c>
      <c r="N236" s="56">
        <v>1.0180590713111E-3</v>
      </c>
      <c r="O236" s="57">
        <v>0.99448731647473199</v>
      </c>
      <c r="P236" s="56">
        <v>1.2867415163364999E-3</v>
      </c>
      <c r="Q236" s="56">
        <v>1.4364154484164001E-3</v>
      </c>
      <c r="R236" s="56">
        <v>1.3946434857963E-3</v>
      </c>
      <c r="S236" s="56">
        <v>2.6476578411405E-3</v>
      </c>
      <c r="T236" s="56">
        <v>1.7172295363480001E-3</v>
      </c>
      <c r="U236" s="56">
        <v>2.9550556650019999E-3</v>
      </c>
      <c r="V236" s="56">
        <v>1.4502307185233999E-3</v>
      </c>
      <c r="W236" s="56">
        <v>5.6459960478020003E-4</v>
      </c>
      <c r="X236" s="56">
        <v>2.69018350258328E-2</v>
      </c>
      <c r="Y236" s="30">
        <v>1</v>
      </c>
      <c r="Z236" s="20">
        <v>0</v>
      </c>
      <c r="AA236" s="29">
        <v>1</v>
      </c>
    </row>
    <row r="237" spans="1:27" ht="14.25" customHeight="1">
      <c r="A237" s="171"/>
      <c r="B237" s="30">
        <v>24410</v>
      </c>
      <c r="C237" s="20" t="s">
        <v>261</v>
      </c>
      <c r="D237" s="20" t="s">
        <v>262</v>
      </c>
      <c r="E237" s="20" t="s">
        <v>457</v>
      </c>
      <c r="F237" s="20" t="s">
        <v>539</v>
      </c>
      <c r="G237" s="29" t="s">
        <v>1125</v>
      </c>
      <c r="H237" s="20" t="s">
        <v>1126</v>
      </c>
      <c r="I237" s="125" t="s">
        <v>1127</v>
      </c>
      <c r="J237" s="29" t="b">
        <v>1</v>
      </c>
      <c r="K237" s="102">
        <v>1.496183023366E-4</v>
      </c>
      <c r="L237" s="56">
        <v>0.98279883716658001</v>
      </c>
      <c r="M237" s="56">
        <v>2.5614754098300001E-5</v>
      </c>
      <c r="N237" s="56">
        <v>1.534979682773E-4</v>
      </c>
      <c r="O237" s="57">
        <v>5.1039237395199998E-5</v>
      </c>
      <c r="P237" s="56">
        <v>0</v>
      </c>
      <c r="Q237" s="56">
        <v>6.7118753905609995E-4</v>
      </c>
      <c r="R237" s="56">
        <v>1.3556380988500001E-5</v>
      </c>
      <c r="S237" s="56">
        <v>2.0273694880890001E-4</v>
      </c>
      <c r="T237" s="56">
        <v>2.317944755649E-4</v>
      </c>
      <c r="U237" s="56">
        <v>9.1472478218100002E-5</v>
      </c>
      <c r="V237" s="56">
        <v>1.5743899239044001E-3</v>
      </c>
      <c r="W237" s="56">
        <v>3.4807149576669E-3</v>
      </c>
      <c r="X237" s="56">
        <v>0.97391694437323695</v>
      </c>
      <c r="Y237" s="30">
        <v>1</v>
      </c>
      <c r="Z237" s="20">
        <v>1</v>
      </c>
      <c r="AA237" s="29">
        <v>0</v>
      </c>
    </row>
    <row r="238" spans="1:27" ht="14.25" customHeight="1">
      <c r="A238" s="171"/>
      <c r="B238" s="30">
        <v>24424</v>
      </c>
      <c r="C238" s="20" t="s">
        <v>262</v>
      </c>
      <c r="D238" s="20" t="s">
        <v>452</v>
      </c>
      <c r="E238" s="20" t="s">
        <v>547</v>
      </c>
      <c r="F238" s="20" t="s">
        <v>571</v>
      </c>
      <c r="G238" s="29" t="s">
        <v>1128</v>
      </c>
      <c r="H238" s="20" t="s">
        <v>1129</v>
      </c>
      <c r="I238" s="125" t="s">
        <v>1130</v>
      </c>
      <c r="J238" s="29" t="b">
        <v>1</v>
      </c>
      <c r="K238" s="102">
        <v>1.4494174620700001E-5</v>
      </c>
      <c r="L238" s="56">
        <v>2.034813855853E-4</v>
      </c>
      <c r="M238" s="56">
        <v>0.99811484140911699</v>
      </c>
      <c r="N238" s="56">
        <v>0.99906255052908199</v>
      </c>
      <c r="O238" s="57">
        <v>0.99830446608343404</v>
      </c>
      <c r="P238" s="56">
        <v>0.99911758773699</v>
      </c>
      <c r="Q238" s="56">
        <v>4.5946380573800003E-5</v>
      </c>
      <c r="R238" s="56">
        <v>1.3880984439399999E-5</v>
      </c>
      <c r="S238" s="56">
        <v>0</v>
      </c>
      <c r="T238" s="56">
        <v>0</v>
      </c>
      <c r="U238" s="56">
        <v>2.2792022791999998E-5</v>
      </c>
      <c r="V238" s="56">
        <v>3.9047247169070001E-4</v>
      </c>
      <c r="W238" s="56">
        <v>0</v>
      </c>
      <c r="X238" s="56">
        <v>0</v>
      </c>
      <c r="Y238" s="30">
        <v>3</v>
      </c>
      <c r="Z238" s="20">
        <v>0</v>
      </c>
      <c r="AA238" s="29">
        <v>4</v>
      </c>
    </row>
    <row r="239" spans="1:27" ht="14.25" customHeight="1">
      <c r="A239" s="171"/>
      <c r="B239" s="30">
        <v>24432</v>
      </c>
      <c r="C239" s="20" t="s">
        <v>262</v>
      </c>
      <c r="D239" s="20" t="s">
        <v>261</v>
      </c>
      <c r="E239" s="20" t="s">
        <v>547</v>
      </c>
      <c r="F239" s="20" t="s">
        <v>646</v>
      </c>
      <c r="G239" s="29" t="s">
        <v>1131</v>
      </c>
      <c r="H239" s="20" t="s">
        <v>1132</v>
      </c>
      <c r="I239" s="125" t="s">
        <v>1133</v>
      </c>
      <c r="J239" s="29" t="b">
        <v>1</v>
      </c>
      <c r="K239" s="102">
        <v>2.0501308239699999E-5</v>
      </c>
      <c r="L239" s="56">
        <v>1.41154170601E-5</v>
      </c>
      <c r="M239" s="56">
        <v>2.8085441018000002E-5</v>
      </c>
      <c r="N239" s="56">
        <v>7.5593824200000002E-6</v>
      </c>
      <c r="O239" s="57">
        <v>3.9263418272999998E-6</v>
      </c>
      <c r="P239" s="56">
        <v>0</v>
      </c>
      <c r="Q239" s="56">
        <v>4.60161516692E-5</v>
      </c>
      <c r="R239" s="56">
        <v>1.53642872507E-5</v>
      </c>
      <c r="S239" s="56">
        <v>0</v>
      </c>
      <c r="T239" s="56">
        <v>3.8698192794300003E-5</v>
      </c>
      <c r="U239" s="56">
        <v>0.31484532308255497</v>
      </c>
      <c r="V239" s="56">
        <v>0</v>
      </c>
      <c r="W239" s="56">
        <v>9.4161958568699997E-5</v>
      </c>
      <c r="X239" s="56">
        <v>5.8034937032E-5</v>
      </c>
      <c r="Y239" s="30">
        <v>0</v>
      </c>
      <c r="Z239" s="20">
        <v>1</v>
      </c>
      <c r="AA239" s="29">
        <v>0</v>
      </c>
    </row>
    <row r="240" spans="1:27" ht="14.25" customHeight="1">
      <c r="A240" s="171"/>
      <c r="B240" s="30">
        <v>24469</v>
      </c>
      <c r="C240" s="20" t="s">
        <v>452</v>
      </c>
      <c r="D240" s="20" t="s">
        <v>262</v>
      </c>
      <c r="E240" s="20" t="s">
        <v>539</v>
      </c>
      <c r="F240" s="20" t="s">
        <v>448</v>
      </c>
      <c r="G240" s="29" t="s">
        <v>1134</v>
      </c>
      <c r="H240" s="20" t="s">
        <v>1135</v>
      </c>
      <c r="I240" s="125" t="s">
        <v>1136</v>
      </c>
      <c r="J240" s="29" t="b">
        <v>1</v>
      </c>
      <c r="K240" s="102">
        <v>1.45395578605E-5</v>
      </c>
      <c r="L240" s="56">
        <v>2.3548390710590001E-4</v>
      </c>
      <c r="M240" s="56">
        <v>0.99953161234812404</v>
      </c>
      <c r="N240" s="56">
        <v>0.99907893993071095</v>
      </c>
      <c r="O240" s="57">
        <v>0.99927259713939998</v>
      </c>
      <c r="P240" s="56">
        <v>0.99967324368480504</v>
      </c>
      <c r="Q240" s="56">
        <v>2.31905568052E-5</v>
      </c>
      <c r="R240" s="56">
        <v>1.35268575757E-5</v>
      </c>
      <c r="S240" s="56">
        <v>0</v>
      </c>
      <c r="T240" s="56">
        <v>2.5558214642530002E-4</v>
      </c>
      <c r="U240" s="56">
        <v>2.2860277980899998E-5</v>
      </c>
      <c r="V240" s="56">
        <v>2.6243275160740001E-4</v>
      </c>
      <c r="W240" s="56">
        <v>0</v>
      </c>
      <c r="X240" s="56">
        <v>2.9701793988349997E-4</v>
      </c>
      <c r="Y240" s="30">
        <v>3</v>
      </c>
      <c r="Z240" s="20">
        <v>0</v>
      </c>
      <c r="AA240" s="29">
        <v>4</v>
      </c>
    </row>
    <row r="241" spans="1:27" ht="14.25" customHeight="1">
      <c r="A241" s="171"/>
      <c r="B241" s="30">
        <v>24503</v>
      </c>
      <c r="C241" s="20" t="s">
        <v>263</v>
      </c>
      <c r="D241" s="20" t="s">
        <v>452</v>
      </c>
      <c r="E241" s="20" t="s">
        <v>605</v>
      </c>
      <c r="F241" s="20" t="s">
        <v>473</v>
      </c>
      <c r="G241" s="29" t="s">
        <v>1137</v>
      </c>
      <c r="H241" s="20" t="s">
        <v>1138</v>
      </c>
      <c r="I241" s="125" t="s">
        <v>1139</v>
      </c>
      <c r="J241" s="29" t="b">
        <v>1</v>
      </c>
      <c r="K241" s="102">
        <v>7.6934649997999996E-6</v>
      </c>
      <c r="L241" s="56">
        <v>1.7871716016189999E-4</v>
      </c>
      <c r="M241" s="56">
        <v>5.0820496921999998E-6</v>
      </c>
      <c r="N241" s="56">
        <v>0.38394309290662498</v>
      </c>
      <c r="O241" s="57">
        <v>7.7321281521999994E-6</v>
      </c>
      <c r="P241" s="56">
        <v>0</v>
      </c>
      <c r="Q241" s="56">
        <v>4.6343498007199999E-5</v>
      </c>
      <c r="R241" s="56">
        <v>1.3513696131E-5</v>
      </c>
      <c r="S241" s="56">
        <v>0</v>
      </c>
      <c r="T241" s="56">
        <v>0</v>
      </c>
      <c r="U241" s="56">
        <v>0</v>
      </c>
      <c r="V241" s="56">
        <v>0</v>
      </c>
      <c r="W241" s="56">
        <v>0</v>
      </c>
      <c r="X241" s="56">
        <v>0</v>
      </c>
      <c r="Y241" s="30">
        <v>1</v>
      </c>
      <c r="Z241" s="20">
        <v>0</v>
      </c>
      <c r="AA241" s="29">
        <v>1</v>
      </c>
    </row>
    <row r="242" spans="1:27" ht="14.25" customHeight="1">
      <c r="A242" s="171"/>
      <c r="B242" s="30">
        <v>24506</v>
      </c>
      <c r="C242" s="20" t="s">
        <v>452</v>
      </c>
      <c r="D242" s="20" t="s">
        <v>261</v>
      </c>
      <c r="E242" s="20" t="s">
        <v>522</v>
      </c>
      <c r="F242" s="20" t="s">
        <v>508</v>
      </c>
      <c r="G242" s="29" t="s">
        <v>1140</v>
      </c>
      <c r="H242" s="20" t="s">
        <v>1141</v>
      </c>
      <c r="I242" s="125" t="s">
        <v>1142</v>
      </c>
      <c r="J242" s="29" t="b">
        <v>1</v>
      </c>
      <c r="K242" s="102">
        <v>0.99783018803325096</v>
      </c>
      <c r="L242" s="56">
        <v>7.8829118849399994E-5</v>
      </c>
      <c r="M242" s="56">
        <v>1.7788213529700001E-5</v>
      </c>
      <c r="N242" s="56">
        <v>3.2932566568699998E-5</v>
      </c>
      <c r="O242" s="57">
        <v>2.7064331916900002E-5</v>
      </c>
      <c r="P242" s="56">
        <v>2.5058888387699999E-5</v>
      </c>
      <c r="Q242" s="56">
        <v>6.9531358642740005E-4</v>
      </c>
      <c r="R242" s="56">
        <v>3.784397469859E-4</v>
      </c>
      <c r="S242" s="56">
        <v>5.0591925528680002E-4</v>
      </c>
      <c r="T242" s="56">
        <v>7.9730618879899999E-4</v>
      </c>
      <c r="U242" s="56">
        <v>1.6680376565213E-3</v>
      </c>
      <c r="V242" s="56">
        <v>7.8853988697589995E-4</v>
      </c>
      <c r="W242" s="56">
        <v>3.7622272385250002E-4</v>
      </c>
      <c r="X242" s="56">
        <v>8.3125519534490001E-4</v>
      </c>
      <c r="Y242" s="30">
        <v>1</v>
      </c>
      <c r="Z242" s="20">
        <v>0</v>
      </c>
      <c r="AA242" s="29">
        <v>0</v>
      </c>
    </row>
    <row r="243" spans="1:27" ht="14.25" customHeight="1">
      <c r="A243" s="171"/>
      <c r="B243" s="30">
        <v>24642</v>
      </c>
      <c r="C243" s="20" t="s">
        <v>263</v>
      </c>
      <c r="D243" s="20" t="s">
        <v>452</v>
      </c>
      <c r="E243" s="20" t="s">
        <v>494</v>
      </c>
      <c r="F243" s="20" t="s">
        <v>499</v>
      </c>
      <c r="G243" s="29" t="s">
        <v>1143</v>
      </c>
      <c r="H243" s="20" t="s">
        <v>1144</v>
      </c>
      <c r="I243" s="125" t="s">
        <v>1145</v>
      </c>
      <c r="J243" s="29" t="b">
        <v>1</v>
      </c>
      <c r="K243" s="102">
        <v>4.6088259015999997E-5</v>
      </c>
      <c r="L243" s="56">
        <v>9.1322011047379999E-4</v>
      </c>
      <c r="M243" s="56">
        <v>4.8429235965000001E-5</v>
      </c>
      <c r="N243" s="56">
        <v>5.0681020435300002E-5</v>
      </c>
      <c r="O243" s="57">
        <v>4.2649379451499997E-5</v>
      </c>
      <c r="P243" s="56">
        <v>2.5097251850899999E-5</v>
      </c>
      <c r="Q243" s="56">
        <v>6.943480072212E-4</v>
      </c>
      <c r="R243" s="56">
        <v>3.2323667658819998E-4</v>
      </c>
      <c r="S243" s="56">
        <v>4.037956793862E-4</v>
      </c>
      <c r="T243" s="56">
        <v>0.99463973105702597</v>
      </c>
      <c r="U243" s="56">
        <v>1.5106080761166001E-3</v>
      </c>
      <c r="V243" s="56">
        <v>0</v>
      </c>
      <c r="W243" s="56">
        <v>3.7586919751920003E-4</v>
      </c>
      <c r="X243" s="56">
        <v>5.3361792956240005E-4</v>
      </c>
      <c r="Y243" s="30">
        <v>0</v>
      </c>
      <c r="Z243" s="20">
        <v>1</v>
      </c>
      <c r="AA243" s="29">
        <v>0</v>
      </c>
    </row>
    <row r="244" spans="1:27" ht="14.25" customHeight="1">
      <c r="A244" s="171"/>
      <c r="B244" s="30">
        <v>24748</v>
      </c>
      <c r="C244" s="20" t="s">
        <v>263</v>
      </c>
      <c r="D244" s="20" t="s">
        <v>452</v>
      </c>
      <c r="E244" s="20" t="s">
        <v>472</v>
      </c>
      <c r="F244" s="20" t="s">
        <v>473</v>
      </c>
      <c r="G244" s="29" t="s">
        <v>1146</v>
      </c>
      <c r="H244" s="20" t="s">
        <v>1147</v>
      </c>
      <c r="I244" s="125" t="s">
        <v>1148</v>
      </c>
      <c r="J244" s="29" t="b">
        <v>0</v>
      </c>
      <c r="K244" s="102">
        <v>7.2615372115690004E-4</v>
      </c>
      <c r="L244" s="56">
        <v>8.4509015559199995E-4</v>
      </c>
      <c r="M244" s="56">
        <v>1.1791705232726999E-3</v>
      </c>
      <c r="N244" s="56">
        <v>2.8291882204720001E-4</v>
      </c>
      <c r="O244" s="57">
        <v>3.1566628684050001E-4</v>
      </c>
      <c r="P244" s="56">
        <v>6.998425354295E-4</v>
      </c>
      <c r="Q244" s="56">
        <v>1.3697691938899999E-4</v>
      </c>
      <c r="R244" s="56">
        <v>2.7700465631629999E-4</v>
      </c>
      <c r="S244" s="56">
        <v>0.99236947791164598</v>
      </c>
      <c r="T244" s="56">
        <v>1.7670939682684001E-3</v>
      </c>
      <c r="U244" s="56">
        <v>1.9651084084800001E-4</v>
      </c>
      <c r="V244" s="56">
        <v>1.295840352468E-4</v>
      </c>
      <c r="W244" s="56">
        <v>2.8045246330739998E-4</v>
      </c>
      <c r="X244" s="56">
        <v>6.8823124569850004E-4</v>
      </c>
      <c r="Y244" s="30">
        <v>0</v>
      </c>
      <c r="Z244" s="20">
        <v>1</v>
      </c>
      <c r="AA244" s="29">
        <v>0</v>
      </c>
    </row>
    <row r="245" spans="1:27" ht="14.25" customHeight="1">
      <c r="A245" s="171"/>
      <c r="B245" s="30">
        <v>24775</v>
      </c>
      <c r="C245" s="20" t="s">
        <v>262</v>
      </c>
      <c r="D245" s="20" t="s">
        <v>452</v>
      </c>
      <c r="E245" s="20" t="s">
        <v>547</v>
      </c>
      <c r="F245" s="20" t="s">
        <v>571</v>
      </c>
      <c r="G245" s="29" t="s">
        <v>1149</v>
      </c>
      <c r="H245" s="20" t="s">
        <v>1150</v>
      </c>
      <c r="I245" s="125" t="s">
        <v>1151</v>
      </c>
      <c r="J245" s="29" t="b">
        <v>1</v>
      </c>
      <c r="K245" s="102">
        <v>4.2334421609999999E-6</v>
      </c>
      <c r="L245" s="56">
        <v>4.5487718650399999E-5</v>
      </c>
      <c r="M245" s="56">
        <v>1.0116235546399999E-5</v>
      </c>
      <c r="N245" s="56">
        <v>9.3277177414000007E-6</v>
      </c>
      <c r="O245" s="57">
        <v>0</v>
      </c>
      <c r="P245" s="56">
        <v>0</v>
      </c>
      <c r="Q245" s="56">
        <v>0</v>
      </c>
      <c r="R245" s="56">
        <v>0</v>
      </c>
      <c r="S245" s="56">
        <v>0</v>
      </c>
      <c r="T245" s="56">
        <v>0</v>
      </c>
      <c r="U245" s="56">
        <v>0</v>
      </c>
      <c r="V245" s="56">
        <v>0.93881011097410605</v>
      </c>
      <c r="W245" s="56">
        <v>0</v>
      </c>
      <c r="X245" s="56">
        <v>0</v>
      </c>
      <c r="Y245" s="30">
        <v>0</v>
      </c>
      <c r="Z245" s="20">
        <v>1</v>
      </c>
      <c r="AA245" s="29">
        <v>0</v>
      </c>
    </row>
    <row r="246" spans="1:27" ht="14.25" customHeight="1">
      <c r="A246" s="171"/>
      <c r="B246" s="30">
        <v>24863</v>
      </c>
      <c r="C246" s="20" t="s">
        <v>263</v>
      </c>
      <c r="D246" s="20" t="s">
        <v>261</v>
      </c>
      <c r="E246" s="20" t="s">
        <v>570</v>
      </c>
      <c r="F246" s="20" t="s">
        <v>458</v>
      </c>
      <c r="G246" s="29" t="s">
        <v>1152</v>
      </c>
      <c r="H246" s="20" t="s">
        <v>1153</v>
      </c>
      <c r="I246" s="125" t="s">
        <v>1154</v>
      </c>
      <c r="J246" s="29" t="b">
        <v>1</v>
      </c>
      <c r="K246" s="102">
        <v>1.35596093137E-5</v>
      </c>
      <c r="L246" s="56">
        <v>1.8072946427900001E-5</v>
      </c>
      <c r="M246" s="56">
        <v>1.7724256150899999E-5</v>
      </c>
      <c r="N246" s="56">
        <v>2.0052645081600001E-5</v>
      </c>
      <c r="O246" s="57">
        <v>5.7616519808500001E-5</v>
      </c>
      <c r="P246" s="56">
        <v>0</v>
      </c>
      <c r="Q246" s="56">
        <v>0</v>
      </c>
      <c r="R246" s="56">
        <v>0</v>
      </c>
      <c r="S246" s="56">
        <v>0</v>
      </c>
      <c r="T246" s="56">
        <v>0</v>
      </c>
      <c r="U246" s="56">
        <v>0</v>
      </c>
      <c r="V246" s="56">
        <v>0.31451401624312197</v>
      </c>
      <c r="W246" s="56">
        <v>9.3606664794500006E-5</v>
      </c>
      <c r="X246" s="56">
        <v>0</v>
      </c>
      <c r="Y246" s="30">
        <v>0</v>
      </c>
      <c r="Z246" s="20">
        <v>1</v>
      </c>
      <c r="AA246" s="29">
        <v>0</v>
      </c>
    </row>
    <row r="247" spans="1:27" ht="14.25" customHeight="1">
      <c r="A247" s="171"/>
      <c r="B247" s="30">
        <v>24914</v>
      </c>
      <c r="C247" s="20" t="s">
        <v>261</v>
      </c>
      <c r="D247" s="20" t="s">
        <v>263</v>
      </c>
      <c r="E247" s="20" t="s">
        <v>458</v>
      </c>
      <c r="F247" s="20" t="s">
        <v>570</v>
      </c>
      <c r="G247" s="29" t="s">
        <v>1155</v>
      </c>
      <c r="H247" s="20" t="s">
        <v>1156</v>
      </c>
      <c r="I247" s="125" t="s">
        <v>1157</v>
      </c>
      <c r="J247" s="29" t="b">
        <v>1</v>
      </c>
      <c r="K247" s="102">
        <v>0.99525279804919198</v>
      </c>
      <c r="L247" s="56">
        <v>7.0300385737100005E-5</v>
      </c>
      <c r="M247" s="56">
        <v>2.02607559288E-5</v>
      </c>
      <c r="N247" s="56">
        <v>2.7569605979699999E-5</v>
      </c>
      <c r="O247" s="57">
        <v>1.15326508566E-5</v>
      </c>
      <c r="P247" s="56">
        <v>0</v>
      </c>
      <c r="Q247" s="56">
        <v>1.6720109940448001E-3</v>
      </c>
      <c r="R247" s="56">
        <v>4.2262635867770001E-4</v>
      </c>
      <c r="S247" s="56">
        <v>9.017132551848E-4</v>
      </c>
      <c r="T247" s="56">
        <v>1.7230731696159E-3</v>
      </c>
      <c r="U247" s="56">
        <v>1.3558728978501999E-3</v>
      </c>
      <c r="V247" s="56">
        <v>1.3005592404730001E-4</v>
      </c>
      <c r="W247" s="56">
        <v>2.8089887640440003E-4</v>
      </c>
      <c r="X247" s="56">
        <v>2.3124060585030001E-4</v>
      </c>
      <c r="Y247" s="30">
        <v>1</v>
      </c>
      <c r="Z247" s="20">
        <v>0</v>
      </c>
      <c r="AA247" s="29">
        <v>0</v>
      </c>
    </row>
    <row r="248" spans="1:27" ht="14.25" customHeight="1">
      <c r="A248" s="171"/>
      <c r="B248" s="30">
        <v>24990</v>
      </c>
      <c r="C248" s="20" t="s">
        <v>263</v>
      </c>
      <c r="D248" s="20" t="s">
        <v>452</v>
      </c>
      <c r="E248" s="20" t="s">
        <v>580</v>
      </c>
      <c r="F248" s="20" t="s">
        <v>605</v>
      </c>
      <c r="G248" s="29" t="s">
        <v>1158</v>
      </c>
      <c r="H248" s="20" t="s">
        <v>1159</v>
      </c>
      <c r="I248" s="125" t="s">
        <v>1160</v>
      </c>
      <c r="J248" s="29" t="b">
        <v>1</v>
      </c>
      <c r="K248" s="102">
        <v>5.1682607785700001E-5</v>
      </c>
      <c r="L248" s="56">
        <v>7.0090615558499994E-5</v>
      </c>
      <c r="M248" s="56">
        <v>2.3817426755070001E-4</v>
      </c>
      <c r="N248" s="56">
        <v>4.7713397134100001E-4</v>
      </c>
      <c r="O248" s="57">
        <v>0.99763038653597202</v>
      </c>
      <c r="P248" s="56">
        <v>7.7345309381229995E-4</v>
      </c>
      <c r="Q248" s="56">
        <v>4.5760307509199998E-5</v>
      </c>
      <c r="R248" s="56">
        <v>3.9664176637700003E-5</v>
      </c>
      <c r="S248" s="56">
        <v>1.0013016921990001E-4</v>
      </c>
      <c r="T248" s="56">
        <v>3.0497800346100001E-5</v>
      </c>
      <c r="U248" s="56">
        <v>0</v>
      </c>
      <c r="V248" s="56">
        <v>0</v>
      </c>
      <c r="W248" s="56">
        <v>9.3536619586500006E-5</v>
      </c>
      <c r="X248" s="56">
        <v>0</v>
      </c>
      <c r="Y248" s="30">
        <v>1</v>
      </c>
      <c r="Z248" s="20">
        <v>0</v>
      </c>
      <c r="AA248" s="29">
        <v>1</v>
      </c>
    </row>
    <row r="249" spans="1:27" ht="14.25" customHeight="1">
      <c r="A249" s="171"/>
      <c r="B249" s="30">
        <v>25000</v>
      </c>
      <c r="C249" s="20" t="s">
        <v>263</v>
      </c>
      <c r="D249" s="20" t="s">
        <v>452</v>
      </c>
      <c r="E249" s="20" t="s">
        <v>458</v>
      </c>
      <c r="F249" s="20" t="s">
        <v>457</v>
      </c>
      <c r="G249" s="29" t="s">
        <v>1161</v>
      </c>
      <c r="H249" s="20" t="s">
        <v>1162</v>
      </c>
      <c r="I249" s="125" t="s">
        <v>1163</v>
      </c>
      <c r="J249" s="29" t="b">
        <v>0</v>
      </c>
      <c r="K249" s="102">
        <v>1.0465055189395999E-3</v>
      </c>
      <c r="L249" s="56">
        <v>1.2049349419970001E-3</v>
      </c>
      <c r="M249" s="56">
        <v>0.99484971099739605</v>
      </c>
      <c r="N249" s="56">
        <v>0.995019159226882</v>
      </c>
      <c r="O249" s="57">
        <v>0.99734462189724804</v>
      </c>
      <c r="P249" s="56">
        <v>0.99914857386121703</v>
      </c>
      <c r="Q249" s="56">
        <v>5.0334034959269996E-4</v>
      </c>
      <c r="R249" s="56">
        <v>2.3219403460354002E-3</v>
      </c>
      <c r="S249" s="56">
        <v>3.5056089743588999E-3</v>
      </c>
      <c r="T249" s="56">
        <v>1.2498094802621E-3</v>
      </c>
      <c r="U249" s="56">
        <v>3.7621943217112999E-3</v>
      </c>
      <c r="V249" s="56">
        <v>2.5970653161920001E-4</v>
      </c>
      <c r="W249" s="56">
        <v>1.0290953316493001E-3</v>
      </c>
      <c r="X249" s="56">
        <v>5.7840245242629998E-4</v>
      </c>
      <c r="Y249" s="30">
        <v>3</v>
      </c>
      <c r="Z249" s="20">
        <v>0</v>
      </c>
      <c r="AA249" s="29">
        <v>4</v>
      </c>
    </row>
    <row r="250" spans="1:27" ht="14.25" customHeight="1">
      <c r="A250" s="171"/>
      <c r="B250" s="30">
        <v>25088</v>
      </c>
      <c r="C250" s="20" t="s">
        <v>261</v>
      </c>
      <c r="D250" s="20" t="s">
        <v>452</v>
      </c>
      <c r="E250" s="20" t="s">
        <v>480</v>
      </c>
      <c r="F250" s="20" t="s">
        <v>473</v>
      </c>
      <c r="G250" s="29" t="s">
        <v>1164</v>
      </c>
      <c r="H250" s="20" t="s">
        <v>1165</v>
      </c>
      <c r="I250" s="125" t="s">
        <v>1166</v>
      </c>
      <c r="J250" s="29" t="b">
        <v>1</v>
      </c>
      <c r="K250" s="103">
        <v>1.1196039422290999E-3</v>
      </c>
      <c r="L250" s="95">
        <v>1.5172461657463E-3</v>
      </c>
      <c r="M250" s="95">
        <v>3.8819087827550002E-4</v>
      </c>
      <c r="N250" s="95">
        <v>1.208398930288E-4</v>
      </c>
      <c r="O250" s="57">
        <v>5.9210782595139997E-4</v>
      </c>
      <c r="P250" s="95">
        <v>1.7489506296219999E-4</v>
      </c>
      <c r="Q250" s="95">
        <v>2.9993309184874E-3</v>
      </c>
      <c r="R250" s="95">
        <v>1.2504822338401001E-3</v>
      </c>
      <c r="S250" s="95">
        <v>8.0726538849640002E-4</v>
      </c>
      <c r="T250" s="95">
        <v>0.99454516161205397</v>
      </c>
      <c r="U250" s="95">
        <v>1.9710475022439999E-4</v>
      </c>
      <c r="V250" s="95">
        <v>7.8318757342379995E-4</v>
      </c>
      <c r="W250" s="95">
        <v>5.6322162771050004E-4</v>
      </c>
      <c r="X250" s="95">
        <v>1.6477373035954999E-3</v>
      </c>
      <c r="Y250" s="35">
        <v>0</v>
      </c>
      <c r="Z250" s="33">
        <v>1</v>
      </c>
      <c r="AA250" s="32">
        <v>0</v>
      </c>
    </row>
    <row r="251" spans="1:27" ht="14.25" customHeight="1">
      <c r="A251" s="21"/>
      <c r="B251" s="27"/>
      <c r="C251" s="27"/>
      <c r="D251" s="27"/>
      <c r="E251" s="27"/>
      <c r="F251" s="27"/>
      <c r="G251" s="27"/>
      <c r="H251" s="27"/>
      <c r="I251" s="27"/>
      <c r="J251" s="27"/>
      <c r="K251" s="20"/>
      <c r="L251" s="20"/>
      <c r="M251" s="20"/>
      <c r="N251" s="20"/>
      <c r="O251" s="27"/>
      <c r="P251" s="20"/>
      <c r="Q251" s="20"/>
      <c r="R251" s="20"/>
      <c r="S251" s="20"/>
      <c r="T251" s="20"/>
      <c r="U251" s="20"/>
      <c r="V251" s="20"/>
      <c r="W251" s="20"/>
      <c r="X251" s="20"/>
      <c r="Y251" s="20"/>
      <c r="Z251" s="20"/>
      <c r="AA251" s="20"/>
    </row>
    <row r="252" spans="1:27" ht="14.25" customHeight="1">
      <c r="A252" s="39"/>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c r="AA252" s="20"/>
    </row>
    <row r="253" spans="1:27" ht="14.25" customHeight="1">
      <c r="A253" s="219" t="s">
        <v>1219</v>
      </c>
      <c r="B253" s="171"/>
      <c r="C253" s="171"/>
      <c r="D253" s="171"/>
      <c r="E253" s="171"/>
      <c r="F253" s="171"/>
      <c r="G253" s="171"/>
      <c r="H253" s="171"/>
      <c r="I253" s="171"/>
      <c r="J253" s="20"/>
      <c r="K253" s="20"/>
      <c r="L253" s="20"/>
      <c r="M253" s="20"/>
      <c r="N253" s="20"/>
      <c r="O253" s="20"/>
      <c r="P253" s="20"/>
      <c r="Q253" s="20"/>
      <c r="R253" s="20"/>
      <c r="S253" s="20"/>
      <c r="T253" s="20"/>
      <c r="U253" s="20"/>
      <c r="V253" s="20"/>
      <c r="W253" s="20"/>
      <c r="X253" s="20"/>
      <c r="Y253" s="20"/>
      <c r="Z253" s="20"/>
      <c r="AA253" s="20"/>
    </row>
    <row r="254" spans="1:27" ht="14.25" customHeight="1">
      <c r="A254" s="171"/>
      <c r="B254" s="171"/>
      <c r="C254" s="171"/>
      <c r="D254" s="171"/>
      <c r="E254" s="171"/>
      <c r="F254" s="171"/>
      <c r="G254" s="171"/>
      <c r="H254" s="171"/>
      <c r="I254" s="171"/>
      <c r="J254" s="20"/>
      <c r="K254" s="20"/>
      <c r="L254" s="20"/>
      <c r="M254" s="20"/>
      <c r="N254" s="20"/>
      <c r="O254" s="20"/>
      <c r="P254" s="20"/>
      <c r="Q254" s="20"/>
      <c r="R254" s="20"/>
      <c r="S254" s="20"/>
      <c r="T254" s="20"/>
      <c r="U254" s="20"/>
      <c r="V254" s="20"/>
      <c r="W254" s="20"/>
      <c r="X254" s="20"/>
      <c r="Y254" s="20"/>
      <c r="Z254" s="20"/>
      <c r="AA254" s="20"/>
    </row>
    <row r="255" spans="1:27" ht="14.25" customHeight="1">
      <c r="A255" s="171"/>
      <c r="B255" s="171"/>
      <c r="C255" s="171"/>
      <c r="D255" s="171"/>
      <c r="E255" s="171"/>
      <c r="F255" s="171"/>
      <c r="G255" s="171"/>
      <c r="H255" s="171"/>
      <c r="I255" s="171"/>
      <c r="J255" s="20"/>
      <c r="K255" s="20"/>
      <c r="L255" s="20"/>
      <c r="M255" s="20"/>
      <c r="N255" s="20"/>
      <c r="O255" s="20"/>
      <c r="P255" s="20"/>
      <c r="Q255" s="20"/>
      <c r="R255" s="20"/>
      <c r="S255" s="20"/>
      <c r="T255" s="20"/>
      <c r="U255" s="20"/>
      <c r="V255" s="20"/>
      <c r="W255" s="20"/>
      <c r="X255" s="20"/>
      <c r="Y255" s="20"/>
      <c r="Z255" s="20"/>
      <c r="AA255" s="20"/>
    </row>
    <row r="256" spans="1:27" ht="14.25" customHeight="1">
      <c r="A256" s="171"/>
      <c r="B256" s="171"/>
      <c r="C256" s="171"/>
      <c r="D256" s="171"/>
      <c r="E256" s="171"/>
      <c r="F256" s="171"/>
      <c r="G256" s="171"/>
      <c r="H256" s="171"/>
      <c r="I256" s="171"/>
      <c r="J256" s="20"/>
      <c r="K256" s="20"/>
      <c r="L256" s="20"/>
      <c r="M256" s="20"/>
      <c r="N256" s="20"/>
      <c r="O256" s="20"/>
      <c r="P256" s="20"/>
      <c r="Q256" s="20"/>
      <c r="R256" s="20"/>
      <c r="S256" s="20"/>
      <c r="T256" s="20"/>
      <c r="U256" s="20"/>
      <c r="V256" s="20"/>
      <c r="W256" s="20"/>
      <c r="X256" s="20"/>
      <c r="Y256" s="20"/>
      <c r="Z256" s="20"/>
      <c r="AA256" s="20"/>
    </row>
    <row r="257" spans="1:27" ht="14.25" customHeight="1">
      <c r="A257" s="171"/>
      <c r="B257" s="171"/>
      <c r="C257" s="171"/>
      <c r="D257" s="171"/>
      <c r="E257" s="171"/>
      <c r="F257" s="171"/>
      <c r="G257" s="171"/>
      <c r="H257" s="171"/>
      <c r="I257" s="171"/>
      <c r="J257" s="20"/>
      <c r="K257" s="20"/>
      <c r="L257" s="20"/>
      <c r="M257" s="20"/>
      <c r="N257" s="20"/>
      <c r="O257" s="20"/>
      <c r="P257" s="20"/>
      <c r="Q257" s="20"/>
      <c r="R257" s="20"/>
      <c r="S257" s="20"/>
      <c r="T257" s="20"/>
      <c r="U257" s="20"/>
      <c r="V257" s="20"/>
      <c r="W257" s="20"/>
      <c r="X257" s="20"/>
      <c r="Y257" s="20"/>
      <c r="Z257" s="20"/>
      <c r="AA257" s="20"/>
    </row>
    <row r="258" spans="1:27" ht="14.25" customHeight="1">
      <c r="A258" s="171"/>
      <c r="B258" s="171"/>
      <c r="C258" s="171"/>
      <c r="D258" s="171"/>
      <c r="E258" s="171"/>
      <c r="F258" s="171"/>
      <c r="G258" s="171"/>
      <c r="H258" s="171"/>
      <c r="I258" s="171"/>
      <c r="J258" s="20"/>
      <c r="K258" s="20"/>
      <c r="L258" s="20"/>
      <c r="M258" s="20"/>
      <c r="N258" s="20"/>
      <c r="O258" s="20"/>
      <c r="P258" s="20"/>
      <c r="Q258" s="20"/>
      <c r="R258" s="20"/>
      <c r="S258" s="20"/>
      <c r="T258" s="20"/>
      <c r="U258" s="20"/>
      <c r="V258" s="20"/>
      <c r="W258" s="20"/>
      <c r="X258" s="20"/>
      <c r="Y258" s="20"/>
      <c r="Z258" s="20"/>
      <c r="AA258" s="20"/>
    </row>
    <row r="259" spans="1:27" ht="14.25" customHeight="1">
      <c r="A259" s="171"/>
      <c r="B259" s="171"/>
      <c r="C259" s="171"/>
      <c r="D259" s="171"/>
      <c r="E259" s="171"/>
      <c r="F259" s="171"/>
      <c r="G259" s="171"/>
      <c r="H259" s="171"/>
      <c r="I259" s="171"/>
      <c r="J259" s="20"/>
      <c r="K259" s="20"/>
      <c r="L259" s="20"/>
      <c r="M259" s="20"/>
      <c r="N259" s="20"/>
      <c r="O259" s="20"/>
      <c r="P259" s="20"/>
      <c r="Q259" s="20"/>
      <c r="R259" s="20"/>
      <c r="S259" s="20"/>
      <c r="T259" s="20"/>
      <c r="U259" s="20"/>
      <c r="V259" s="20"/>
      <c r="W259" s="20"/>
      <c r="X259" s="20"/>
      <c r="Y259" s="20"/>
      <c r="Z259" s="20"/>
      <c r="AA259" s="20"/>
    </row>
    <row r="260" spans="1:27" ht="14.25" customHeight="1">
      <c r="A260" s="171"/>
      <c r="B260" s="171"/>
      <c r="C260" s="171"/>
      <c r="D260" s="171"/>
      <c r="E260" s="171"/>
      <c r="F260" s="171"/>
      <c r="G260" s="171"/>
      <c r="H260" s="171"/>
      <c r="I260" s="171"/>
      <c r="J260" s="20"/>
      <c r="K260" s="20"/>
      <c r="L260" s="20"/>
      <c r="M260" s="20"/>
      <c r="N260" s="20"/>
      <c r="O260" s="20"/>
      <c r="P260" s="20"/>
      <c r="Q260" s="20"/>
      <c r="R260" s="20"/>
      <c r="S260" s="20"/>
      <c r="T260" s="20"/>
      <c r="U260" s="20"/>
      <c r="V260" s="20"/>
      <c r="W260" s="20"/>
      <c r="X260" s="20"/>
      <c r="Y260" s="20"/>
      <c r="Z260" s="20"/>
      <c r="AA260" s="20"/>
    </row>
    <row r="261" spans="1:27" ht="14.25" customHeight="1">
      <c r="A261" s="171"/>
      <c r="B261" s="171"/>
      <c r="C261" s="171"/>
      <c r="D261" s="171"/>
      <c r="E261" s="171"/>
      <c r="F261" s="171"/>
      <c r="G261" s="171"/>
      <c r="H261" s="171"/>
      <c r="I261" s="171"/>
      <c r="J261" s="20"/>
      <c r="K261" s="20"/>
      <c r="L261" s="20"/>
      <c r="M261" s="20"/>
      <c r="N261" s="20"/>
      <c r="O261" s="20"/>
      <c r="P261" s="20"/>
      <c r="Q261" s="20"/>
      <c r="R261" s="20"/>
      <c r="S261" s="20"/>
      <c r="T261" s="20"/>
      <c r="U261" s="20"/>
      <c r="V261" s="20"/>
      <c r="W261" s="20"/>
      <c r="X261" s="20"/>
      <c r="Y261" s="20"/>
      <c r="Z261" s="20"/>
      <c r="AA261" s="20"/>
    </row>
    <row r="262" spans="1:27" ht="14.25" customHeight="1">
      <c r="A262" s="171"/>
      <c r="B262" s="171"/>
      <c r="C262" s="171"/>
      <c r="D262" s="171"/>
      <c r="E262" s="171"/>
      <c r="F262" s="171"/>
      <c r="G262" s="171"/>
      <c r="H262" s="171"/>
      <c r="I262" s="171"/>
      <c r="J262" s="20"/>
      <c r="K262" s="20"/>
      <c r="L262" s="20"/>
      <c r="M262" s="20"/>
      <c r="N262" s="20"/>
      <c r="O262" s="20"/>
      <c r="P262" s="20"/>
      <c r="Q262" s="20"/>
      <c r="R262" s="20"/>
      <c r="S262" s="20"/>
      <c r="T262" s="20"/>
      <c r="U262" s="20"/>
      <c r="V262" s="20"/>
      <c r="W262" s="20"/>
      <c r="X262" s="20"/>
      <c r="Y262" s="20"/>
      <c r="Z262" s="20"/>
      <c r="AA262" s="20"/>
    </row>
    <row r="263" spans="1:27" ht="14.25" customHeight="1">
      <c r="A263" s="171"/>
      <c r="B263" s="171"/>
      <c r="C263" s="171"/>
      <c r="D263" s="171"/>
      <c r="E263" s="171"/>
      <c r="F263" s="171"/>
      <c r="G263" s="171"/>
      <c r="H263" s="171"/>
      <c r="I263" s="171"/>
      <c r="J263" s="20"/>
      <c r="K263" s="20"/>
      <c r="L263" s="20"/>
      <c r="M263" s="20"/>
      <c r="N263" s="20"/>
      <c r="O263" s="20"/>
      <c r="P263" s="20"/>
      <c r="Q263" s="20"/>
      <c r="R263" s="20"/>
      <c r="S263" s="20"/>
      <c r="T263" s="20"/>
      <c r="U263" s="20"/>
      <c r="V263" s="20"/>
      <c r="W263" s="20"/>
      <c r="X263" s="20"/>
      <c r="Y263" s="20"/>
      <c r="Z263" s="20"/>
      <c r="AA263" s="20"/>
    </row>
    <row r="264" spans="1:27" ht="14.25" customHeight="1">
      <c r="A264" s="171"/>
      <c r="B264" s="171"/>
      <c r="C264" s="171"/>
      <c r="D264" s="171"/>
      <c r="E264" s="171"/>
      <c r="F264" s="171"/>
      <c r="G264" s="171"/>
      <c r="H264" s="171"/>
      <c r="I264" s="171"/>
    </row>
    <row r="265" spans="1:27" ht="14.25" customHeight="1">
      <c r="A265" s="171"/>
      <c r="B265" s="171"/>
      <c r="C265" s="171"/>
      <c r="D265" s="171"/>
      <c r="E265" s="171"/>
      <c r="F265" s="171"/>
      <c r="G265" s="171"/>
      <c r="H265" s="171"/>
      <c r="I265" s="171"/>
    </row>
    <row r="266" spans="1:27" ht="14.25" customHeight="1"/>
    <row r="267" spans="1:27" ht="14.25" customHeight="1"/>
    <row r="268" spans="1:27" ht="14.25" customHeight="1"/>
    <row r="269" spans="1:27" ht="14.25" customHeight="1"/>
    <row r="270" spans="1:27" ht="14.25" customHeight="1"/>
    <row r="271" spans="1:27" ht="14.25" customHeight="1"/>
    <row r="272" spans="1:27"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9">
    <mergeCell ref="A216:A250"/>
    <mergeCell ref="A253:I265"/>
    <mergeCell ref="A1:A2"/>
    <mergeCell ref="B1:B2"/>
    <mergeCell ref="C1:C2"/>
    <mergeCell ref="D1:D2"/>
    <mergeCell ref="E1:E2"/>
    <mergeCell ref="F1:F2"/>
    <mergeCell ref="G1:G2"/>
    <mergeCell ref="Z1:Z2"/>
    <mergeCell ref="AA1:AA2"/>
    <mergeCell ref="A89:A103"/>
    <mergeCell ref="A132:A170"/>
    <mergeCell ref="A171:A215"/>
    <mergeCell ref="H1:H2"/>
    <mergeCell ref="I1:I2"/>
    <mergeCell ref="J1:J2"/>
    <mergeCell ref="K1:X1"/>
    <mergeCell ref="Y1:Y2"/>
  </mergeCells>
  <conditionalFormatting sqref="I96:J96">
    <cfRule type="colorScale" priority="1">
      <colorScale>
        <cfvo type="min"/>
        <cfvo type="max"/>
        <color rgb="FFFCFCFF"/>
        <color rgb="FF63BE7B"/>
      </colorScale>
    </cfRule>
  </conditionalFormatting>
  <conditionalFormatting sqref="K3:X250">
    <cfRule type="colorScale" priority="2">
      <colorScale>
        <cfvo type="min"/>
        <cfvo type="max"/>
        <color rgb="FFFCFCFF"/>
        <color rgb="FF63BE7B"/>
      </colorScale>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T1000"/>
  <sheetViews>
    <sheetView workbookViewId="0">
      <selection activeCell="A26" sqref="A26"/>
    </sheetView>
  </sheetViews>
  <sheetFormatPr defaultColWidth="12.6640625" defaultRowHeight="15" customHeight="1"/>
  <cols>
    <col min="1" max="6" width="8.6640625" customWidth="1"/>
    <col min="7" max="7" width="10.6640625" customWidth="1"/>
    <col min="8" max="8" width="11.77734375" customWidth="1"/>
    <col min="9" max="9" width="9.6640625" customWidth="1"/>
    <col min="10" max="10" width="10.88671875" customWidth="1"/>
    <col min="11" max="11" width="8.6640625" customWidth="1"/>
    <col min="12" max="12" width="11" customWidth="1"/>
    <col min="13" max="13" width="8.6640625" customWidth="1"/>
    <col min="14" max="14" width="10.6640625" customWidth="1"/>
    <col min="15" max="16" width="8.6640625" customWidth="1"/>
    <col min="17" max="17" width="10.6640625" customWidth="1"/>
    <col min="18" max="18" width="8.6640625" customWidth="1"/>
    <col min="19" max="19" width="14.21875" customWidth="1"/>
    <col min="20" max="20" width="12.88671875" customWidth="1"/>
    <col min="21" max="26" width="8.6640625" customWidth="1"/>
  </cols>
  <sheetData>
    <row r="1" spans="1:20" ht="14.25" customHeight="1">
      <c r="A1" s="198" t="s">
        <v>1167</v>
      </c>
      <c r="B1" s="198" t="s">
        <v>424</v>
      </c>
      <c r="C1" s="174" t="s">
        <v>427</v>
      </c>
      <c r="D1" s="178" t="s">
        <v>429</v>
      </c>
      <c r="E1" s="192" t="s">
        <v>430</v>
      </c>
      <c r="F1" s="171"/>
      <c r="G1" s="171"/>
      <c r="H1" s="171"/>
      <c r="I1" s="171"/>
      <c r="J1" s="171"/>
      <c r="K1" s="171"/>
      <c r="L1" s="171"/>
      <c r="M1" s="171"/>
      <c r="N1" s="171"/>
      <c r="O1" s="171"/>
      <c r="P1" s="171"/>
      <c r="Q1" s="171"/>
      <c r="R1" s="171"/>
      <c r="S1" s="198" t="s">
        <v>1168</v>
      </c>
      <c r="T1" s="178" t="s">
        <v>1169</v>
      </c>
    </row>
    <row r="2" spans="1:20" ht="14.25" customHeight="1">
      <c r="A2" s="195"/>
      <c r="B2" s="195"/>
      <c r="C2" s="173"/>
      <c r="D2" s="180"/>
      <c r="E2" s="21" t="s">
        <v>434</v>
      </c>
      <c r="F2" s="21" t="s">
        <v>435</v>
      </c>
      <c r="G2" s="21" t="s">
        <v>1170</v>
      </c>
      <c r="H2" s="21" t="s">
        <v>1171</v>
      </c>
      <c r="I2" s="87" t="s">
        <v>1172</v>
      </c>
      <c r="J2" s="87" t="s">
        <v>359</v>
      </c>
      <c r="K2" s="21" t="s">
        <v>440</v>
      </c>
      <c r="L2" s="21" t="s">
        <v>441</v>
      </c>
      <c r="M2" s="21" t="s">
        <v>442</v>
      </c>
      <c r="N2" s="21" t="s">
        <v>443</v>
      </c>
      <c r="O2" s="21" t="s">
        <v>444</v>
      </c>
      <c r="P2" s="21" t="s">
        <v>445</v>
      </c>
      <c r="Q2" s="21" t="s">
        <v>446</v>
      </c>
      <c r="R2" s="21" t="s">
        <v>447</v>
      </c>
      <c r="S2" s="195"/>
      <c r="T2" s="180"/>
    </row>
    <row r="3" spans="1:20" ht="14.25" customHeight="1">
      <c r="A3" s="135" t="s">
        <v>1173</v>
      </c>
      <c r="B3" s="12" t="s">
        <v>672</v>
      </c>
      <c r="C3" s="12" t="s">
        <v>673</v>
      </c>
      <c r="D3" s="12" t="b">
        <v>1</v>
      </c>
      <c r="E3" s="136">
        <v>2.1111460902716E-3</v>
      </c>
      <c r="F3" s="137">
        <v>2.1895797838697001E-3</v>
      </c>
      <c r="G3" s="137">
        <v>1.0943792680791001E-3</v>
      </c>
      <c r="H3" s="137">
        <v>6.8805899902439995E-4</v>
      </c>
      <c r="I3" s="137">
        <v>1.7558045512302001E-3</v>
      </c>
      <c r="J3" s="137">
        <v>6.2568825708269997E-4</v>
      </c>
      <c r="K3" s="137">
        <v>1.6826518593302999E-3</v>
      </c>
      <c r="L3" s="137">
        <v>6.0401063058700003E-4</v>
      </c>
      <c r="M3" s="137">
        <v>1.5473488755931E-3</v>
      </c>
      <c r="N3" s="137">
        <v>1.9800590899523001E-3</v>
      </c>
      <c r="O3" s="137">
        <v>6.849163739201E-4</v>
      </c>
      <c r="P3" s="137">
        <v>2.7431079412969998E-4</v>
      </c>
      <c r="Q3" s="137">
        <v>0.99425837320574095</v>
      </c>
      <c r="R3" s="138">
        <v>7.3077157298580004E-4</v>
      </c>
      <c r="S3" s="12">
        <v>0</v>
      </c>
      <c r="T3" s="13">
        <v>1</v>
      </c>
    </row>
    <row r="4" spans="1:20" ht="14.25" customHeight="1">
      <c r="A4" s="139"/>
      <c r="B4" s="12" t="s">
        <v>676</v>
      </c>
      <c r="C4" s="12" t="s">
        <v>677</v>
      </c>
      <c r="D4" s="12" t="b">
        <v>1</v>
      </c>
      <c r="E4" s="140">
        <v>8.49722353221085E-7</v>
      </c>
      <c r="F4" s="141">
        <v>2.699473670121E-4</v>
      </c>
      <c r="G4" s="141">
        <v>4.6356865451699998E-5</v>
      </c>
      <c r="H4" s="141">
        <v>1.5862603725E-5</v>
      </c>
      <c r="I4" s="141">
        <v>1.6912539110240001E-4</v>
      </c>
      <c r="J4" s="141">
        <v>0.99689751801441095</v>
      </c>
      <c r="K4" s="141">
        <v>0</v>
      </c>
      <c r="L4" s="141">
        <v>0</v>
      </c>
      <c r="M4" s="141">
        <v>0</v>
      </c>
      <c r="N4" s="141">
        <v>6.0974680264E-5</v>
      </c>
      <c r="O4" s="141">
        <v>0</v>
      </c>
      <c r="P4" s="141">
        <v>0</v>
      </c>
      <c r="Q4" s="141">
        <v>7.4808303721710003E-4</v>
      </c>
      <c r="R4" s="142">
        <v>0</v>
      </c>
      <c r="S4" s="12">
        <v>0</v>
      </c>
      <c r="T4" s="13">
        <v>0</v>
      </c>
    </row>
    <row r="5" spans="1:20" ht="14.25" customHeight="1">
      <c r="A5" s="139"/>
      <c r="B5" s="12" t="s">
        <v>679</v>
      </c>
      <c r="C5" s="12" t="s">
        <v>680</v>
      </c>
      <c r="D5" s="12" t="b">
        <v>0</v>
      </c>
      <c r="E5" s="140">
        <v>5.5291667800799999E-5</v>
      </c>
      <c r="F5" s="141">
        <v>3.84876903537E-5</v>
      </c>
      <c r="G5" s="141">
        <v>1.3117992484159999E-4</v>
      </c>
      <c r="H5" s="141">
        <v>9.3598019826600005E-5</v>
      </c>
      <c r="I5" s="141">
        <v>2.2308464523769999E-4</v>
      </c>
      <c r="J5" s="141">
        <v>5.246982984783E-4</v>
      </c>
      <c r="K5" s="141">
        <v>0</v>
      </c>
      <c r="L5" s="141">
        <v>0.31021233031523798</v>
      </c>
      <c r="M5" s="141">
        <v>0</v>
      </c>
      <c r="N5" s="141">
        <v>7.6216026705999998E-6</v>
      </c>
      <c r="O5" s="141">
        <v>0</v>
      </c>
      <c r="P5" s="141">
        <v>0</v>
      </c>
      <c r="Q5" s="141">
        <v>9.3615427822500005E-5</v>
      </c>
      <c r="R5" s="142">
        <v>1.7338033866949999E-4</v>
      </c>
      <c r="S5" s="12">
        <v>0</v>
      </c>
      <c r="T5" s="13">
        <v>1</v>
      </c>
    </row>
    <row r="6" spans="1:20" ht="14.25" customHeight="1">
      <c r="A6" s="139"/>
      <c r="B6" s="12" t="s">
        <v>682</v>
      </c>
      <c r="C6" s="12" t="s">
        <v>683</v>
      </c>
      <c r="D6" s="12" t="b">
        <v>1</v>
      </c>
      <c r="E6" s="140">
        <v>1.1756072977886999E-3</v>
      </c>
      <c r="F6" s="141">
        <v>1.396603649749E-3</v>
      </c>
      <c r="G6" s="141">
        <v>1.2090239925223001E-3</v>
      </c>
      <c r="H6" s="141">
        <v>1.3308427021361E-3</v>
      </c>
      <c r="I6" s="141">
        <v>1.9593933932782002E-3</v>
      </c>
      <c r="J6" s="141">
        <v>1.2710280373831001E-3</v>
      </c>
      <c r="K6" s="141">
        <v>8.2859576035160005E-4</v>
      </c>
      <c r="L6" s="141">
        <v>3.1389896956372002E-3</v>
      </c>
      <c r="M6" s="141">
        <v>8.0345485588020004E-4</v>
      </c>
      <c r="N6" s="141">
        <v>0.990665528750171</v>
      </c>
      <c r="O6" s="141">
        <v>8.5382139807780005E-4</v>
      </c>
      <c r="P6" s="141">
        <v>7.855459544383E-4</v>
      </c>
      <c r="Q6" s="141">
        <v>1.8737118231216001E-3</v>
      </c>
      <c r="R6" s="142">
        <v>1.8624141543475E-3</v>
      </c>
      <c r="S6" s="17">
        <v>0</v>
      </c>
      <c r="T6" s="18">
        <v>1</v>
      </c>
    </row>
    <row r="7" spans="1:20" ht="14.25" customHeight="1">
      <c r="A7" s="135" t="s">
        <v>1174</v>
      </c>
      <c r="B7" s="143" t="s">
        <v>685</v>
      </c>
      <c r="C7" s="143" t="s">
        <v>686</v>
      </c>
      <c r="D7" s="143" t="b">
        <v>0</v>
      </c>
      <c r="E7" s="136">
        <v>3.5794732549420001E-4</v>
      </c>
      <c r="F7" s="137">
        <v>1.2828576937089001E-3</v>
      </c>
      <c r="G7" s="137">
        <v>4.8310529915649998E-4</v>
      </c>
      <c r="H7" s="137">
        <v>4.9887265541379998E-4</v>
      </c>
      <c r="I7" s="137">
        <v>3.6845700951069999E-4</v>
      </c>
      <c r="J7" s="137">
        <v>3.7455989212669999E-4</v>
      </c>
      <c r="K7" s="137">
        <v>4.363703176316E-4</v>
      </c>
      <c r="L7" s="137">
        <v>6.0078921856430002E-4</v>
      </c>
      <c r="M7" s="137">
        <v>0.99061932620536597</v>
      </c>
      <c r="N7" s="137">
        <v>3.7297243809789998E-4</v>
      </c>
      <c r="O7" s="137">
        <v>2.1914926256269999E-4</v>
      </c>
      <c r="P7" s="137">
        <v>1.8358248098610001E-3</v>
      </c>
      <c r="Q7" s="137">
        <v>4.683402023229E-4</v>
      </c>
      <c r="R7" s="138">
        <v>1.8466670637993E-3</v>
      </c>
      <c r="S7" s="143">
        <v>0</v>
      </c>
      <c r="T7" s="10">
        <v>1</v>
      </c>
    </row>
    <row r="8" spans="1:20" ht="14.25" customHeight="1">
      <c r="A8" s="144"/>
      <c r="B8" s="17" t="s">
        <v>688</v>
      </c>
      <c r="C8" s="17" t="s">
        <v>689</v>
      </c>
      <c r="D8" s="17" t="b">
        <v>1</v>
      </c>
      <c r="E8" s="145">
        <v>0.99889160493048201</v>
      </c>
      <c r="F8" s="146">
        <v>0.99876021206132404</v>
      </c>
      <c r="G8" s="146">
        <v>0.99920643802586195</v>
      </c>
      <c r="H8" s="146">
        <v>0.99884369256843497</v>
      </c>
      <c r="I8" s="146">
        <v>0.99948183744281005</v>
      </c>
      <c r="J8" s="146">
        <v>0.99962561773074399</v>
      </c>
      <c r="K8" s="146">
        <v>0.93363981151591702</v>
      </c>
      <c r="L8" s="146">
        <v>0.99414763849675103</v>
      </c>
      <c r="M8" s="146">
        <v>0.99868832610230995</v>
      </c>
      <c r="N8" s="146">
        <v>0.99676409901095597</v>
      </c>
      <c r="O8" s="146">
        <v>0.99899169242234898</v>
      </c>
      <c r="P8" s="146">
        <v>0.99868731950643197</v>
      </c>
      <c r="Q8" s="146">
        <v>0.99906288070471305</v>
      </c>
      <c r="R8" s="147">
        <v>0.99844246091175903</v>
      </c>
      <c r="S8" s="17">
        <v>5</v>
      </c>
      <c r="T8" s="18">
        <v>8</v>
      </c>
    </row>
    <row r="9" spans="1:20" ht="14.25" customHeight="1">
      <c r="A9" s="135" t="s">
        <v>1175</v>
      </c>
      <c r="B9" s="143" t="s">
        <v>691</v>
      </c>
      <c r="C9" s="143" t="s">
        <v>692</v>
      </c>
      <c r="D9" s="143" t="b">
        <v>1</v>
      </c>
      <c r="E9" s="140">
        <v>0.99798191303399597</v>
      </c>
      <c r="F9" s="141">
        <v>1.1709685640321E-3</v>
      </c>
      <c r="G9" s="141">
        <v>1.7291271467876001E-3</v>
      </c>
      <c r="H9" s="141">
        <v>6.6565073272259999E-4</v>
      </c>
      <c r="I9" s="141">
        <v>1.0836575950514001E-3</v>
      </c>
      <c r="J9" s="141">
        <v>8.7651198317090001E-4</v>
      </c>
      <c r="K9" s="141">
        <v>1.8154242117841E-3</v>
      </c>
      <c r="L9" s="141">
        <v>1.5585741733510001E-3</v>
      </c>
      <c r="M9" s="141">
        <v>2.5229589262286E-3</v>
      </c>
      <c r="N9" s="141">
        <v>1.5757142095927999E-3</v>
      </c>
      <c r="O9" s="141">
        <v>2.06080482184E-3</v>
      </c>
      <c r="P9" s="141">
        <v>2.4856096284666999E-3</v>
      </c>
      <c r="Q9" s="141">
        <v>3.2817627754335998E-3</v>
      </c>
      <c r="R9" s="142">
        <v>4.1794207676005999E-3</v>
      </c>
      <c r="S9" s="27">
        <v>1</v>
      </c>
      <c r="T9" s="124">
        <v>0</v>
      </c>
    </row>
    <row r="10" spans="1:20" ht="14.25" customHeight="1">
      <c r="A10" s="139"/>
      <c r="B10" s="12" t="s">
        <v>693</v>
      </c>
      <c r="C10" s="12" t="s">
        <v>694</v>
      </c>
      <c r="D10" s="12" t="b">
        <v>1</v>
      </c>
      <c r="E10" s="140">
        <v>4.1027038999538997E-3</v>
      </c>
      <c r="F10" s="141">
        <v>3.5816592938427497E-2</v>
      </c>
      <c r="G10" s="141">
        <v>2.8504142246338999E-3</v>
      </c>
      <c r="H10" s="141">
        <v>0.386616767293539</v>
      </c>
      <c r="I10" s="141">
        <v>3.6629193659122E-3</v>
      </c>
      <c r="J10" s="141">
        <v>2.9472001598481001E-3</v>
      </c>
      <c r="K10" s="141">
        <v>6.4176025670410004E-4</v>
      </c>
      <c r="L10" s="141">
        <v>3.0945589580754001E-3</v>
      </c>
      <c r="M10" s="141">
        <v>2.5193993751889002E-3</v>
      </c>
      <c r="N10" s="141">
        <v>2.9123703500927001E-3</v>
      </c>
      <c r="O10" s="141">
        <v>1.1314977924699E-3</v>
      </c>
      <c r="P10" s="141">
        <v>1.312163758037E-3</v>
      </c>
      <c r="Q10" s="141">
        <v>3.6527114357964999E-3</v>
      </c>
      <c r="R10" s="142">
        <v>1.9678203495773999E-3</v>
      </c>
      <c r="S10" s="20">
        <v>1</v>
      </c>
      <c r="T10" s="29">
        <v>0</v>
      </c>
    </row>
    <row r="11" spans="1:20" ht="14.25" customHeight="1">
      <c r="A11" s="139"/>
      <c r="B11" s="12" t="s">
        <v>695</v>
      </c>
      <c r="C11" s="12" t="s">
        <v>696</v>
      </c>
      <c r="D11" s="12" t="b">
        <v>1</v>
      </c>
      <c r="E11" s="140">
        <v>0.99724590465766805</v>
      </c>
      <c r="F11" s="141">
        <v>4.6399684285270001E-4</v>
      </c>
      <c r="G11" s="141">
        <v>7.8747160375871993E-3</v>
      </c>
      <c r="H11" s="141">
        <v>2.3621242520380001E-4</v>
      </c>
      <c r="I11" s="141">
        <v>3.5695505820669999E-4</v>
      </c>
      <c r="J11" s="141">
        <v>9.7424496015580001E-4</v>
      </c>
      <c r="K11" s="141">
        <v>1.3992430324578E-3</v>
      </c>
      <c r="L11" s="141">
        <v>8.8817117480820002E-4</v>
      </c>
      <c r="M11" s="141">
        <v>6.0514372163379996E-4</v>
      </c>
      <c r="N11" s="141">
        <v>9.5902088534370003E-4</v>
      </c>
      <c r="O11" s="141">
        <v>1.8641397217105001E-3</v>
      </c>
      <c r="P11" s="141">
        <v>1.0542962572482001E-3</v>
      </c>
      <c r="Q11" s="141">
        <v>7.4941451990629998E-4</v>
      </c>
      <c r="R11" s="142">
        <v>3.470213996529E-4</v>
      </c>
      <c r="S11" s="20">
        <v>1</v>
      </c>
      <c r="T11" s="29">
        <v>0</v>
      </c>
    </row>
    <row r="12" spans="1:20" ht="14.25" customHeight="1">
      <c r="A12" s="139"/>
      <c r="B12" s="12" t="s">
        <v>698</v>
      </c>
      <c r="C12" s="12" t="s">
        <v>699</v>
      </c>
      <c r="D12" s="12" t="b">
        <v>0</v>
      </c>
      <c r="E12" s="140">
        <v>4.8944167898069997E-4</v>
      </c>
      <c r="F12" s="141">
        <v>0.99417696920507304</v>
      </c>
      <c r="G12" s="141">
        <v>0.99896290617320205</v>
      </c>
      <c r="H12" s="141">
        <v>6.6026810036834997E-3</v>
      </c>
      <c r="I12" s="141">
        <v>1.1942305908542001E-3</v>
      </c>
      <c r="J12" s="141">
        <v>0.99932300285843201</v>
      </c>
      <c r="K12" s="141">
        <v>1.5164047422110999E-3</v>
      </c>
      <c r="L12" s="141">
        <v>1.0490356941118999E-3</v>
      </c>
      <c r="M12" s="141">
        <v>1.1097659402744E-3</v>
      </c>
      <c r="N12" s="141">
        <v>7.9253191084010003E-4</v>
      </c>
      <c r="O12" s="141">
        <v>1.1738908945933999E-3</v>
      </c>
      <c r="P12" s="141">
        <v>5.6386047731445E-3</v>
      </c>
      <c r="Q12" s="141">
        <v>1.5928042724632E-3</v>
      </c>
      <c r="R12" s="142">
        <v>2.3116042533518001E-3</v>
      </c>
      <c r="S12" s="20">
        <v>2</v>
      </c>
      <c r="T12" s="29">
        <v>0</v>
      </c>
    </row>
    <row r="13" spans="1:20" ht="14.25" customHeight="1">
      <c r="A13" s="139"/>
      <c r="B13" s="12" t="s">
        <v>701</v>
      </c>
      <c r="C13" s="12" t="s">
        <v>702</v>
      </c>
      <c r="D13" s="12" t="b">
        <v>0</v>
      </c>
      <c r="E13" s="140">
        <v>6.3415847509929997E-4</v>
      </c>
      <c r="F13" s="141">
        <v>1.0576880307577999E-3</v>
      </c>
      <c r="G13" s="141">
        <v>0.99866053273688404</v>
      </c>
      <c r="H13" s="141">
        <v>0.61183782137697895</v>
      </c>
      <c r="I13" s="141">
        <v>0.99978891375015799</v>
      </c>
      <c r="J13" s="141">
        <v>0.999825100567174</v>
      </c>
      <c r="K13" s="141">
        <v>1.6471449487554001E-3</v>
      </c>
      <c r="L13" s="141">
        <v>3.9598210160899999E-4</v>
      </c>
      <c r="M13" s="141">
        <v>1.7100895282164E-3</v>
      </c>
      <c r="N13" s="141">
        <v>5.1905217880320997E-3</v>
      </c>
      <c r="O13" s="141">
        <v>4.1382614945650002E-4</v>
      </c>
      <c r="P13" s="141">
        <v>6.5308254963419995E-4</v>
      </c>
      <c r="Q13" s="141">
        <v>8.4143605086009997E-4</v>
      </c>
      <c r="R13" s="142">
        <v>2.3057412958260001E-4</v>
      </c>
      <c r="S13" s="20">
        <v>3</v>
      </c>
      <c r="T13" s="29">
        <v>0</v>
      </c>
    </row>
    <row r="14" spans="1:20" ht="14.25" customHeight="1">
      <c r="A14" s="139"/>
      <c r="B14" s="12" t="s">
        <v>704</v>
      </c>
      <c r="C14" s="12" t="s">
        <v>705</v>
      </c>
      <c r="D14" s="12" t="b">
        <v>0</v>
      </c>
      <c r="E14" s="140">
        <v>3.0450292402626001E-3</v>
      </c>
      <c r="F14" s="141">
        <v>3.6244741730236001E-3</v>
      </c>
      <c r="G14" s="141">
        <v>0.99914385961336005</v>
      </c>
      <c r="H14" s="141">
        <v>2.0537645844488001E-3</v>
      </c>
      <c r="I14" s="141">
        <v>3.0035804524983999E-3</v>
      </c>
      <c r="J14" s="141">
        <v>0.99947023208879904</v>
      </c>
      <c r="K14" s="141">
        <v>2.3557395421173999E-3</v>
      </c>
      <c r="L14" s="141">
        <v>4.4102482747679798E-2</v>
      </c>
      <c r="M14" s="141">
        <v>1.4088759182851001E-3</v>
      </c>
      <c r="N14" s="141">
        <v>4.2537353113202003E-3</v>
      </c>
      <c r="O14" s="141">
        <v>3.0737034857105001E-3</v>
      </c>
      <c r="P14" s="141">
        <v>7.0542129327237002E-3</v>
      </c>
      <c r="Q14" s="141">
        <v>2.6178010471203999E-3</v>
      </c>
      <c r="R14" s="142">
        <v>1.4395117176253E-3</v>
      </c>
      <c r="S14" s="20">
        <v>1</v>
      </c>
      <c r="T14" s="29">
        <v>0</v>
      </c>
    </row>
    <row r="15" spans="1:20" ht="14.25" customHeight="1">
      <c r="A15" s="139"/>
      <c r="B15" s="12" t="s">
        <v>707</v>
      </c>
      <c r="C15" s="12" t="s">
        <v>708</v>
      </c>
      <c r="D15" s="12" t="b">
        <v>1</v>
      </c>
      <c r="E15" s="140">
        <v>3.3977403327000002E-6</v>
      </c>
      <c r="F15" s="141">
        <v>2.6815708372999999E-6</v>
      </c>
      <c r="G15" s="141">
        <v>5.34122817726E-5</v>
      </c>
      <c r="H15" s="141">
        <v>8.6027663423999996E-6</v>
      </c>
      <c r="I15" s="141">
        <v>0.99900586845867201</v>
      </c>
      <c r="J15" s="141">
        <v>3.2565946040730002E-4</v>
      </c>
      <c r="K15" s="141">
        <v>0</v>
      </c>
      <c r="L15" s="141">
        <v>0</v>
      </c>
      <c r="M15" s="141">
        <v>0</v>
      </c>
      <c r="N15" s="141">
        <v>7.5969369150000002E-6</v>
      </c>
      <c r="O15" s="141">
        <v>0</v>
      </c>
      <c r="P15" s="141">
        <v>0</v>
      </c>
      <c r="Q15" s="141">
        <v>0</v>
      </c>
      <c r="R15" s="142">
        <v>0</v>
      </c>
      <c r="S15" s="20">
        <v>1</v>
      </c>
      <c r="T15" s="29">
        <v>0</v>
      </c>
    </row>
    <row r="16" spans="1:20" ht="14.25" customHeight="1">
      <c r="A16" s="139"/>
      <c r="B16" s="12" t="s">
        <v>710</v>
      </c>
      <c r="C16" s="12" t="s">
        <v>711</v>
      </c>
      <c r="D16" s="12" t="b">
        <v>1</v>
      </c>
      <c r="E16" s="140">
        <v>6.72933233652E-4</v>
      </c>
      <c r="F16" s="141">
        <v>4.4276013497589997E-4</v>
      </c>
      <c r="G16" s="141">
        <v>0.99742344158952201</v>
      </c>
      <c r="H16" s="141">
        <v>4.1436563752810001E-4</v>
      </c>
      <c r="I16" s="141">
        <v>7.609823590453E-4</v>
      </c>
      <c r="J16" s="141">
        <v>0.99807316951103497</v>
      </c>
      <c r="K16" s="141">
        <v>2.5210276625479999E-4</v>
      </c>
      <c r="L16" s="141">
        <v>3.8075552775429999E-4</v>
      </c>
      <c r="M16" s="141">
        <v>1.005025125628E-4</v>
      </c>
      <c r="N16" s="141">
        <v>3.115619894372E-4</v>
      </c>
      <c r="O16" s="141">
        <v>1.959887633109E-4</v>
      </c>
      <c r="P16" s="141">
        <v>0</v>
      </c>
      <c r="Q16" s="141">
        <v>4.6733339564440001E-4</v>
      </c>
      <c r="R16" s="142">
        <v>2.0745692387482998E-3</v>
      </c>
      <c r="S16" s="20">
        <v>1</v>
      </c>
      <c r="T16" s="29">
        <v>0</v>
      </c>
    </row>
    <row r="17" spans="1:20" ht="14.25" customHeight="1">
      <c r="A17" s="144"/>
      <c r="B17" s="17" t="s">
        <v>713</v>
      </c>
      <c r="C17" s="17" t="s">
        <v>714</v>
      </c>
      <c r="D17" s="17" t="b">
        <v>0</v>
      </c>
      <c r="E17" s="145">
        <v>0.99841815593191496</v>
      </c>
      <c r="F17" s="146">
        <v>1.190052235031E-4</v>
      </c>
      <c r="G17" s="146">
        <v>2.0316273589E-5</v>
      </c>
      <c r="H17" s="146">
        <v>6.9997299884800004E-5</v>
      </c>
      <c r="I17" s="146">
        <v>1.15091574529E-5</v>
      </c>
      <c r="J17" s="146">
        <v>0</v>
      </c>
      <c r="K17" s="146">
        <v>2.7871062070225E-3</v>
      </c>
      <c r="L17" s="146">
        <v>2.2403204976140001E-4</v>
      </c>
      <c r="M17" s="146">
        <v>6.0337892196290002E-4</v>
      </c>
      <c r="N17" s="146">
        <v>3.4194528875370001E-4</v>
      </c>
      <c r="O17" s="146">
        <v>1.3733568765939999E-3</v>
      </c>
      <c r="P17" s="146">
        <v>5.2049446974619998E-4</v>
      </c>
      <c r="Q17" s="146">
        <v>2.8032143524569998E-4</v>
      </c>
      <c r="R17" s="147">
        <v>3.4458993797379999E-4</v>
      </c>
      <c r="S17" s="33">
        <v>1</v>
      </c>
      <c r="T17" s="32">
        <v>0</v>
      </c>
    </row>
    <row r="18" spans="1:20" ht="14.25" customHeight="1"/>
    <row r="19" spans="1:20" ht="14.25" customHeight="1">
      <c r="A19" s="218" t="s">
        <v>1220</v>
      </c>
      <c r="B19" s="171"/>
      <c r="C19" s="171"/>
      <c r="D19" s="171"/>
      <c r="E19" s="171"/>
      <c r="F19" s="171"/>
      <c r="G19" s="171"/>
      <c r="H19" s="171"/>
      <c r="I19" s="171"/>
      <c r="J19" s="171"/>
      <c r="K19" s="171"/>
      <c r="L19" s="148"/>
      <c r="M19" s="148"/>
      <c r="N19" s="148"/>
    </row>
    <row r="20" spans="1:20" ht="14.25" customHeight="1">
      <c r="A20" s="171"/>
      <c r="B20" s="171"/>
      <c r="C20" s="171"/>
      <c r="D20" s="171"/>
      <c r="E20" s="171"/>
      <c r="F20" s="171"/>
      <c r="G20" s="171"/>
      <c r="H20" s="171"/>
      <c r="I20" s="171"/>
      <c r="J20" s="171"/>
      <c r="K20" s="171"/>
      <c r="L20" s="148"/>
      <c r="M20" s="148"/>
      <c r="N20" s="148"/>
    </row>
    <row r="21" spans="1:20" ht="14.25" customHeight="1">
      <c r="A21" s="171"/>
      <c r="B21" s="171"/>
      <c r="C21" s="171"/>
      <c r="D21" s="171"/>
      <c r="E21" s="171"/>
      <c r="F21" s="171"/>
      <c r="G21" s="171"/>
      <c r="H21" s="171"/>
      <c r="I21" s="171"/>
      <c r="J21" s="171"/>
      <c r="K21" s="171"/>
      <c r="L21" s="148"/>
      <c r="M21" s="148"/>
      <c r="N21" s="148"/>
    </row>
    <row r="22" spans="1:20" ht="14.25" customHeight="1">
      <c r="A22" s="171"/>
      <c r="B22" s="171"/>
      <c r="C22" s="171"/>
      <c r="D22" s="171"/>
      <c r="E22" s="171"/>
      <c r="F22" s="171"/>
      <c r="G22" s="171"/>
      <c r="H22" s="171"/>
      <c r="I22" s="171"/>
      <c r="J22" s="171"/>
      <c r="K22" s="171"/>
      <c r="L22" s="148"/>
      <c r="M22" s="148"/>
      <c r="N22" s="148"/>
    </row>
    <row r="23" spans="1:20" ht="14.25" customHeight="1">
      <c r="A23" s="171"/>
      <c r="B23" s="171"/>
      <c r="C23" s="171"/>
      <c r="D23" s="171"/>
      <c r="E23" s="171"/>
      <c r="F23" s="171"/>
      <c r="G23" s="171"/>
      <c r="H23" s="171"/>
      <c r="I23" s="171"/>
      <c r="J23" s="171"/>
      <c r="K23" s="171"/>
      <c r="L23" s="148"/>
      <c r="M23" s="148"/>
      <c r="N23" s="148"/>
    </row>
    <row r="24" spans="1:20" ht="14.25" customHeight="1">
      <c r="A24" s="171"/>
      <c r="B24" s="171"/>
      <c r="C24" s="171"/>
      <c r="D24" s="171"/>
      <c r="E24" s="171"/>
      <c r="F24" s="171"/>
      <c r="G24" s="171"/>
      <c r="H24" s="171"/>
      <c r="I24" s="171"/>
      <c r="J24" s="171"/>
      <c r="K24" s="171"/>
      <c r="L24" s="148"/>
      <c r="M24" s="148"/>
      <c r="N24" s="148"/>
    </row>
    <row r="25" spans="1:20" ht="14.25" customHeight="1">
      <c r="A25" s="171"/>
      <c r="B25" s="171"/>
      <c r="C25" s="171"/>
      <c r="D25" s="171"/>
      <c r="E25" s="171"/>
      <c r="F25" s="171"/>
      <c r="G25" s="171"/>
      <c r="H25" s="171"/>
      <c r="I25" s="171"/>
      <c r="J25" s="171"/>
      <c r="K25" s="171"/>
    </row>
    <row r="26" spans="1:20" ht="14.25" customHeight="1"/>
    <row r="27" spans="1:20" ht="14.25" customHeight="1"/>
    <row r="28" spans="1:20" ht="14.25" customHeight="1"/>
    <row r="29" spans="1:20" ht="14.25" customHeight="1"/>
    <row r="30" spans="1:20" ht="14.25" customHeight="1"/>
    <row r="31" spans="1:20" ht="14.25" customHeight="1"/>
    <row r="32" spans="1:20"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8">
    <mergeCell ref="S1:S2"/>
    <mergeCell ref="T1:T2"/>
    <mergeCell ref="A19:K25"/>
    <mergeCell ref="A1:A2"/>
    <mergeCell ref="B1:B2"/>
    <mergeCell ref="C1:C2"/>
    <mergeCell ref="D1:D2"/>
    <mergeCell ref="E1:R1"/>
  </mergeCells>
  <conditionalFormatting sqref="D10">
    <cfRule type="colorScale" priority="1">
      <colorScale>
        <cfvo type="min"/>
        <cfvo type="max"/>
        <color rgb="FFFCFCFF"/>
        <color rgb="FF63BE7B"/>
      </colorScale>
    </cfRule>
  </conditionalFormatting>
  <conditionalFormatting sqref="E3:R17">
    <cfRule type="colorScale" priority="2">
      <colorScale>
        <cfvo type="min"/>
        <cfvo type="max"/>
        <color rgb="FFFCFCFF"/>
        <color rgb="FF63BE7B"/>
      </colorScale>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1000"/>
  <sheetViews>
    <sheetView workbookViewId="0">
      <selection activeCell="A24" sqref="A24"/>
    </sheetView>
  </sheetViews>
  <sheetFormatPr defaultColWidth="12.6640625" defaultRowHeight="15" customHeight="1"/>
  <cols>
    <col min="1" max="1" width="10.44140625" customWidth="1"/>
    <col min="2" max="2" width="16.21875" customWidth="1"/>
    <col min="3" max="3" width="17.109375" customWidth="1"/>
    <col min="4" max="26" width="8.6640625" customWidth="1"/>
  </cols>
  <sheetData>
    <row r="1" spans="1:7" ht="14.25" customHeight="1">
      <c r="A1" s="20"/>
      <c r="B1" s="202" t="s">
        <v>1176</v>
      </c>
      <c r="C1" s="203"/>
      <c r="D1" s="20"/>
      <c r="E1" s="20"/>
      <c r="F1" s="20"/>
      <c r="G1" s="20"/>
    </row>
    <row r="2" spans="1:7" ht="14.25" customHeight="1">
      <c r="A2" s="20"/>
      <c r="B2" s="149" t="s">
        <v>1177</v>
      </c>
      <c r="C2" s="150" t="s">
        <v>1178</v>
      </c>
      <c r="D2" s="20"/>
      <c r="E2" s="20"/>
      <c r="F2" s="20"/>
      <c r="G2" s="20"/>
    </row>
    <row r="3" spans="1:7" ht="14.25" customHeight="1">
      <c r="A3" s="39" t="s">
        <v>1179</v>
      </c>
      <c r="B3" s="26"/>
      <c r="C3" s="124"/>
      <c r="D3" s="20"/>
      <c r="E3" s="20"/>
      <c r="F3" s="20"/>
      <c r="G3" s="20"/>
    </row>
    <row r="4" spans="1:7" ht="14.25" customHeight="1">
      <c r="A4" s="1" t="s">
        <v>1180</v>
      </c>
      <c r="B4" s="151">
        <v>7.6923077000000006E-2</v>
      </c>
      <c r="C4" s="28">
        <v>7.0120355999999995E-2</v>
      </c>
      <c r="D4" s="20"/>
      <c r="E4" s="20"/>
      <c r="F4" s="20"/>
      <c r="G4" s="20"/>
    </row>
    <row r="5" spans="1:7" ht="14.25" customHeight="1">
      <c r="A5" s="4" t="s">
        <v>1181</v>
      </c>
      <c r="B5" s="152">
        <v>0.51490514899999995</v>
      </c>
      <c r="C5" s="31">
        <v>0.51490514899999995</v>
      </c>
      <c r="D5" s="20"/>
      <c r="E5" s="20"/>
      <c r="F5" s="20"/>
      <c r="G5" s="20"/>
    </row>
    <row r="6" spans="1:7" ht="14.25" customHeight="1">
      <c r="A6" s="4" t="s">
        <v>1182</v>
      </c>
      <c r="B6" s="152">
        <v>0.145748988</v>
      </c>
      <c r="C6" s="31">
        <v>0.13727441200000001</v>
      </c>
      <c r="D6" s="20"/>
      <c r="E6" s="20"/>
      <c r="F6" s="20"/>
      <c r="G6" s="20"/>
    </row>
    <row r="7" spans="1:7" ht="14.25" customHeight="1">
      <c r="A7" s="4" t="s">
        <v>1183</v>
      </c>
      <c r="B7" s="152">
        <v>1</v>
      </c>
      <c r="C7" s="31">
        <v>0.66666666699999999</v>
      </c>
      <c r="D7" s="20"/>
      <c r="E7" s="20"/>
      <c r="F7" s="20"/>
      <c r="G7" s="20"/>
    </row>
    <row r="8" spans="1:7" ht="14.25" customHeight="1">
      <c r="A8" s="4" t="s">
        <v>303</v>
      </c>
      <c r="B8" s="152">
        <v>0.2</v>
      </c>
      <c r="C8" s="31">
        <v>0.16296296299999999</v>
      </c>
      <c r="D8" s="20"/>
      <c r="E8" s="20"/>
      <c r="F8" s="20"/>
      <c r="G8" s="20"/>
    </row>
    <row r="9" spans="1:7" ht="14.25" customHeight="1">
      <c r="A9" s="4" t="s">
        <v>304</v>
      </c>
      <c r="B9" s="152">
        <v>0.82758620699999996</v>
      </c>
      <c r="C9" s="31">
        <v>0.82758620699999996</v>
      </c>
      <c r="D9" s="20"/>
      <c r="E9" s="20"/>
      <c r="F9" s="20"/>
      <c r="G9" s="20"/>
    </row>
    <row r="10" spans="1:7" ht="14.25" customHeight="1">
      <c r="A10" s="4" t="s">
        <v>1184</v>
      </c>
      <c r="B10" s="152">
        <v>7.8947368000000004E-2</v>
      </c>
      <c r="C10" s="31">
        <v>7.8947368000000004E-2</v>
      </c>
      <c r="D10" s="20"/>
      <c r="E10" s="20"/>
      <c r="F10" s="20"/>
      <c r="G10" s="20"/>
    </row>
    <row r="11" spans="1:7" ht="14.25" customHeight="1">
      <c r="A11" s="4" t="s">
        <v>306</v>
      </c>
      <c r="B11" s="152">
        <v>0.05</v>
      </c>
      <c r="C11" s="31">
        <v>3.7804878E-2</v>
      </c>
      <c r="D11" s="20"/>
      <c r="E11" s="20"/>
      <c r="F11" s="20"/>
      <c r="G11" s="20"/>
    </row>
    <row r="12" spans="1:7" ht="14.25" customHeight="1">
      <c r="A12" s="4" t="s">
        <v>307</v>
      </c>
      <c r="B12" s="152">
        <v>0.4</v>
      </c>
      <c r="C12" s="31">
        <v>0.321052632</v>
      </c>
      <c r="D12" s="20"/>
      <c r="E12" s="20"/>
      <c r="F12" s="20"/>
      <c r="G12" s="20"/>
    </row>
    <row r="13" spans="1:7" ht="14.25" customHeight="1">
      <c r="A13" s="4" t="s">
        <v>1185</v>
      </c>
      <c r="B13" s="152">
        <v>0.197278912</v>
      </c>
      <c r="C13" s="31">
        <v>0.17644557799999999</v>
      </c>
      <c r="D13" s="20"/>
      <c r="E13" s="20"/>
      <c r="F13" s="20"/>
      <c r="G13" s="20"/>
    </row>
    <row r="14" spans="1:7" ht="14.25" customHeight="1">
      <c r="A14" s="4" t="s">
        <v>309</v>
      </c>
      <c r="B14" s="152">
        <v>0.80952380999999995</v>
      </c>
      <c r="C14" s="31">
        <v>0.80952380999999995</v>
      </c>
      <c r="D14" s="20"/>
      <c r="E14" s="20"/>
      <c r="F14" s="20"/>
      <c r="G14" s="20"/>
    </row>
    <row r="15" spans="1:7" ht="14.25" customHeight="1">
      <c r="A15" s="4" t="s">
        <v>310</v>
      </c>
      <c r="B15" s="152">
        <v>0.17241379300000001</v>
      </c>
      <c r="C15" s="31">
        <v>0.15880835099999999</v>
      </c>
      <c r="D15" s="20"/>
      <c r="E15" s="20"/>
      <c r="F15" s="20"/>
      <c r="G15" s="20"/>
    </row>
    <row r="16" spans="1:7" ht="14.25" customHeight="1">
      <c r="A16" s="149" t="s">
        <v>1186</v>
      </c>
      <c r="B16" s="153">
        <v>0.37277727500000002</v>
      </c>
      <c r="C16" s="154">
        <v>0.33017486400000001</v>
      </c>
      <c r="D16" s="20"/>
      <c r="E16" s="20"/>
      <c r="F16" s="20"/>
      <c r="G16" s="20"/>
    </row>
    <row r="17" spans="1:7" ht="14.25" customHeight="1">
      <c r="A17" s="20"/>
      <c r="B17" s="20"/>
      <c r="C17" s="20"/>
      <c r="D17" s="20"/>
      <c r="E17" s="20"/>
      <c r="F17" s="20"/>
      <c r="G17" s="20"/>
    </row>
    <row r="18" spans="1:7" ht="14.25" customHeight="1">
      <c r="A18" s="219" t="s">
        <v>1221</v>
      </c>
      <c r="B18" s="171"/>
      <c r="C18" s="171"/>
      <c r="D18" s="171"/>
      <c r="E18" s="171"/>
      <c r="F18" s="171"/>
      <c r="G18" s="171"/>
    </row>
    <row r="19" spans="1:7" ht="14.25" customHeight="1">
      <c r="A19" s="171"/>
      <c r="B19" s="171"/>
      <c r="C19" s="171"/>
      <c r="D19" s="171"/>
      <c r="E19" s="171"/>
      <c r="F19" s="171"/>
      <c r="G19" s="171"/>
    </row>
    <row r="20" spans="1:7" ht="14.25" customHeight="1">
      <c r="A20" s="171"/>
      <c r="B20" s="171"/>
      <c r="C20" s="171"/>
      <c r="D20" s="171"/>
      <c r="E20" s="171"/>
      <c r="F20" s="171"/>
      <c r="G20" s="171"/>
    </row>
    <row r="21" spans="1:7" ht="14.25" customHeight="1">
      <c r="A21" s="171"/>
      <c r="B21" s="171"/>
      <c r="C21" s="171"/>
      <c r="D21" s="171"/>
      <c r="E21" s="171"/>
      <c r="F21" s="171"/>
      <c r="G21" s="171"/>
    </row>
    <row r="22" spans="1:7" ht="14.25" customHeight="1">
      <c r="A22" s="171"/>
      <c r="B22" s="171"/>
      <c r="C22" s="171"/>
      <c r="D22" s="171"/>
      <c r="E22" s="171"/>
      <c r="F22" s="171"/>
      <c r="G22" s="171"/>
    </row>
    <row r="23" spans="1:7" ht="14.25" customHeight="1">
      <c r="A23" s="171"/>
      <c r="B23" s="171"/>
      <c r="C23" s="171"/>
      <c r="D23" s="171"/>
      <c r="E23" s="171"/>
      <c r="F23" s="171"/>
      <c r="G23" s="171"/>
    </row>
    <row r="24" spans="1:7" ht="14.25" customHeight="1"/>
    <row r="25" spans="1:7" ht="14.25" customHeight="1"/>
    <row r="26" spans="1:7" ht="14.25" customHeight="1"/>
    <row r="27" spans="1:7" ht="14.25" customHeight="1"/>
    <row r="28" spans="1:7" ht="14.25" customHeight="1"/>
    <row r="29" spans="1:7" ht="14.25" customHeight="1"/>
    <row r="30" spans="1:7" ht="14.25" customHeight="1"/>
    <row r="31" spans="1:7" ht="14.25" customHeight="1"/>
    <row r="32" spans="1:7"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B1:C1"/>
    <mergeCell ref="A18:G23"/>
  </mergeCell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1000"/>
  <sheetViews>
    <sheetView topLeftCell="A6" workbookViewId="0">
      <selection activeCell="A31" sqref="A31"/>
    </sheetView>
  </sheetViews>
  <sheetFormatPr defaultColWidth="12.6640625" defaultRowHeight="15" customHeight="1"/>
  <cols>
    <col min="1" max="1" width="8.6640625" customWidth="1"/>
    <col min="2" max="2" width="11.44140625" customWidth="1"/>
    <col min="3" max="3" width="11.77734375" customWidth="1"/>
    <col min="4" max="4" width="11.88671875" customWidth="1"/>
    <col min="5" max="5" width="13.44140625" customWidth="1"/>
    <col min="6" max="6" width="15.33203125" customWidth="1"/>
    <col min="7" max="7" width="18.109375" customWidth="1"/>
    <col min="8" max="9" width="8.6640625" customWidth="1"/>
    <col min="10" max="10" width="11.6640625" customWidth="1"/>
    <col min="11" max="11" width="11" customWidth="1"/>
    <col min="12" max="12" width="12.109375" customWidth="1"/>
    <col min="13" max="13" width="13.88671875" customWidth="1"/>
    <col min="14" max="14" width="15.109375" customWidth="1"/>
    <col min="15" max="15" width="18" customWidth="1"/>
    <col min="16" max="26" width="8.6640625" customWidth="1"/>
  </cols>
  <sheetData>
    <row r="1" spans="1:17" ht="14.25" customHeight="1">
      <c r="A1" s="39"/>
      <c r="B1" s="202" t="s">
        <v>1187</v>
      </c>
      <c r="C1" s="204"/>
      <c r="D1" s="204"/>
      <c r="E1" s="204"/>
      <c r="F1" s="204"/>
      <c r="G1" s="204"/>
      <c r="H1" s="204"/>
      <c r="I1" s="204"/>
      <c r="J1" s="204"/>
      <c r="K1" s="204"/>
      <c r="L1" s="204"/>
      <c r="M1" s="204"/>
      <c r="N1" s="204"/>
      <c r="O1" s="204"/>
      <c r="P1" s="204"/>
      <c r="Q1" s="203"/>
    </row>
    <row r="2" spans="1:17" ht="14.25" customHeight="1">
      <c r="B2" s="205">
        <v>5.0000000000000002E-5</v>
      </c>
      <c r="C2" s="185"/>
      <c r="D2" s="185"/>
      <c r="E2" s="185"/>
      <c r="F2" s="185"/>
      <c r="G2" s="185"/>
      <c r="H2" s="185"/>
      <c r="I2" s="206"/>
      <c r="J2" s="207">
        <v>0.9</v>
      </c>
      <c r="K2" s="185"/>
      <c r="L2" s="185"/>
      <c r="M2" s="185"/>
      <c r="N2" s="185"/>
      <c r="O2" s="185"/>
      <c r="P2" s="185"/>
      <c r="Q2" s="206"/>
    </row>
    <row r="3" spans="1:17" ht="14.25" customHeight="1">
      <c r="A3" s="175" t="s">
        <v>1188</v>
      </c>
      <c r="B3" s="198" t="s">
        <v>1189</v>
      </c>
      <c r="C3" s="174" t="s">
        <v>1190</v>
      </c>
      <c r="D3" s="174" t="s">
        <v>1191</v>
      </c>
      <c r="E3" s="174" t="s">
        <v>1192</v>
      </c>
      <c r="F3" s="174" t="s">
        <v>1193</v>
      </c>
      <c r="G3" s="174" t="s">
        <v>1194</v>
      </c>
      <c r="H3" s="174" t="s">
        <v>1195</v>
      </c>
      <c r="I3" s="178" t="s">
        <v>1196</v>
      </c>
      <c r="J3" s="174" t="s">
        <v>1189</v>
      </c>
      <c r="K3" s="174" t="s">
        <v>1190</v>
      </c>
      <c r="L3" s="174" t="s">
        <v>1191</v>
      </c>
      <c r="M3" s="174" t="s">
        <v>1192</v>
      </c>
      <c r="N3" s="174" t="s">
        <v>1193</v>
      </c>
      <c r="O3" s="174" t="s">
        <v>1194</v>
      </c>
      <c r="P3" s="174" t="s">
        <v>1195</v>
      </c>
      <c r="Q3" s="178" t="s">
        <v>1196</v>
      </c>
    </row>
    <row r="4" spans="1:17" ht="14.25" customHeight="1">
      <c r="A4" s="195"/>
      <c r="B4" s="195"/>
      <c r="C4" s="173"/>
      <c r="D4" s="173"/>
      <c r="E4" s="173"/>
      <c r="F4" s="173"/>
      <c r="G4" s="173"/>
      <c r="H4" s="173"/>
      <c r="I4" s="180"/>
      <c r="J4" s="173"/>
      <c r="K4" s="173"/>
      <c r="L4" s="173"/>
      <c r="M4" s="173"/>
      <c r="N4" s="173"/>
      <c r="O4" s="173"/>
      <c r="P4" s="173"/>
      <c r="Q4" s="180"/>
    </row>
    <row r="5" spans="1:17" ht="14.25" customHeight="1">
      <c r="A5" s="155" t="s">
        <v>284</v>
      </c>
      <c r="B5" s="156">
        <v>2897</v>
      </c>
      <c r="C5" s="143">
        <v>3822</v>
      </c>
      <c r="D5" s="143">
        <v>19916</v>
      </c>
      <c r="E5" s="143">
        <v>26081</v>
      </c>
      <c r="F5" s="157">
        <v>0.75798011512297203</v>
      </c>
      <c r="G5" s="158">
        <f t="shared" ref="G5:G24" si="0">D5/E5</f>
        <v>0.76362102680111954</v>
      </c>
      <c r="H5" s="158">
        <f t="shared" ref="H5:H24" si="1">F5/G5</f>
        <v>0.9926129434887645</v>
      </c>
      <c r="I5" s="159">
        <v>0.413043039157522</v>
      </c>
      <c r="J5" s="143">
        <v>37</v>
      </c>
      <c r="K5" s="143">
        <v>3822</v>
      </c>
      <c r="L5" s="143">
        <v>92</v>
      </c>
      <c r="M5" s="143">
        <v>26081</v>
      </c>
      <c r="N5" s="157">
        <v>9.6807953950811092E-3</v>
      </c>
      <c r="O5" s="158">
        <f t="shared" ref="O5:O24" si="2">L5/M5</f>
        <v>3.5274721061308999E-3</v>
      </c>
      <c r="P5" s="158">
        <f t="shared" ref="P5:P24" si="3">N5/O5</f>
        <v>2.7444002684685915</v>
      </c>
      <c r="Q5" s="159">
        <v>9.1882734245715607E-8</v>
      </c>
    </row>
    <row r="6" spans="1:17" ht="14.25" customHeight="1">
      <c r="A6" s="160" t="s">
        <v>287</v>
      </c>
      <c r="B6" s="161">
        <v>155</v>
      </c>
      <c r="C6" s="12">
        <v>228</v>
      </c>
      <c r="D6" s="12">
        <v>22658</v>
      </c>
      <c r="E6" s="12">
        <v>29675</v>
      </c>
      <c r="F6" s="162">
        <v>0.679824561403508</v>
      </c>
      <c r="G6" s="163">
        <f t="shared" si="0"/>
        <v>0.76353833192923337</v>
      </c>
      <c r="H6" s="163">
        <f t="shared" si="1"/>
        <v>0.89036074938869714</v>
      </c>
      <c r="I6" s="164">
        <v>3.8535233117582201E-3</v>
      </c>
      <c r="J6" s="12">
        <v>3</v>
      </c>
      <c r="K6" s="12">
        <v>228</v>
      </c>
      <c r="L6" s="12">
        <v>126</v>
      </c>
      <c r="M6" s="12">
        <v>29675</v>
      </c>
      <c r="N6" s="162">
        <v>1.3157894736842099E-2</v>
      </c>
      <c r="O6" s="163">
        <f t="shared" si="2"/>
        <v>4.2459983150800341E-3</v>
      </c>
      <c r="P6" s="163">
        <f t="shared" si="3"/>
        <v>3.0988930659983276</v>
      </c>
      <c r="Q6" s="164">
        <v>7.4134698432156296E-2</v>
      </c>
    </row>
    <row r="7" spans="1:17" ht="14.25" customHeight="1">
      <c r="A7" s="160" t="s">
        <v>288</v>
      </c>
      <c r="B7" s="161">
        <v>457</v>
      </c>
      <c r="C7" s="12">
        <v>669</v>
      </c>
      <c r="D7" s="12">
        <v>22356</v>
      </c>
      <c r="E7" s="12">
        <v>29234</v>
      </c>
      <c r="F7" s="162">
        <v>0.68310911808669605</v>
      </c>
      <c r="G7" s="163">
        <f t="shared" si="0"/>
        <v>0.76472600396798251</v>
      </c>
      <c r="H7" s="163">
        <f t="shared" si="1"/>
        <v>0.89327303444920703</v>
      </c>
      <c r="I7" s="164">
        <v>1.5668680850705999E-6</v>
      </c>
      <c r="J7" s="12">
        <v>4</v>
      </c>
      <c r="K7" s="12">
        <v>669</v>
      </c>
      <c r="L7" s="12">
        <v>125</v>
      </c>
      <c r="M7" s="12">
        <v>29234</v>
      </c>
      <c r="N7" s="162">
        <v>5.9790732436472297E-3</v>
      </c>
      <c r="O7" s="163">
        <f t="shared" si="2"/>
        <v>4.2758431962783058E-3</v>
      </c>
      <c r="P7" s="163">
        <f t="shared" si="3"/>
        <v>1.398337817638265</v>
      </c>
      <c r="Q7" s="164">
        <v>0.378378346449954</v>
      </c>
    </row>
    <row r="8" spans="1:17" ht="14.25" customHeight="1">
      <c r="A8" s="160" t="s">
        <v>293</v>
      </c>
      <c r="B8" s="161">
        <v>588</v>
      </c>
      <c r="C8" s="12">
        <v>744</v>
      </c>
      <c r="D8" s="12">
        <v>22225</v>
      </c>
      <c r="E8" s="12">
        <v>29159</v>
      </c>
      <c r="F8" s="162">
        <v>0.79032258064516103</v>
      </c>
      <c r="G8" s="163">
        <f t="shared" si="0"/>
        <v>0.76220034980623474</v>
      </c>
      <c r="H8" s="163">
        <f t="shared" si="1"/>
        <v>1.0368961137922272</v>
      </c>
      <c r="I8" s="164">
        <v>7.7365197187085094E-2</v>
      </c>
      <c r="J8" s="12">
        <v>2</v>
      </c>
      <c r="K8" s="12">
        <v>744</v>
      </c>
      <c r="L8" s="12">
        <v>127</v>
      </c>
      <c r="M8" s="12">
        <v>29159</v>
      </c>
      <c r="N8" s="162">
        <v>2.6881720430107499E-3</v>
      </c>
      <c r="O8" s="163">
        <f t="shared" si="2"/>
        <v>4.3554305703213418E-3</v>
      </c>
      <c r="P8" s="163">
        <f t="shared" si="3"/>
        <v>0.61720006773346814</v>
      </c>
      <c r="Q8" s="164">
        <v>0.77755855752664005</v>
      </c>
    </row>
    <row r="9" spans="1:17" ht="14.25" customHeight="1">
      <c r="A9" s="160" t="s">
        <v>266</v>
      </c>
      <c r="B9" s="161">
        <v>10107</v>
      </c>
      <c r="C9" s="12">
        <v>13203</v>
      </c>
      <c r="D9" s="12">
        <v>12706</v>
      </c>
      <c r="E9" s="12">
        <v>16700</v>
      </c>
      <c r="F9" s="162">
        <v>0.765507839127471</v>
      </c>
      <c r="G9" s="163">
        <f t="shared" si="0"/>
        <v>0.76083832335329338</v>
      </c>
      <c r="H9" s="163">
        <f t="shared" si="1"/>
        <v>1.0061373298779133</v>
      </c>
      <c r="I9" s="164">
        <v>0.209594500915321</v>
      </c>
      <c r="J9" s="12">
        <v>43</v>
      </c>
      <c r="K9" s="12">
        <v>13203</v>
      </c>
      <c r="L9" s="12">
        <v>86</v>
      </c>
      <c r="M9" s="12">
        <v>16700</v>
      </c>
      <c r="N9" s="162">
        <v>3.2568355676740098E-3</v>
      </c>
      <c r="O9" s="163">
        <f t="shared" si="2"/>
        <v>5.1497005988023949E-3</v>
      </c>
      <c r="P9" s="163">
        <f t="shared" si="3"/>
        <v>0.6324320230250694</v>
      </c>
      <c r="Q9" s="164">
        <v>1.5290548803166E-3</v>
      </c>
    </row>
    <row r="10" spans="1:17" ht="14.25" customHeight="1">
      <c r="A10" s="160" t="s">
        <v>285</v>
      </c>
      <c r="B10" s="161">
        <v>356</v>
      </c>
      <c r="C10" s="12">
        <v>372</v>
      </c>
      <c r="D10" s="12">
        <v>22457</v>
      </c>
      <c r="E10" s="12">
        <v>29531</v>
      </c>
      <c r="F10" s="162">
        <v>0.956989247311828</v>
      </c>
      <c r="G10" s="163">
        <f t="shared" si="0"/>
        <v>0.76045511496393625</v>
      </c>
      <c r="H10" s="163">
        <f t="shared" si="1"/>
        <v>1.2584427778583778</v>
      </c>
      <c r="I10" s="164">
        <v>4.4457774226948997E-25</v>
      </c>
      <c r="J10" s="12">
        <v>6</v>
      </c>
      <c r="K10" s="12">
        <v>372</v>
      </c>
      <c r="L10" s="12">
        <v>123</v>
      </c>
      <c r="M10" s="12">
        <v>29531</v>
      </c>
      <c r="N10" s="162">
        <v>1.6129032258064498E-2</v>
      </c>
      <c r="O10" s="163">
        <f t="shared" si="2"/>
        <v>4.1651146253089974E-3</v>
      </c>
      <c r="P10" s="163">
        <f t="shared" si="3"/>
        <v>3.8724101757146561</v>
      </c>
      <c r="Q10" s="164">
        <v>5.0818075457528004E-3</v>
      </c>
    </row>
    <row r="11" spans="1:17" ht="14.25" customHeight="1">
      <c r="A11" s="160" t="s">
        <v>289</v>
      </c>
      <c r="B11" s="161">
        <v>163</v>
      </c>
      <c r="C11" s="12">
        <v>186</v>
      </c>
      <c r="D11" s="12">
        <v>22650</v>
      </c>
      <c r="E11" s="12">
        <v>29717</v>
      </c>
      <c r="F11" s="162">
        <v>0.87634408602150504</v>
      </c>
      <c r="G11" s="163">
        <f t="shared" si="0"/>
        <v>0.76218999226032236</v>
      </c>
      <c r="H11" s="163">
        <f t="shared" si="1"/>
        <v>1.1497711789978395</v>
      </c>
      <c r="I11" s="164">
        <v>1.3431979730705701E-4</v>
      </c>
      <c r="J11" s="12">
        <v>0</v>
      </c>
      <c r="K11" s="12">
        <v>186</v>
      </c>
      <c r="L11" s="12">
        <v>129</v>
      </c>
      <c r="M11" s="12">
        <v>29717</v>
      </c>
      <c r="N11" s="162">
        <v>0</v>
      </c>
      <c r="O11" s="163">
        <f t="shared" si="2"/>
        <v>4.3409496247938887E-3</v>
      </c>
      <c r="P11" s="163">
        <f t="shared" si="3"/>
        <v>0</v>
      </c>
      <c r="Q11" s="164">
        <v>1</v>
      </c>
    </row>
    <row r="12" spans="1:17" ht="14.25" customHeight="1">
      <c r="A12" s="160" t="s">
        <v>290</v>
      </c>
      <c r="B12" s="161">
        <v>356</v>
      </c>
      <c r="C12" s="12">
        <v>362</v>
      </c>
      <c r="D12" s="12">
        <v>22457</v>
      </c>
      <c r="E12" s="12">
        <v>29541</v>
      </c>
      <c r="F12" s="162">
        <v>0.98342541436464004</v>
      </c>
      <c r="G12" s="163">
        <f t="shared" si="0"/>
        <v>0.76019769134423343</v>
      </c>
      <c r="H12" s="163">
        <f t="shared" si="1"/>
        <v>1.2936443053723041</v>
      </c>
      <c r="I12" s="164">
        <v>5.2509233281241796E-34</v>
      </c>
      <c r="J12" s="12">
        <v>0</v>
      </c>
      <c r="K12" s="12">
        <v>362</v>
      </c>
      <c r="L12" s="12">
        <v>129</v>
      </c>
      <c r="M12" s="12">
        <v>29541</v>
      </c>
      <c r="N12" s="162">
        <v>0</v>
      </c>
      <c r="O12" s="163">
        <f t="shared" si="2"/>
        <v>4.3668122270742356E-3</v>
      </c>
      <c r="P12" s="163">
        <f t="shared" si="3"/>
        <v>0</v>
      </c>
      <c r="Q12" s="164">
        <v>0.41655362681907998</v>
      </c>
    </row>
    <row r="13" spans="1:17" ht="14.25" customHeight="1">
      <c r="A13" s="160" t="s">
        <v>291</v>
      </c>
      <c r="B13" s="161">
        <v>125</v>
      </c>
      <c r="C13" s="12">
        <v>128</v>
      </c>
      <c r="D13" s="12">
        <v>22688</v>
      </c>
      <c r="E13" s="12">
        <v>29775</v>
      </c>
      <c r="F13" s="162">
        <v>0.9765625</v>
      </c>
      <c r="G13" s="163">
        <f t="shared" si="0"/>
        <v>0.76198152812762387</v>
      </c>
      <c r="H13" s="163">
        <f t="shared" si="1"/>
        <v>1.2816091518644217</v>
      </c>
      <c r="I13" s="164">
        <v>1.95489631430674E-11</v>
      </c>
      <c r="J13" s="12">
        <v>1</v>
      </c>
      <c r="K13" s="12">
        <v>128</v>
      </c>
      <c r="L13" s="12">
        <v>128</v>
      </c>
      <c r="M13" s="12">
        <v>29775</v>
      </c>
      <c r="N13" s="162">
        <v>7.8125E-3</v>
      </c>
      <c r="O13" s="163">
        <f t="shared" si="2"/>
        <v>4.2989084802686822E-3</v>
      </c>
      <c r="P13" s="163">
        <f t="shared" si="3"/>
        <v>1.8173217773437498</v>
      </c>
      <c r="Q13" s="164">
        <v>0.42388411279635002</v>
      </c>
    </row>
    <row r="14" spans="1:17" ht="14.25" customHeight="1">
      <c r="A14" s="160" t="s">
        <v>292</v>
      </c>
      <c r="B14" s="161">
        <v>350</v>
      </c>
      <c r="C14" s="12">
        <v>366</v>
      </c>
      <c r="D14" s="12">
        <v>22463</v>
      </c>
      <c r="E14" s="12">
        <v>29537</v>
      </c>
      <c r="F14" s="162">
        <v>0.95628415300546399</v>
      </c>
      <c r="G14" s="163">
        <f t="shared" si="0"/>
        <v>0.76050377492636356</v>
      </c>
      <c r="H14" s="163">
        <f t="shared" si="1"/>
        <v>1.2574351167396336</v>
      </c>
      <c r="I14" s="164">
        <v>2.3639745181845E-24</v>
      </c>
      <c r="J14" s="12">
        <v>2</v>
      </c>
      <c r="K14" s="12">
        <v>366</v>
      </c>
      <c r="L14" s="12">
        <v>127</v>
      </c>
      <c r="M14" s="12">
        <v>29537</v>
      </c>
      <c r="N14" s="162">
        <v>5.4644808743169399E-3</v>
      </c>
      <c r="O14" s="163">
        <f t="shared" si="2"/>
        <v>4.2996919118393883E-3</v>
      </c>
      <c r="P14" s="163">
        <f t="shared" si="3"/>
        <v>1.2709005636590507</v>
      </c>
      <c r="Q14" s="164">
        <v>0.67350797807829099</v>
      </c>
    </row>
    <row r="15" spans="1:17" ht="14.25" customHeight="1">
      <c r="A15" s="5" t="s">
        <v>296</v>
      </c>
      <c r="B15" s="161">
        <v>108</v>
      </c>
      <c r="C15" s="12">
        <v>117</v>
      </c>
      <c r="D15" s="12">
        <v>22705</v>
      </c>
      <c r="E15" s="12">
        <v>29786</v>
      </c>
      <c r="F15" s="162">
        <v>0.92307692307692302</v>
      </c>
      <c r="G15" s="163">
        <f t="shared" si="0"/>
        <v>0.76227086550728529</v>
      </c>
      <c r="H15" s="163">
        <f t="shared" si="1"/>
        <v>1.2109565836057798</v>
      </c>
      <c r="I15" s="164">
        <v>9.7833000604949694E-6</v>
      </c>
      <c r="J15" s="12">
        <v>1</v>
      </c>
      <c r="K15" s="12">
        <v>117</v>
      </c>
      <c r="L15" s="12">
        <v>128</v>
      </c>
      <c r="M15" s="12">
        <v>29786</v>
      </c>
      <c r="N15" s="162">
        <v>8.5470085470085392E-3</v>
      </c>
      <c r="O15" s="163">
        <f t="shared" si="2"/>
        <v>4.2973208890082588E-3</v>
      </c>
      <c r="P15" s="165">
        <f t="shared" si="3"/>
        <v>1.9889155982905966</v>
      </c>
      <c r="Q15" s="164">
        <v>0.39581205761745097</v>
      </c>
    </row>
    <row r="16" spans="1:17" ht="14.25" customHeight="1">
      <c r="A16" s="155" t="s">
        <v>1173</v>
      </c>
      <c r="B16" s="156">
        <v>529</v>
      </c>
      <c r="C16" s="143">
        <v>750</v>
      </c>
      <c r="D16" s="143">
        <v>22284</v>
      </c>
      <c r="E16" s="143">
        <v>29153</v>
      </c>
      <c r="F16" s="157">
        <v>0.70533333333333303</v>
      </c>
      <c r="G16" s="158">
        <f t="shared" si="0"/>
        <v>0.76438102425136345</v>
      </c>
      <c r="H16" s="158">
        <f t="shared" si="1"/>
        <v>0.92275097229701397</v>
      </c>
      <c r="I16" s="159">
        <v>2.09879537177117E-4</v>
      </c>
      <c r="J16" s="143">
        <v>2</v>
      </c>
      <c r="K16" s="143">
        <v>750</v>
      </c>
      <c r="L16" s="143">
        <v>127</v>
      </c>
      <c r="M16" s="143">
        <v>29153</v>
      </c>
      <c r="N16" s="157">
        <v>2.6666666666666601E-3</v>
      </c>
      <c r="O16" s="158">
        <f t="shared" si="2"/>
        <v>4.3563269646348579E-3</v>
      </c>
      <c r="P16" s="163">
        <f t="shared" si="3"/>
        <v>0.61213648293963097</v>
      </c>
      <c r="Q16" s="159">
        <v>0.77802874168385505</v>
      </c>
    </row>
    <row r="17" spans="1:17" ht="14.25" customHeight="1">
      <c r="A17" s="160" t="s">
        <v>1197</v>
      </c>
      <c r="B17" s="161">
        <v>262</v>
      </c>
      <c r="C17" s="12">
        <v>345</v>
      </c>
      <c r="D17" s="12">
        <v>22551</v>
      </c>
      <c r="E17" s="12">
        <v>29558</v>
      </c>
      <c r="F17" s="162">
        <v>0.75942028985507204</v>
      </c>
      <c r="G17" s="163">
        <f t="shared" si="0"/>
        <v>0.76294065904323705</v>
      </c>
      <c r="H17" s="163">
        <f t="shared" si="1"/>
        <v>0.99538578899100794</v>
      </c>
      <c r="I17" s="164">
        <v>0.89924827329704105</v>
      </c>
      <c r="J17" s="12">
        <v>2</v>
      </c>
      <c r="K17" s="12">
        <v>345</v>
      </c>
      <c r="L17" s="12">
        <v>127</v>
      </c>
      <c r="M17" s="12">
        <v>29558</v>
      </c>
      <c r="N17" s="162">
        <v>5.7971014492753598E-3</v>
      </c>
      <c r="O17" s="163">
        <f t="shared" si="2"/>
        <v>4.296637120238176E-3</v>
      </c>
      <c r="P17" s="163">
        <f t="shared" si="3"/>
        <v>1.3492183042337091</v>
      </c>
      <c r="Q17" s="164">
        <v>0.66297757643014099</v>
      </c>
    </row>
    <row r="18" spans="1:17" ht="14.25" customHeight="1">
      <c r="A18" s="160" t="s">
        <v>1198</v>
      </c>
      <c r="B18" s="161">
        <v>1027</v>
      </c>
      <c r="C18" s="12">
        <v>1659</v>
      </c>
      <c r="D18" s="12">
        <v>21786</v>
      </c>
      <c r="E18" s="12">
        <v>28244</v>
      </c>
      <c r="F18" s="162">
        <v>0.61904761904761896</v>
      </c>
      <c r="G18" s="163">
        <f t="shared" si="0"/>
        <v>0.77134966718595099</v>
      </c>
      <c r="H18" s="163">
        <f t="shared" si="1"/>
        <v>0.80255122337193385</v>
      </c>
      <c r="I18" s="164">
        <v>5.2335825721330699E-44</v>
      </c>
      <c r="J18" s="12">
        <v>2</v>
      </c>
      <c r="K18" s="12">
        <v>1659</v>
      </c>
      <c r="L18" s="12">
        <v>127</v>
      </c>
      <c r="M18" s="12">
        <v>28244</v>
      </c>
      <c r="N18" s="162">
        <v>1.2055455093429701E-3</v>
      </c>
      <c r="O18" s="163">
        <f t="shared" si="2"/>
        <v>4.4965302365104097E-3</v>
      </c>
      <c r="P18" s="163">
        <f t="shared" si="3"/>
        <v>0.2681057272904161</v>
      </c>
      <c r="Q18" s="164">
        <v>4.1168585643465802E-2</v>
      </c>
    </row>
    <row r="19" spans="1:17" ht="14.25" customHeight="1">
      <c r="A19" s="160" t="s">
        <v>1199</v>
      </c>
      <c r="B19" s="161">
        <v>784</v>
      </c>
      <c r="C19" s="12">
        <v>876</v>
      </c>
      <c r="D19" s="12">
        <v>22029</v>
      </c>
      <c r="E19" s="12">
        <v>29027</v>
      </c>
      <c r="F19" s="162">
        <v>0.89497716894977097</v>
      </c>
      <c r="G19" s="163">
        <f t="shared" si="0"/>
        <v>0.75891411444517176</v>
      </c>
      <c r="H19" s="163">
        <f t="shared" si="1"/>
        <v>1.1792864988472014</v>
      </c>
      <c r="I19" s="164">
        <v>1.3484595678657601E-24</v>
      </c>
      <c r="J19" s="12">
        <v>8</v>
      </c>
      <c r="K19" s="12">
        <v>876</v>
      </c>
      <c r="L19" s="12">
        <v>121</v>
      </c>
      <c r="M19" s="12">
        <v>29027</v>
      </c>
      <c r="N19" s="162">
        <v>9.1324200913242004E-3</v>
      </c>
      <c r="O19" s="163">
        <f t="shared" si="2"/>
        <v>4.1685327453749961E-3</v>
      </c>
      <c r="P19" s="163">
        <f t="shared" si="3"/>
        <v>2.1907996528170872</v>
      </c>
      <c r="Q19" s="164">
        <v>3.2725471188601397E-2</v>
      </c>
    </row>
    <row r="20" spans="1:17" ht="14.25" customHeight="1">
      <c r="A20" s="160" t="s">
        <v>1200</v>
      </c>
      <c r="B20" s="161">
        <v>490</v>
      </c>
      <c r="C20" s="12">
        <v>669</v>
      </c>
      <c r="D20" s="12">
        <v>22323</v>
      </c>
      <c r="E20" s="12">
        <v>29234</v>
      </c>
      <c r="F20" s="162">
        <v>0.73243647234678599</v>
      </c>
      <c r="G20" s="163">
        <f t="shared" si="0"/>
        <v>0.76359718136416499</v>
      </c>
      <c r="H20" s="163">
        <f t="shared" si="1"/>
        <v>0.95919221576786018</v>
      </c>
      <c r="I20" s="164">
        <v>6.2000399092035897E-2</v>
      </c>
      <c r="J20" s="12">
        <v>15</v>
      </c>
      <c r="K20" s="12">
        <v>669</v>
      </c>
      <c r="L20" s="12">
        <v>114</v>
      </c>
      <c r="M20" s="12">
        <v>29234</v>
      </c>
      <c r="N20" s="162">
        <v>2.2421524663677101E-2</v>
      </c>
      <c r="O20" s="163">
        <f t="shared" si="2"/>
        <v>3.8995689950058151E-3</v>
      </c>
      <c r="P20" s="163">
        <f t="shared" si="3"/>
        <v>5.7497443159468107</v>
      </c>
      <c r="Q20" s="164">
        <v>1.06303935804075E-7</v>
      </c>
    </row>
    <row r="21" spans="1:17" ht="14.25" customHeight="1">
      <c r="A21" s="160" t="s">
        <v>1201</v>
      </c>
      <c r="B21" s="161">
        <v>1405</v>
      </c>
      <c r="C21" s="12">
        <v>1998</v>
      </c>
      <c r="D21" s="12">
        <v>21408</v>
      </c>
      <c r="E21" s="12">
        <v>27905</v>
      </c>
      <c r="F21" s="162">
        <v>0.70320320320320295</v>
      </c>
      <c r="G21" s="163">
        <f t="shared" si="0"/>
        <v>0.76717434151585739</v>
      </c>
      <c r="H21" s="163">
        <f t="shared" si="1"/>
        <v>0.91661460133526618</v>
      </c>
      <c r="I21" s="164">
        <v>4.7543860962162501E-11</v>
      </c>
      <c r="J21" s="12">
        <v>11</v>
      </c>
      <c r="K21" s="12">
        <v>1998</v>
      </c>
      <c r="L21" s="12">
        <v>118</v>
      </c>
      <c r="M21" s="12">
        <v>27905</v>
      </c>
      <c r="N21" s="162">
        <v>5.5055055055055003E-3</v>
      </c>
      <c r="O21" s="163">
        <f t="shared" si="2"/>
        <v>4.2286328614943554E-3</v>
      </c>
      <c r="P21" s="163">
        <f t="shared" si="3"/>
        <v>1.3019587383994153</v>
      </c>
      <c r="Q21" s="164">
        <v>0.38358124636924601</v>
      </c>
    </row>
    <row r="22" spans="1:17" ht="14.25" customHeight="1">
      <c r="A22" s="160" t="s">
        <v>286</v>
      </c>
      <c r="B22" s="161">
        <v>405</v>
      </c>
      <c r="C22" s="12">
        <v>456</v>
      </c>
      <c r="D22" s="12">
        <v>22408</v>
      </c>
      <c r="E22" s="12">
        <v>29447</v>
      </c>
      <c r="F22" s="162">
        <v>0.88815789473684204</v>
      </c>
      <c r="G22" s="163">
        <f t="shared" si="0"/>
        <v>0.76096036947736612</v>
      </c>
      <c r="H22" s="163">
        <f t="shared" si="1"/>
        <v>1.1671539417313364</v>
      </c>
      <c r="I22" s="164">
        <v>8.6697158066599703E-12</v>
      </c>
      <c r="J22" s="12">
        <v>2</v>
      </c>
      <c r="K22" s="12">
        <v>456</v>
      </c>
      <c r="L22" s="12">
        <v>127</v>
      </c>
      <c r="M22" s="12">
        <v>29447</v>
      </c>
      <c r="N22" s="162">
        <v>4.3859649122806998E-3</v>
      </c>
      <c r="O22" s="163">
        <f t="shared" si="2"/>
        <v>4.3128332257954972E-3</v>
      </c>
      <c r="P22" s="163">
        <f t="shared" si="3"/>
        <v>1.016956761983699</v>
      </c>
      <c r="Q22" s="164">
        <v>0.72479812648000097</v>
      </c>
    </row>
    <row r="23" spans="1:17" ht="14.25" customHeight="1">
      <c r="A23" s="160" t="s">
        <v>294</v>
      </c>
      <c r="B23" s="161">
        <v>230</v>
      </c>
      <c r="C23" s="12">
        <v>294</v>
      </c>
      <c r="D23" s="12">
        <v>22583</v>
      </c>
      <c r="E23" s="12">
        <v>29609</v>
      </c>
      <c r="F23" s="162">
        <v>0.78231292517006801</v>
      </c>
      <c r="G23" s="163">
        <f t="shared" si="0"/>
        <v>0.76270728494714446</v>
      </c>
      <c r="H23" s="163">
        <f t="shared" si="1"/>
        <v>1.0257053270761434</v>
      </c>
      <c r="I23" s="164">
        <v>0.45155319741264899</v>
      </c>
      <c r="J23" s="12">
        <v>2</v>
      </c>
      <c r="K23" s="12">
        <v>294</v>
      </c>
      <c r="L23" s="12">
        <v>127</v>
      </c>
      <c r="M23" s="12">
        <v>29609</v>
      </c>
      <c r="N23" s="162">
        <v>6.8027210884353704E-3</v>
      </c>
      <c r="O23" s="163">
        <f t="shared" si="2"/>
        <v>4.2892363808301531E-3</v>
      </c>
      <c r="P23" s="163">
        <f t="shared" si="3"/>
        <v>1.5859981787990778</v>
      </c>
      <c r="Q23" s="164">
        <v>0.359512173843761</v>
      </c>
    </row>
    <row r="24" spans="1:17" ht="14.25" customHeight="1">
      <c r="A24" s="166" t="s">
        <v>295</v>
      </c>
      <c r="B24" s="167">
        <v>197</v>
      </c>
      <c r="C24" s="17">
        <v>222</v>
      </c>
      <c r="D24" s="17">
        <v>22616</v>
      </c>
      <c r="E24" s="17">
        <v>29681</v>
      </c>
      <c r="F24" s="168">
        <v>0.88738738738738698</v>
      </c>
      <c r="G24" s="165">
        <f t="shared" si="0"/>
        <v>0.7619689363565918</v>
      </c>
      <c r="H24" s="165">
        <f t="shared" si="1"/>
        <v>1.1645978530706151</v>
      </c>
      <c r="I24" s="169">
        <v>2.7817351853002499E-6</v>
      </c>
      <c r="J24" s="17">
        <v>4</v>
      </c>
      <c r="K24" s="17">
        <v>222</v>
      </c>
      <c r="L24" s="17">
        <v>125</v>
      </c>
      <c r="M24" s="17">
        <v>29681</v>
      </c>
      <c r="N24" s="168">
        <v>1.8018018018018001E-2</v>
      </c>
      <c r="O24" s="165">
        <f t="shared" si="2"/>
        <v>4.2114484013341868E-3</v>
      </c>
      <c r="P24" s="165">
        <f t="shared" si="3"/>
        <v>4.2783423423423379</v>
      </c>
      <c r="Q24" s="169">
        <v>1.5023141519367501E-2</v>
      </c>
    </row>
    <row r="25" spans="1:17" ht="14.25" customHeight="1"/>
    <row r="26" spans="1:17" ht="14.25" customHeight="1">
      <c r="A26" s="218" t="s">
        <v>1222</v>
      </c>
      <c r="B26" s="171"/>
      <c r="C26" s="171"/>
      <c r="D26" s="171"/>
      <c r="E26" s="171"/>
      <c r="F26" s="171"/>
      <c r="G26" s="171"/>
      <c r="H26" s="171"/>
      <c r="I26" s="171"/>
      <c r="J26" s="79"/>
      <c r="K26" s="79"/>
      <c r="L26" s="79"/>
    </row>
    <row r="27" spans="1:17" ht="14.25" customHeight="1">
      <c r="A27" s="171"/>
      <c r="B27" s="171"/>
      <c r="C27" s="171"/>
      <c r="D27" s="171"/>
      <c r="E27" s="171"/>
      <c r="F27" s="171"/>
      <c r="G27" s="171"/>
      <c r="H27" s="171"/>
      <c r="I27" s="171"/>
      <c r="J27" s="79"/>
      <c r="K27" s="79"/>
      <c r="L27" s="79"/>
    </row>
    <row r="28" spans="1:17" ht="14.25" customHeight="1">
      <c r="A28" s="171"/>
      <c r="B28" s="171"/>
      <c r="C28" s="171"/>
      <c r="D28" s="171"/>
      <c r="E28" s="171"/>
      <c r="F28" s="171"/>
      <c r="G28" s="171"/>
      <c r="H28" s="171"/>
      <c r="I28" s="171"/>
      <c r="J28" s="79"/>
      <c r="K28" s="79"/>
      <c r="L28" s="79"/>
    </row>
    <row r="29" spans="1:17" ht="14.25" customHeight="1">
      <c r="A29" s="171"/>
      <c r="B29" s="171"/>
      <c r="C29" s="171"/>
      <c r="D29" s="171"/>
      <c r="E29" s="171"/>
      <c r="F29" s="171"/>
      <c r="G29" s="171"/>
      <c r="H29" s="171"/>
      <c r="I29" s="171"/>
      <c r="J29" s="79"/>
      <c r="K29" s="79"/>
      <c r="L29" s="79"/>
    </row>
    <row r="30" spans="1:17" ht="14.25" customHeight="1">
      <c r="A30" s="171"/>
      <c r="B30" s="171"/>
      <c r="C30" s="171"/>
      <c r="D30" s="171"/>
      <c r="E30" s="171"/>
      <c r="F30" s="171"/>
      <c r="G30" s="171"/>
      <c r="H30" s="171"/>
      <c r="I30" s="171"/>
    </row>
    <row r="31" spans="1:17" ht="14.25" customHeight="1">
      <c r="A31" s="22"/>
      <c r="B31" s="22"/>
      <c r="C31" s="22"/>
      <c r="D31" s="22"/>
      <c r="E31" s="22"/>
      <c r="F31" s="22"/>
      <c r="G31" s="22"/>
      <c r="H31" s="22"/>
      <c r="I31" s="22"/>
    </row>
    <row r="32" spans="1:17" ht="14.25" customHeight="1">
      <c r="A32" s="22"/>
      <c r="B32" s="22"/>
      <c r="C32" s="22"/>
      <c r="D32" s="22"/>
      <c r="E32" s="22"/>
      <c r="F32" s="22"/>
      <c r="G32" s="22"/>
      <c r="H32" s="22"/>
      <c r="I32" s="22"/>
    </row>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1">
    <mergeCell ref="O3:O4"/>
    <mergeCell ref="P3:P4"/>
    <mergeCell ref="B1:Q1"/>
    <mergeCell ref="B2:I2"/>
    <mergeCell ref="J2:Q2"/>
    <mergeCell ref="B3:B4"/>
    <mergeCell ref="C3:C4"/>
    <mergeCell ref="D3:D4"/>
    <mergeCell ref="Q3:Q4"/>
    <mergeCell ref="J3:J4"/>
    <mergeCell ref="K3:K4"/>
    <mergeCell ref="L3:L4"/>
    <mergeCell ref="M3:M4"/>
    <mergeCell ref="N3:N4"/>
    <mergeCell ref="E3:E4"/>
    <mergeCell ref="F3:F4"/>
    <mergeCell ref="G3:G4"/>
    <mergeCell ref="H3:H4"/>
    <mergeCell ref="A26:I30"/>
    <mergeCell ref="I3:I4"/>
    <mergeCell ref="A3:A4"/>
  </mergeCells>
  <conditionalFormatting sqref="P5 H6:H7 P9:P10 H10:H16 H18:H19 P18:P20 H21:H22 H24 P24 I5:I24 Q5:Q24">
    <cfRule type="cellIs" dxfId="2" priority="3" operator="lessThanOrEqual">
      <formula>0.05</formula>
    </cfRule>
  </conditionalFormatting>
  <conditionalFormatting sqref="P5 H6:H7 P9:P10 H10:H16 H18:H19 P18:P20 H21:H22 H24 P24">
    <cfRule type="cellIs" dxfId="1" priority="1" operator="greaterThan">
      <formula>1</formula>
    </cfRule>
    <cfRule type="cellIs" dxfId="0" priority="2" operator="lessThan">
      <formula>1</formula>
    </cfRule>
  </conditionalFormatting>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Table S1</vt:lpstr>
      <vt:lpstr>Table S2</vt:lpstr>
      <vt:lpstr>Table S3</vt:lpstr>
      <vt:lpstr>Table S4</vt:lpstr>
      <vt:lpstr>Table S5</vt:lpstr>
      <vt:lpstr>Table S6</vt:lpstr>
      <vt:lpstr>Table S7</vt:lpstr>
      <vt:lpstr>Table S8</vt:lpstr>
      <vt:lpstr>Table S9</vt:lpstr>
      <vt:lpstr>Table S10</vt:lpstr>
      <vt:lpstr>Table S11</vt:lpstr>
      <vt:lpstr>Table S12</vt:lpstr>
      <vt:lpstr>Table S13</vt:lpstr>
      <vt:lpstr>Table S14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dc:creator>
  <cp:lastModifiedBy>John Caraway</cp:lastModifiedBy>
  <dcterms:created xsi:type="dcterms:W3CDTF">2025-07-15T17:53:05Z</dcterms:created>
  <dcterms:modified xsi:type="dcterms:W3CDTF">2026-02-24T16:52:09Z</dcterms:modified>
</cp:coreProperties>
</file>