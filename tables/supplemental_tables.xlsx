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S1" sheetId="1" r:id="rId4"/>
    <sheet state="visible" name="Table S2" sheetId="2" r:id="rId5"/>
    <sheet state="visible" name="Table S3" sheetId="3" r:id="rId6"/>
    <sheet state="visible" name="Table S4" sheetId="4" r:id="rId7"/>
    <sheet state="visible" name="Table S5" sheetId="5" r:id="rId8"/>
    <sheet state="visible" name="Table S6" sheetId="6" r:id="rId9"/>
    <sheet state="visible" name="Table S7" sheetId="7" r:id="rId10"/>
    <sheet state="visible" name="Table S8" sheetId="8" r:id="rId11"/>
    <sheet state="visible" name="Table S9" sheetId="9" r:id="rId12"/>
    <sheet state="visible" name="Table S10" sheetId="10" r:id="rId13"/>
    <sheet state="visible" name="Table S11" sheetId="11" r:id="rId14"/>
    <sheet state="visible" name="Table S12" sheetId="12" r:id="rId15"/>
  </sheets>
  <definedNames/>
  <calcPr/>
  <extLst>
    <ext uri="GoogleSheetsCustomDataVersion2">
      <go:sheetsCustomData xmlns:go="http://customooxmlschemas.google.com/" r:id="rId16" roundtripDataChecksum="+U5XoOzDEkyG+mw/Ef8eu1I9cWZ+FyEEDQ31wcqaiZ8="/>
    </ext>
  </extLst>
</workbook>
</file>

<file path=xl/sharedStrings.xml><?xml version="1.0" encoding="utf-8"?>
<sst xmlns="http://schemas.openxmlformats.org/spreadsheetml/2006/main" count="2890" uniqueCount="1210">
  <si>
    <t>Variant</t>
  </si>
  <si>
    <r>
      <rPr>
        <rFont val="Arial"/>
        <b/>
        <color theme="1"/>
        <sz val="11.0"/>
      </rPr>
      <t>alpha (</t>
    </r>
    <r>
      <rPr>
        <rFont val="Symbol"/>
        <b/>
        <color theme="1"/>
        <sz val="11.0"/>
      </rPr>
      <t>a</t>
    </r>
    <r>
      <rPr>
        <rFont val="Arial"/>
        <b/>
        <color theme="1"/>
        <sz val="11.0"/>
      </rPr>
      <t>)</t>
    </r>
  </si>
  <si>
    <r>
      <rPr>
        <rFont val="Arial"/>
        <b/>
        <color theme="1"/>
        <sz val="11.0"/>
      </rPr>
      <t>beta (</t>
    </r>
    <r>
      <rPr>
        <rFont val="Symbol"/>
        <b/>
        <color theme="1"/>
        <sz val="11.0"/>
      </rPr>
      <t>b</t>
    </r>
    <r>
      <rPr>
        <rFont val="Arial"/>
        <b/>
        <color theme="1"/>
        <sz val="11.0"/>
      </rPr>
      <t>)</t>
    </r>
  </si>
  <si>
    <r>
      <rPr>
        <rFont val="Arial"/>
        <b/>
        <color theme="1"/>
        <sz val="11.0"/>
      </rPr>
      <t>delta (</t>
    </r>
    <r>
      <rPr>
        <rFont val="Symbol"/>
        <b/>
        <color theme="1"/>
        <sz val="11.0"/>
      </rPr>
      <t>d</t>
    </r>
    <r>
      <rPr>
        <rFont val="Arial"/>
        <b/>
        <color theme="1"/>
        <sz val="11.0"/>
      </rPr>
      <t>)</t>
    </r>
  </si>
  <si>
    <r>
      <rPr>
        <rFont val="Arial"/>
        <b/>
        <color theme="1"/>
        <sz val="11.0"/>
      </rPr>
      <t>epsilon (</t>
    </r>
    <r>
      <rPr>
        <rFont val="Symbol"/>
        <b/>
        <color theme="1"/>
        <sz val="11.0"/>
      </rPr>
      <t>e</t>
    </r>
    <r>
      <rPr>
        <rFont val="Arial"/>
        <b/>
        <color theme="1"/>
        <sz val="11.0"/>
      </rPr>
      <t>)</t>
    </r>
  </si>
  <si>
    <r>
      <rPr>
        <rFont val="Arial"/>
        <b/>
        <color theme="1"/>
        <sz val="11.0"/>
      </rPr>
      <t>eta (</t>
    </r>
    <r>
      <rPr>
        <rFont val="Symbol"/>
        <b/>
        <color theme="1"/>
        <sz val="11.0"/>
      </rPr>
      <t>h</t>
    </r>
    <r>
      <rPr>
        <rFont val="Arial"/>
        <b/>
        <color theme="1"/>
        <sz val="11.0"/>
      </rPr>
      <t>)</t>
    </r>
  </si>
  <si>
    <r>
      <rPr>
        <rFont val="Arial"/>
        <b/>
        <color theme="1"/>
        <sz val="11.0"/>
      </rPr>
      <t>gamma (</t>
    </r>
    <r>
      <rPr>
        <rFont val="Symbol"/>
        <b/>
        <color theme="1"/>
        <sz val="11.0"/>
      </rPr>
      <t>g</t>
    </r>
    <r>
      <rPr>
        <rFont val="Arial"/>
        <b/>
        <color theme="1"/>
        <sz val="11.0"/>
      </rPr>
      <t>)</t>
    </r>
  </si>
  <si>
    <t>hongkong (HK.3)</t>
  </si>
  <si>
    <r>
      <rPr>
        <rFont val="Arial"/>
        <b/>
        <color theme="1"/>
        <sz val="11.0"/>
      </rPr>
      <t>iota (</t>
    </r>
    <r>
      <rPr>
        <rFont val="Symbol"/>
        <b/>
        <color theme="1"/>
        <sz val="11.0"/>
      </rPr>
      <t>i</t>
    </r>
    <r>
      <rPr>
        <rFont val="Arial"/>
        <b/>
        <color theme="1"/>
        <sz val="11.0"/>
      </rPr>
      <t>)</t>
    </r>
  </si>
  <si>
    <r>
      <rPr>
        <rFont val="Arial"/>
        <b/>
        <color theme="1"/>
        <sz val="11.0"/>
      </rPr>
      <t>kappa (</t>
    </r>
    <r>
      <rPr>
        <rFont val="Symbol"/>
        <b/>
        <color theme="1"/>
        <sz val="11.0"/>
      </rPr>
      <t>k</t>
    </r>
    <r>
      <rPr>
        <rFont val="Arial"/>
        <b/>
        <color theme="1"/>
        <sz val="11.0"/>
      </rPr>
      <t>)</t>
    </r>
  </si>
  <si>
    <t>kraken (Kraken)</t>
  </si>
  <si>
    <r>
      <rPr>
        <rFont val="Arial"/>
        <b/>
        <color theme="1"/>
        <sz val="11.0"/>
      </rPr>
      <t>lambda (</t>
    </r>
    <r>
      <rPr>
        <rFont val="Symbol"/>
        <b/>
        <color theme="1"/>
        <sz val="11.0"/>
      </rPr>
      <t>l</t>
    </r>
    <r>
      <rPr>
        <rFont val="Arial"/>
        <b/>
        <color theme="1"/>
        <sz val="11.0"/>
      </rPr>
      <t>)</t>
    </r>
  </si>
  <si>
    <r>
      <rPr>
        <rFont val="Arial"/>
        <b/>
        <color theme="1"/>
        <sz val="11.0"/>
      </rPr>
      <t>mu (</t>
    </r>
    <r>
      <rPr>
        <rFont val="Symbol"/>
        <b/>
        <color theme="1"/>
        <sz val="11.0"/>
      </rPr>
      <t>m</t>
    </r>
    <r>
      <rPr>
        <rFont val="Arial"/>
        <b/>
        <color theme="1"/>
        <sz val="11.0"/>
      </rPr>
      <t>)</t>
    </r>
  </si>
  <si>
    <r>
      <rPr>
        <rFont val="Arial"/>
        <b/>
        <color theme="1"/>
        <sz val="11.0"/>
      </rPr>
      <t>omicron (</t>
    </r>
    <r>
      <rPr>
        <rFont val="Symbol"/>
        <b/>
        <color theme="1"/>
        <sz val="11.0"/>
      </rPr>
      <t>o</t>
    </r>
    <r>
      <rPr>
        <rFont val="Arial"/>
        <b/>
        <color theme="1"/>
        <sz val="11.0"/>
      </rPr>
      <t>)</t>
    </r>
  </si>
  <si>
    <t>pirola (Pirola)</t>
  </si>
  <si>
    <t>Samples</t>
  </si>
  <si>
    <t>Proportion</t>
  </si>
  <si>
    <t>Date</t>
  </si>
  <si>
    <t>2020-02</t>
  </si>
  <si>
    <t>2020-03</t>
  </si>
  <si>
    <t>2020-04</t>
  </si>
  <si>
    <t>2020-05</t>
  </si>
  <si>
    <t>2020-06</t>
  </si>
  <si>
    <t>2020-07</t>
  </si>
  <si>
    <t>2020-08</t>
  </si>
  <si>
    <t>2020-09</t>
  </si>
  <si>
    <t>2020-10</t>
  </si>
  <si>
    <t>2020-11</t>
  </si>
  <si>
    <t>2020-12</t>
  </si>
  <si>
    <t>2020-13</t>
  </si>
  <si>
    <t>2020-14</t>
  </si>
  <si>
    <t>2020-15</t>
  </si>
  <si>
    <t>2020-16</t>
  </si>
  <si>
    <t>2020-17</t>
  </si>
  <si>
    <t>2020-18</t>
  </si>
  <si>
    <t>2020-19</t>
  </si>
  <si>
    <t>2020-20</t>
  </si>
  <si>
    <t>2020-21</t>
  </si>
  <si>
    <t>2020-22</t>
  </si>
  <si>
    <t>2020-23</t>
  </si>
  <si>
    <t>2020-24</t>
  </si>
  <si>
    <t>2020-25</t>
  </si>
  <si>
    <t>2020-26</t>
  </si>
  <si>
    <t>2020-27</t>
  </si>
  <si>
    <t>2020-28</t>
  </si>
  <si>
    <t>2020-29</t>
  </si>
  <si>
    <t>2020-30</t>
  </si>
  <si>
    <t>2020-31</t>
  </si>
  <si>
    <t>2020-32</t>
  </si>
  <si>
    <t>2020-33</t>
  </si>
  <si>
    <t>2020-34</t>
  </si>
  <si>
    <t>2020-35</t>
  </si>
  <si>
    <t>2020-36</t>
  </si>
  <si>
    <t>2020-37</t>
  </si>
  <si>
    <t>2020-38</t>
  </si>
  <si>
    <t>2020-39</t>
  </si>
  <si>
    <t>2020-40</t>
  </si>
  <si>
    <t>2020-41</t>
  </si>
  <si>
    <t>2020-42</t>
  </si>
  <si>
    <t>2020-43</t>
  </si>
  <si>
    <t>2020-44</t>
  </si>
  <si>
    <t>2020-45</t>
  </si>
  <si>
    <t>2020-46</t>
  </si>
  <si>
    <t>2020-47</t>
  </si>
  <si>
    <t>2020-48</t>
  </si>
  <si>
    <t>2020-49</t>
  </si>
  <si>
    <t>2020-50</t>
  </si>
  <si>
    <t>2020-51</t>
  </si>
  <si>
    <t>2020-52</t>
  </si>
  <si>
    <t>2020-53</t>
  </si>
  <si>
    <t>2021-01</t>
  </si>
  <si>
    <t>2021-02</t>
  </si>
  <si>
    <t>2021-03</t>
  </si>
  <si>
    <t>2021-04</t>
  </si>
  <si>
    <t>2021-05</t>
  </si>
  <si>
    <t>2021-06</t>
  </si>
  <si>
    <t>2021-07</t>
  </si>
  <si>
    <t>2021-08</t>
  </si>
  <si>
    <t>2021-09</t>
  </si>
  <si>
    <t>2021-10</t>
  </si>
  <si>
    <t>2021-11</t>
  </si>
  <si>
    <t>2021-12</t>
  </si>
  <si>
    <t>2021-13</t>
  </si>
  <si>
    <t>2021-14</t>
  </si>
  <si>
    <t>2021-15</t>
  </si>
  <si>
    <t>2021-16</t>
  </si>
  <si>
    <t>2021-17</t>
  </si>
  <si>
    <t>2021-18</t>
  </si>
  <si>
    <t>2021-19</t>
  </si>
  <si>
    <t>2021-20</t>
  </si>
  <si>
    <t>2021-21</t>
  </si>
  <si>
    <t>2021-22</t>
  </si>
  <si>
    <t>2021-23</t>
  </si>
  <si>
    <t>2021-24</t>
  </si>
  <si>
    <t>2021-25</t>
  </si>
  <si>
    <t>2021-26</t>
  </si>
  <si>
    <t>2021-27</t>
  </si>
  <si>
    <t>2021-28</t>
  </si>
  <si>
    <t>2021-29</t>
  </si>
  <si>
    <t>2021-30</t>
  </si>
  <si>
    <t>2021-31</t>
  </si>
  <si>
    <t>2021-32</t>
  </si>
  <si>
    <t>2021-33</t>
  </si>
  <si>
    <t>2021-34</t>
  </si>
  <si>
    <t>2021-35</t>
  </si>
  <si>
    <t>2021-36</t>
  </si>
  <si>
    <t>2021-37</t>
  </si>
  <si>
    <t>2021-38</t>
  </si>
  <si>
    <t>2021-39</t>
  </si>
  <si>
    <t>2021-40</t>
  </si>
  <si>
    <t>2021-41</t>
  </si>
  <si>
    <t>2021-42</t>
  </si>
  <si>
    <t>2021-43</t>
  </si>
  <si>
    <t>2021-44</t>
  </si>
  <si>
    <t>2021-45</t>
  </si>
  <si>
    <t>2021-46</t>
  </si>
  <si>
    <t>2021-47</t>
  </si>
  <si>
    <t>2021-48</t>
  </si>
  <si>
    <t>2021-49</t>
  </si>
  <si>
    <t>2021-50</t>
  </si>
  <si>
    <t>2021-51</t>
  </si>
  <si>
    <t>2021-52</t>
  </si>
  <si>
    <t>2022-01</t>
  </si>
  <si>
    <t>2022-02</t>
  </si>
  <si>
    <t>2022-03</t>
  </si>
  <si>
    <t>2022-04</t>
  </si>
  <si>
    <t>2022-05</t>
  </si>
  <si>
    <t>2022-06</t>
  </si>
  <si>
    <t>2022-07</t>
  </si>
  <si>
    <t>2022-08</t>
  </si>
  <si>
    <t>2022-09</t>
  </si>
  <si>
    <t>2022-10</t>
  </si>
  <si>
    <t>2022-11</t>
  </si>
  <si>
    <t>2022-12</t>
  </si>
  <si>
    <t>2022-13</t>
  </si>
  <si>
    <t>2022-14</t>
  </si>
  <si>
    <t>2022-15</t>
  </si>
  <si>
    <t>2022-16</t>
  </si>
  <si>
    <t>2022-17</t>
  </si>
  <si>
    <t>2022-18</t>
  </si>
  <si>
    <t>2022-19</t>
  </si>
  <si>
    <t>2022-20</t>
  </si>
  <si>
    <t>2022-21</t>
  </si>
  <si>
    <t>2022-22</t>
  </si>
  <si>
    <t>2022-23</t>
  </si>
  <si>
    <t>2022-24</t>
  </si>
  <si>
    <t>2022-25</t>
  </si>
  <si>
    <t>2022-26</t>
  </si>
  <si>
    <t>2022-27</t>
  </si>
  <si>
    <t>2022-28</t>
  </si>
  <si>
    <t>2022-29</t>
  </si>
  <si>
    <t>2022-30</t>
  </si>
  <si>
    <t>2022-31</t>
  </si>
  <si>
    <t>2022-32</t>
  </si>
  <si>
    <t>2022-33</t>
  </si>
  <si>
    <t>2022-34</t>
  </si>
  <si>
    <t>2022-35</t>
  </si>
  <si>
    <t>2022-36</t>
  </si>
  <si>
    <t>2022-37</t>
  </si>
  <si>
    <t>2022-38</t>
  </si>
  <si>
    <t>2022-39</t>
  </si>
  <si>
    <t>2022-40</t>
  </si>
  <si>
    <t>2022-41</t>
  </si>
  <si>
    <t>2022-42</t>
  </si>
  <si>
    <t>2022-43</t>
  </si>
  <si>
    <t>2022-44</t>
  </si>
  <si>
    <t>2022-45</t>
  </si>
  <si>
    <t>2022-46</t>
  </si>
  <si>
    <t>2022-47</t>
  </si>
  <si>
    <t>2022-48</t>
  </si>
  <si>
    <t>2022-49</t>
  </si>
  <si>
    <t>2022-50</t>
  </si>
  <si>
    <t>2022-51</t>
  </si>
  <si>
    <t>2022-52</t>
  </si>
  <si>
    <t>2023-01</t>
  </si>
  <si>
    <t>2023-02</t>
  </si>
  <si>
    <t>2023-03</t>
  </si>
  <si>
    <t>2023-04</t>
  </si>
  <si>
    <t>2023-05</t>
  </si>
  <si>
    <t>2023-06</t>
  </si>
  <si>
    <t>2023-07</t>
  </si>
  <si>
    <t>2023-08</t>
  </si>
  <si>
    <t>2023-09</t>
  </si>
  <si>
    <t>2023-10</t>
  </si>
  <si>
    <t>2023-11</t>
  </si>
  <si>
    <t>2023-12</t>
  </si>
  <si>
    <t>2023-13</t>
  </si>
  <si>
    <t>2023-14</t>
  </si>
  <si>
    <t>2023-15</t>
  </si>
  <si>
    <t>2023-16</t>
  </si>
  <si>
    <t>2023-17</t>
  </si>
  <si>
    <t>2023-18</t>
  </si>
  <si>
    <t>2023-19</t>
  </si>
  <si>
    <t>2023-20</t>
  </si>
  <si>
    <t>2023-21</t>
  </si>
  <si>
    <t>2023-22</t>
  </si>
  <si>
    <t>2023-23</t>
  </si>
  <si>
    <t>2023-24</t>
  </si>
  <si>
    <t>2023-25</t>
  </si>
  <si>
    <t>2023-26</t>
  </si>
  <si>
    <t>2023-27</t>
  </si>
  <si>
    <t>2023-28</t>
  </si>
  <si>
    <t>2023-29</t>
  </si>
  <si>
    <t>2023-30</t>
  </si>
  <si>
    <t>2023-31</t>
  </si>
  <si>
    <t>2023-32</t>
  </si>
  <si>
    <t>2023-33</t>
  </si>
  <si>
    <t>2023-34</t>
  </si>
  <si>
    <t>2023-35</t>
  </si>
  <si>
    <t>2023-36</t>
  </si>
  <si>
    <t>2023-37</t>
  </si>
  <si>
    <t>2023-38</t>
  </si>
  <si>
    <t>2023-39</t>
  </si>
  <si>
    <t>2023-40</t>
  </si>
  <si>
    <t>2023-41</t>
  </si>
  <si>
    <t>2023-42</t>
  </si>
  <si>
    <t>2023-43</t>
  </si>
  <si>
    <t>2023-44</t>
  </si>
  <si>
    <t>2023-45</t>
  </si>
  <si>
    <t>2023-46</t>
  </si>
  <si>
    <t>2023-47</t>
  </si>
  <si>
    <t>2023-48</t>
  </si>
  <si>
    <t>2023-49</t>
  </si>
  <si>
    <t>2023-50</t>
  </si>
  <si>
    <t>2023-51</t>
  </si>
  <si>
    <t>2023-52</t>
  </si>
  <si>
    <t>2024-01</t>
  </si>
  <si>
    <t>2024-02</t>
  </si>
  <si>
    <t>2024-03</t>
  </si>
  <si>
    <t>2024-04</t>
  </si>
  <si>
    <t>2024-05</t>
  </si>
  <si>
    <t>2024-06</t>
  </si>
  <si>
    <t>2024-07</t>
  </si>
  <si>
    <t>2024-08</t>
  </si>
  <si>
    <t>2024-09</t>
  </si>
  <si>
    <t>2024-10</t>
  </si>
  <si>
    <t>2024-11</t>
  </si>
  <si>
    <t>2024-12</t>
  </si>
  <si>
    <t>2024-13</t>
  </si>
  <si>
    <t>2024-14</t>
  </si>
  <si>
    <t>2024-15</t>
  </si>
  <si>
    <t>2024-16</t>
  </si>
  <si>
    <t>2024-17</t>
  </si>
  <si>
    <t>2024-18</t>
  </si>
  <si>
    <t>2024-19</t>
  </si>
  <si>
    <t>2024-20</t>
  </si>
  <si>
    <t>2024-21</t>
  </si>
  <si>
    <t>2024-22</t>
  </si>
  <si>
    <t>2024-23</t>
  </si>
  <si>
    <t>2024-24</t>
  </si>
  <si>
    <t>2024-25</t>
  </si>
  <si>
    <r>
      <rPr>
        <rFont val="Arial"/>
        <b/>
        <color theme="1"/>
        <sz val="11.0"/>
      </rPr>
      <t xml:space="preserve">Table S1: COVID-19 Sequencing Frequency Over Time. </t>
    </r>
    <r>
      <rPr>
        <rFont val="Arial"/>
        <color theme="1"/>
        <sz val="11.0"/>
      </rPr>
      <t xml:space="preserve">Number of COVID-19 sequences deposited into the GISAID database over time for each variant.  </t>
    </r>
    <r>
      <rPr>
        <rFont val="Arial"/>
        <b/>
        <color theme="1"/>
        <sz val="11.0"/>
      </rPr>
      <t>T</t>
    </r>
    <r>
      <rPr>
        <rFont val="Arial"/>
        <color theme="1"/>
        <sz val="11.0"/>
      </rPr>
      <t>he number of sequences and the proportion of total sequences across all variants submitted are listed for each week from January 2020 through June 2024. Within each variant, the bolded data encapsulates the weeks where the sequence number was above 10 for three consecutive weeks through when the sequence number drops below 10 for three consecutive weeks. For each variant, the persistance value is calculated by mutiplying the length of the timeframe by the maximum frequency in the population. Weekly persistence values were converted to days for the analysis.</t>
    </r>
  </si>
  <si>
    <t>Gene Name</t>
  </si>
  <si>
    <t>Subgene</t>
  </si>
  <si>
    <t>Start Position</t>
  </si>
  <si>
    <t>Stop Position</t>
  </si>
  <si>
    <t>Length</t>
  </si>
  <si>
    <t>4-fold Sites</t>
  </si>
  <si>
    <t>overlapping 4-fold sites</t>
  </si>
  <si>
    <t>analyzed  4-fold sites</t>
  </si>
  <si>
    <t>analyzable 4-fold ratio</t>
  </si>
  <si>
    <t>G</t>
  </si>
  <si>
    <t>A</t>
  </si>
  <si>
    <t>C</t>
  </si>
  <si>
    <t>T</t>
  </si>
  <si>
    <t>GC content</t>
  </si>
  <si>
    <t>ORF1a</t>
  </si>
  <si>
    <t>nsp1</t>
  </si>
  <si>
    <t>nsp2</t>
  </si>
  <si>
    <t>nsp3</t>
  </si>
  <si>
    <t>nsp4</t>
  </si>
  <si>
    <t>nsp5</t>
  </si>
  <si>
    <t>nsp6</t>
  </si>
  <si>
    <t>nsp7</t>
  </si>
  <si>
    <t>nsp8</t>
  </si>
  <si>
    <t>nsp9</t>
  </si>
  <si>
    <t>nsp10</t>
  </si>
  <si>
    <t>nsp11</t>
  </si>
  <si>
    <t>ORF1b</t>
  </si>
  <si>
    <t xml:space="preserve">nsp12 (rdrp) </t>
  </si>
  <si>
    <t>nsp13</t>
  </si>
  <si>
    <t>nsp14</t>
  </si>
  <si>
    <t>nsp15</t>
  </si>
  <si>
    <t>nsp16</t>
  </si>
  <si>
    <t>S</t>
  </si>
  <si>
    <t>ORF3a</t>
  </si>
  <si>
    <t>ORF3b</t>
  </si>
  <si>
    <t>E</t>
  </si>
  <si>
    <t>M</t>
  </si>
  <si>
    <t>ORF6</t>
  </si>
  <si>
    <t>ORF7a</t>
  </si>
  <si>
    <t>ORF7b</t>
  </si>
  <si>
    <t>ORF8</t>
  </si>
  <si>
    <t>N</t>
  </si>
  <si>
    <t>ORF9b</t>
  </si>
  <si>
    <t>ORF9c</t>
  </si>
  <si>
    <t>ORF10</t>
  </si>
  <si>
    <t>Total</t>
  </si>
  <si>
    <r>
      <rPr>
        <rFont val="Arial"/>
        <b/>
        <color theme="1"/>
        <sz val="11.0"/>
      </rPr>
      <t>Table S2: COVID-19 Analyzed Gene Positions.</t>
    </r>
    <r>
      <rPr>
        <rFont val="Arial"/>
        <color theme="1"/>
        <sz val="11.0"/>
      </rPr>
      <t xml:space="preserve"> This table displays the nucleotide content and start and stop position of each gene or subgene within COVID-19 based upon the COVID-19 NCBI and GISAID reference sequence gene annotations (NC_45512.2, EPI_ISL_402124). There is a noted frameshift (-1 bp) seperating ORF1a and ORF1b at position 13468, so 4-fold sites in ORF1b after that position are no analyzed. Length indicates the number of nucleotides of each gene. Overlapping 4-fold sites refers to the number of 4-fold sites in a gene that overlaps with another gene and are excluded from analysis. </t>
    </r>
  </si>
  <si>
    <t>T&gt;G</t>
  </si>
  <si>
    <t>T&gt;C</t>
  </si>
  <si>
    <t>T&gt;A</t>
  </si>
  <si>
    <t>G&gt;T</t>
  </si>
  <si>
    <t>G&gt;C</t>
  </si>
  <si>
    <t>G&gt;A</t>
  </si>
  <si>
    <t>C&gt;T</t>
  </si>
  <si>
    <t>C&gt;G</t>
  </si>
  <si>
    <t>C&gt;A</t>
  </si>
  <si>
    <t>A&gt;T</t>
  </si>
  <si>
    <t>A&gt;G</t>
  </si>
  <si>
    <t>A&gt;C</t>
  </si>
  <si>
    <t>T[X&gt;Y]T</t>
  </si>
  <si>
    <t>T[X&gt;Y]G</t>
  </si>
  <si>
    <t>T[X&gt;Y]C</t>
  </si>
  <si>
    <t>T[X&gt;Y]A</t>
  </si>
  <si>
    <t>G[X&gt;Y]T</t>
  </si>
  <si>
    <t>G[X&gt;Y]G</t>
  </si>
  <si>
    <t>G[X&gt;Y]C</t>
  </si>
  <si>
    <t>G[X&gt;Y]A</t>
  </si>
  <si>
    <t>C[X&gt;Y]T</t>
  </si>
  <si>
    <t>C[X&gt;Y]G</t>
  </si>
  <si>
    <t>C[X&gt;Y]C</t>
  </si>
  <si>
    <t>C[X&gt;Y]A</t>
  </si>
  <si>
    <t>A[X&gt;Y]T</t>
  </si>
  <si>
    <t>A[X&gt;Y]G</t>
  </si>
  <si>
    <t>A[X&gt;Y]C</t>
  </si>
  <si>
    <t>A[X&gt;Y]A</t>
  </si>
  <si>
    <t>Alpha</t>
  </si>
  <si>
    <t>Beta</t>
  </si>
  <si>
    <t>Delta</t>
  </si>
  <si>
    <t>Gamma</t>
  </si>
  <si>
    <t>Omnicron</t>
  </si>
  <si>
    <t>USA</t>
  </si>
  <si>
    <r>
      <rPr>
        <rFont val="Arial"/>
        <b/>
        <color theme="1"/>
        <sz val="11.0"/>
      </rPr>
      <t xml:space="preserve">Table S3. Content-dependent Mutation Matrices. </t>
    </r>
    <r>
      <rPr>
        <rFont val="Arial"/>
        <b val="0"/>
        <color theme="1"/>
        <sz val="11.0"/>
      </rPr>
      <t xml:space="preserve">Context-dependent mutation matrices were calculated for each variant and the grouped variants (Total) with data obtained from Gout et. al (6). Each value is calculated by averaging the frequency of mutations at a given type and context. These values range from 0 to 1, where a 1 indicates that every single site at an observed context contains mutation of this type. </t>
    </r>
  </si>
  <si>
    <t>All</t>
  </si>
  <si>
    <t>Persistent</t>
  </si>
  <si>
    <t>Transient</t>
  </si>
  <si>
    <t>Hongkong</t>
  </si>
  <si>
    <t>Kraken</t>
  </si>
  <si>
    <t>Omicron</t>
  </si>
  <si>
    <t>Pirola</t>
  </si>
  <si>
    <r>
      <rPr>
        <rFont val="Arial"/>
        <b/>
        <color theme="1"/>
        <sz val="11.0"/>
      </rPr>
      <t xml:space="preserve">Table S4. Context-dependent Polymorphism Matrices. </t>
    </r>
    <r>
      <rPr>
        <rFont val="Arial"/>
        <b val="0"/>
        <color theme="1"/>
        <sz val="11.0"/>
      </rPr>
      <t>Context-dependent polymorphism matrices were calculated for each variant (Alpha, Delta, Hongkong, Kraken, Omicron, Pirola) and the grouped variants (Pooled, Persistent, Transient) at analyzable four-fold degenerate sites (see Table S2) with sufficient sequence coverage (MAF = 10 out of 2×10^5 sequences). Each value is calculated by taking the sum of the number of a polymorphism at a given context divided by the total number of that context in the genome (frequency range: 0 to 1).</t>
    </r>
  </si>
  <si>
    <t>alpha</t>
  </si>
  <si>
    <t>delta</t>
  </si>
  <si>
    <t>kraken</t>
  </si>
  <si>
    <t>omicron</t>
  </si>
  <si>
    <t>pirola</t>
  </si>
  <si>
    <t>all</t>
  </si>
  <si>
    <t>persistent</t>
  </si>
  <si>
    <t>transient</t>
  </si>
  <si>
    <r>
      <rPr>
        <rFont val="Arial"/>
        <b/>
        <color theme="1"/>
        <sz val="11.0"/>
      </rPr>
      <t xml:space="preserve">Table S5. Context-dependent Polymorphism Correlations Between Variants. </t>
    </r>
    <r>
      <rPr>
        <rFont val="Arial"/>
        <b val="0"/>
        <color theme="1"/>
        <sz val="11.0"/>
      </rPr>
      <t>P-values for the one-to-one Pearson's correlation between the context-dependent polymorphism for each variant (Fig. S6). Compared variants include individual variants (alpha, delta, kraken, omicron, pirola) and pooled variants (all, persistent, transient) with sufficient sequences (MAF = 10 out of 2×10^5 sequences)</t>
    </r>
    <r>
      <rPr>
        <rFont val="Arial"/>
        <b/>
        <color theme="1"/>
        <sz val="11.0"/>
      </rPr>
      <t>.</t>
    </r>
  </si>
  <si>
    <t>total</t>
  </si>
  <si>
    <t>4-fold</t>
  </si>
  <si>
    <t>4-fold   transitions</t>
  </si>
  <si>
    <t>4-fold   transversions</t>
  </si>
  <si>
    <t>4-fold   ts/tv</t>
  </si>
  <si>
    <t>beta</t>
  </si>
  <si>
    <t>epsilon</t>
  </si>
  <si>
    <t>eta</t>
  </si>
  <si>
    <t>gamma</t>
  </si>
  <si>
    <t>hongkong</t>
  </si>
  <si>
    <t>iota</t>
  </si>
  <si>
    <t>kappa</t>
  </si>
  <si>
    <t>lambda</t>
  </si>
  <si>
    <t>mu</t>
  </si>
  <si>
    <t>average</t>
  </si>
  <si>
    <r>
      <rPr>
        <rFont val="Arial"/>
        <b/>
        <color theme="1"/>
        <sz val="11.0"/>
      </rPr>
      <t xml:space="preserve">Table S6. Number and Type of Single Nucleotide Polymorphism (SNP) Across Variants. </t>
    </r>
    <r>
      <rPr>
        <rFont val="Arial"/>
        <b val="0"/>
        <color theme="1"/>
        <sz val="11.0"/>
      </rPr>
      <t>The 4-fold column indicates the number of SNPs at 4-fold degenerate sites. 4-fold degenerate sites are sub-divided into transitions and transversions. Ts/Tv indicates the ratio of transitions to tranversion SNPs.</t>
    </r>
  </si>
  <si>
    <t>1) Context-dependent Matrices</t>
  </si>
  <si>
    <t>Correlation Coefficient</t>
  </si>
  <si>
    <t>P-value</t>
  </si>
  <si>
    <t>CDP Variant</t>
  </si>
  <si>
    <t>CDM subset</t>
  </si>
  <si>
    <t>CDM variant</t>
  </si>
  <si>
    <t>Lethal</t>
  </si>
  <si>
    <t>usa</t>
  </si>
  <si>
    <t>Non-lethal</t>
  </si>
  <si>
    <t>Combined</t>
  </si>
  <si>
    <t>2) Context-dependent Matrices Without C&gt;U SNP Type</t>
  </si>
  <si>
    <t>3) TSTV matrices</t>
  </si>
  <si>
    <t>4) Naive matrices</t>
  </si>
  <si>
    <r>
      <rPr>
        <rFont val="Arial"/>
        <b/>
        <color theme="1"/>
        <sz val="11.0"/>
      </rPr>
      <t xml:space="preserve">Table S7. Correlation Between Context-dependent Polymorphism (CDP) Context-dependent Mutation (CDM) matrices. </t>
    </r>
    <r>
      <rPr>
        <rFont val="Arial"/>
        <b val="0"/>
        <color theme="1"/>
        <sz val="11.0"/>
      </rPr>
      <t>Peason's correlation and p-values for CDM matrices (Table S3) vs CDP matrices (Table S4) for each variant. Correlations are subset into Lethal (only includes mutations labeled as lethal), Non-lethal (only includes mutations defined as non-lethal), and Combined (includes both lethal and non-lethal mutations). Boxes highlighted in blue indicate a direct comparison between CDM and CDP matrices for the same variant. The first table correlates the CDM and CDP matrices for all three subsets. The second table correlates the CDM and CDP matrices for all three subsets without the most abundant C&gt;U mutations. The third table correlates the CDM and CDP matrices only using a 12-parameter model where contextual information is ignored. The fourth table correlates CDM and CDP matrices using a 4-parameter model where the mutation type is ignored.</t>
    </r>
  </si>
  <si>
    <t>region index</t>
  </si>
  <si>
    <t>start</t>
  </si>
  <si>
    <t>end</t>
  </si>
  <si>
    <t>length</t>
  </si>
  <si>
    <t>genes</t>
  </si>
  <si>
    <t>significant regions</t>
  </si>
  <si>
    <t>high allele frequency</t>
  </si>
  <si>
    <t>low allele frequency</t>
  </si>
  <si>
    <t>high SNP count</t>
  </si>
  <si>
    <t>low SNP count</t>
  </si>
  <si>
    <t>magnitude of SNP frequency</t>
  </si>
  <si>
    <t>magnitude of SNP count</t>
  </si>
  <si>
    <t>nsp 1</t>
  </si>
  <si>
    <t>q</t>
  </si>
  <si>
    <t>nsp 2</t>
  </si>
  <si>
    <t>nsp 3</t>
  </si>
  <si>
    <t>s</t>
  </si>
  <si>
    <t>nsps 3, 4</t>
  </si>
  <si>
    <t>nsp 4</t>
  </si>
  <si>
    <t>nsp 5</t>
  </si>
  <si>
    <t>nsps 5, 6</t>
  </si>
  <si>
    <t>nsps 6, 7</t>
  </si>
  <si>
    <t>nsps 7-9</t>
  </si>
  <si>
    <t>nsps 9, 10</t>
  </si>
  <si>
    <t>t</t>
  </si>
  <si>
    <t>nsp 12</t>
  </si>
  <si>
    <t>nsps 12, 13</t>
  </si>
  <si>
    <t>nsp 13</t>
  </si>
  <si>
    <t>u</t>
  </si>
  <si>
    <t>nsps 13, 14</t>
  </si>
  <si>
    <t>nsp 14</t>
  </si>
  <si>
    <t>nsps 14, 15</t>
  </si>
  <si>
    <t>nsps 15, 16</t>
  </si>
  <si>
    <t>nsp 16</t>
  </si>
  <si>
    <t>nsp 16 and Spike</t>
  </si>
  <si>
    <t>Spike</t>
  </si>
  <si>
    <t>v_1</t>
  </si>
  <si>
    <t>E, M</t>
  </si>
  <si>
    <t>x</t>
  </si>
  <si>
    <t>ORF7a, ORF7b</t>
  </si>
  <si>
    <t>y</t>
  </si>
  <si>
    <t>ORF8, N</t>
  </si>
  <si>
    <t>z</t>
  </si>
  <si>
    <r>
      <rPr>
        <rFont val="Arial"/>
        <b/>
        <color theme="1"/>
        <sz val="11.0"/>
      </rPr>
      <t xml:space="preserve">Table S8. Regions of significant polymorphism allele frequency in COVID-19. </t>
    </r>
    <r>
      <rPr>
        <rFont val="Arial"/>
        <b val="0"/>
        <color theme="1"/>
        <sz val="11.0"/>
      </rPr>
      <t xml:space="preserve">Analysis of the allele frequency of polymorphisms distributed throughout the COVID-19 genome has defined regions in which the allele frequency of SNPs is significantly high (&gt;=95%) or significantly low (&lt;=5%). SNP allele frequencies are averaged across a 100 base pair window and gaps between significant regions fewer than 250 base pairs. The associated genes and </t>
    </r>
    <r>
      <rPr>
        <rFont val="Arial"/>
        <b val="0"/>
        <i/>
        <color theme="1"/>
        <sz val="11.0"/>
      </rPr>
      <t>simulated significant regions</t>
    </r>
    <r>
      <rPr>
        <rFont val="Arial"/>
        <b val="0"/>
        <color theme="1"/>
        <sz val="11.0"/>
      </rPr>
      <t xml:space="preserve"> (Fig. 3) encompassing a region are listed. Additionally, the number of nucleotides with significantly high or low allele frequency are normalized by the length of the region resulting in an allele frequency magnitude. Similarly, the number of nucleotides with significantly high or low SNP count are normalized by the length of the region resulting in a SNP count magnitude.</t>
    </r>
    <r>
      <rPr>
        <rFont val="Arial"/>
        <b/>
        <color theme="1"/>
        <sz val="11.0"/>
      </rPr>
      <t xml:space="preserve"> </t>
    </r>
    <r>
      <rPr>
        <rFont val="Arial"/>
        <b val="0"/>
        <color theme="1"/>
        <sz val="11.0"/>
      </rPr>
      <t>Region 27 (v_1) is highlighted in red indicating that the magnitude of SNP frequency compared to the magnitude of SNP count is noteworthy.</t>
    </r>
  </si>
  <si>
    <t>gene</t>
  </si>
  <si>
    <t>position</t>
  </si>
  <si>
    <t>ref</t>
  </si>
  <si>
    <t>SNP</t>
  </si>
  <si>
    <t>original triplet</t>
  </si>
  <si>
    <t>SNP triplet</t>
  </si>
  <si>
    <t>AA change</t>
  </si>
  <si>
    <t>AA change (frameshift)</t>
  </si>
  <si>
    <t>Nonsyn</t>
  </si>
  <si>
    <t>Allele Frequency</t>
  </si>
  <si>
    <t>persistent count (+)</t>
  </si>
  <si>
    <t>transient count (-)</t>
  </si>
  <si>
    <t>omicron variants count (*)</t>
  </si>
  <si>
    <t>alpha (+)</t>
  </si>
  <si>
    <t>delta (+)</t>
  </si>
  <si>
    <t>kraken (+, *)</t>
  </si>
  <si>
    <t>omicron (+,*)</t>
  </si>
  <si>
    <t>pirola (+,*)</t>
  </si>
  <si>
    <t>hongkong (*)</t>
  </si>
  <si>
    <t>beta (-)</t>
  </si>
  <si>
    <t>epsilon (-)</t>
  </si>
  <si>
    <t>eta (-)</t>
  </si>
  <si>
    <t>gamma (-)</t>
  </si>
  <si>
    <t>iota (-)</t>
  </si>
  <si>
    <t>kappa (-)</t>
  </si>
  <si>
    <t>lambda (-)</t>
  </si>
  <si>
    <t>mu (-)</t>
  </si>
  <si>
    <t>AAA</t>
  </si>
  <si>
    <t>AGA</t>
  </si>
  <si>
    <t>A405G</t>
  </si>
  <si>
    <t>K47R</t>
  </si>
  <si>
    <t>U</t>
  </si>
  <si>
    <t>AGU</t>
  </si>
  <si>
    <t>AGG</t>
  </si>
  <si>
    <t>U670G</t>
  </si>
  <si>
    <t>S135R</t>
  </si>
  <si>
    <t>GAU</t>
  </si>
  <si>
    <t>GAC</t>
  </si>
  <si>
    <t>U733C</t>
  </si>
  <si>
    <t>D156D</t>
  </si>
  <si>
    <t>GCU</t>
  </si>
  <si>
    <t>C897A</t>
  </si>
  <si>
    <t>A31D</t>
  </si>
  <si>
    <t>UCC</t>
  </si>
  <si>
    <t>UCU</t>
  </si>
  <si>
    <t>C913U</t>
  </si>
  <si>
    <t>S36S</t>
  </si>
  <si>
    <t>ACC</t>
  </si>
  <si>
    <t>AUC</t>
  </si>
  <si>
    <t>C1059U</t>
  </si>
  <si>
    <t>T85I</t>
  </si>
  <si>
    <t>UUC</t>
  </si>
  <si>
    <t>UUU</t>
  </si>
  <si>
    <t>C1498U</t>
  </si>
  <si>
    <t>F231F</t>
  </si>
  <si>
    <t>GGA</t>
  </si>
  <si>
    <t>GGG</t>
  </si>
  <si>
    <t>A1807G</t>
  </si>
  <si>
    <t>G334G</t>
  </si>
  <si>
    <t>GUU</t>
  </si>
  <si>
    <t>C2334U</t>
  </si>
  <si>
    <t>A510V</t>
  </si>
  <si>
    <t>GUC</t>
  </si>
  <si>
    <t>C2395U</t>
  </si>
  <si>
    <t>V530V</t>
  </si>
  <si>
    <t>UUG</t>
  </si>
  <si>
    <t>CUG</t>
  </si>
  <si>
    <t>U2597C</t>
  </si>
  <si>
    <t>L598L</t>
  </si>
  <si>
    <t>AAG</t>
  </si>
  <si>
    <t>G2659A</t>
  </si>
  <si>
    <t>K618K</t>
  </si>
  <si>
    <t>ACA</t>
  </si>
  <si>
    <t>ACU</t>
  </si>
  <si>
    <t>A2692U</t>
  </si>
  <si>
    <t>T629T</t>
  </si>
  <si>
    <t>C2749U</t>
  </si>
  <si>
    <t>D10D</t>
  </si>
  <si>
    <t>AUU</t>
  </si>
  <si>
    <t>C2790U</t>
  </si>
  <si>
    <t>T24I</t>
  </si>
  <si>
    <t>A2832G</t>
  </si>
  <si>
    <t>K38R</t>
  </si>
  <si>
    <t>C3037U</t>
  </si>
  <si>
    <t>F106F</t>
  </si>
  <si>
    <t>C3267U</t>
  </si>
  <si>
    <t>T183I</t>
  </si>
  <si>
    <t>GCA</t>
  </si>
  <si>
    <t>A3428G</t>
  </si>
  <si>
    <t>T237A</t>
  </si>
  <si>
    <t>GUG</t>
  </si>
  <si>
    <t>G3431U</t>
  </si>
  <si>
    <t>V238L</t>
  </si>
  <si>
    <t>UAC</t>
  </si>
  <si>
    <t>UAU</t>
  </si>
  <si>
    <t>C3457U</t>
  </si>
  <si>
    <t>Y246Y</t>
  </si>
  <si>
    <t>GGU</t>
  </si>
  <si>
    <t>GGC</t>
  </si>
  <si>
    <t>U3565C</t>
  </si>
  <si>
    <t>G282G</t>
  </si>
  <si>
    <t>UCA</t>
  </si>
  <si>
    <t>UUA</t>
  </si>
  <si>
    <t>C3828U</t>
  </si>
  <si>
    <t>S370L</t>
  </si>
  <si>
    <t>C4002U</t>
  </si>
  <si>
    <t>T428I</t>
  </si>
  <si>
    <t>G4181U</t>
  </si>
  <si>
    <t>A488S</t>
  </si>
  <si>
    <t>G4184A</t>
  </si>
  <si>
    <t>G489S</t>
  </si>
  <si>
    <t>GCC</t>
  </si>
  <si>
    <t>C4321U</t>
  </si>
  <si>
    <t>A534A</t>
  </si>
  <si>
    <t>C4878U</t>
  </si>
  <si>
    <t>T720I</t>
  </si>
  <si>
    <t>C4965U</t>
  </si>
  <si>
    <t>T749I</t>
  </si>
  <si>
    <t>AAU</t>
  </si>
  <si>
    <t>G5230U</t>
  </si>
  <si>
    <t>K837N</t>
  </si>
  <si>
    <t>GCG</t>
  </si>
  <si>
    <t>U5386G</t>
  </si>
  <si>
    <t>A889A</t>
  </si>
  <si>
    <t>C5388A</t>
  </si>
  <si>
    <t>A890D</t>
  </si>
  <si>
    <t>CAA</t>
  </si>
  <si>
    <t>A5648C</t>
  </si>
  <si>
    <t>K977Q</t>
  </si>
  <si>
    <t>G5720A</t>
  </si>
  <si>
    <t>G1001S</t>
  </si>
  <si>
    <t>C5986U</t>
  </si>
  <si>
    <t>F1089F</t>
  </si>
  <si>
    <t>AGC</t>
  </si>
  <si>
    <t>C6037U</t>
  </si>
  <si>
    <t>S1106S</t>
  </si>
  <si>
    <t>G6101A</t>
  </si>
  <si>
    <t>G1128S</t>
  </si>
  <si>
    <t>A6183G</t>
  </si>
  <si>
    <t>K1155R</t>
  </si>
  <si>
    <t>C6285U</t>
  </si>
  <si>
    <t>T1189I</t>
  </si>
  <si>
    <t>CCA</t>
  </si>
  <si>
    <t>CCG</t>
  </si>
  <si>
    <t>A6319G</t>
  </si>
  <si>
    <t>P1200P</t>
  </si>
  <si>
    <t>CUA</t>
  </si>
  <si>
    <t>C6402U</t>
  </si>
  <si>
    <t>P1228L</t>
  </si>
  <si>
    <t>CAC</t>
  </si>
  <si>
    <t>CAU</t>
  </si>
  <si>
    <t>C6541U</t>
  </si>
  <si>
    <t>H1274H</t>
  </si>
  <si>
    <t>GUA</t>
  </si>
  <si>
    <t>A6613G</t>
  </si>
  <si>
    <t>V1298V</t>
  </si>
  <si>
    <t>AUA</t>
  </si>
  <si>
    <t>U6954C</t>
  </si>
  <si>
    <t>I1412T</t>
  </si>
  <si>
    <t>CCU</t>
  </si>
  <si>
    <t>C7124U</t>
  </si>
  <si>
    <t>P1469S</t>
  </si>
  <si>
    <t>UCG</t>
  </si>
  <si>
    <t>A7201G</t>
  </si>
  <si>
    <t>S1494S</t>
  </si>
  <si>
    <t>U7424G</t>
  </si>
  <si>
    <t>F1569V</t>
  </si>
  <si>
    <t>AAC</t>
  </si>
  <si>
    <t>A7842G</t>
  </si>
  <si>
    <t>N1708S</t>
  </si>
  <si>
    <t>C8293U</t>
  </si>
  <si>
    <t>T1858T</t>
  </si>
  <si>
    <t>G8393A</t>
  </si>
  <si>
    <t>A1892T</t>
  </si>
  <si>
    <t>U8593C</t>
  </si>
  <si>
    <t>V13V</t>
  </si>
  <si>
    <t>C8809U</t>
  </si>
  <si>
    <t>D85D</t>
  </si>
  <si>
    <t>C8947U</t>
  </si>
  <si>
    <t>N131N</t>
  </si>
  <si>
    <t>C8986U</t>
  </si>
  <si>
    <t>D144D</t>
  </si>
  <si>
    <t>G9053U</t>
  </si>
  <si>
    <t>V167L</t>
  </si>
  <si>
    <t>CUU</t>
  </si>
  <si>
    <t>C9344U</t>
  </si>
  <si>
    <t>L264F</t>
  </si>
  <si>
    <t>A9424G</t>
  </si>
  <si>
    <t>V290V</t>
  </si>
  <si>
    <t>C9534U</t>
  </si>
  <si>
    <t>T327I</t>
  </si>
  <si>
    <t>C9565U</t>
  </si>
  <si>
    <t>F337F</t>
  </si>
  <si>
    <t>C9693U</t>
  </si>
  <si>
    <t>A380V</t>
  </si>
  <si>
    <t>G9738C</t>
  </si>
  <si>
    <t>S395T</t>
  </si>
  <si>
    <t>C9857U</t>
  </si>
  <si>
    <t>L435L</t>
  </si>
  <si>
    <t>C9866U</t>
  </si>
  <si>
    <t>L438F</t>
  </si>
  <si>
    <t>U9867C</t>
  </si>
  <si>
    <t>L438P</t>
  </si>
  <si>
    <t>C10029U</t>
  </si>
  <si>
    <t>T492I</t>
  </si>
  <si>
    <t>G10097A</t>
  </si>
  <si>
    <t>G15S</t>
  </si>
  <si>
    <t>C10198U</t>
  </si>
  <si>
    <t>D48D</t>
  </si>
  <si>
    <t>CUC</t>
  </si>
  <si>
    <t>U10204C</t>
  </si>
  <si>
    <t>L50L</t>
  </si>
  <si>
    <t>A10323G</t>
  </si>
  <si>
    <t>K90R</t>
  </si>
  <si>
    <t>G10447A</t>
  </si>
  <si>
    <t>R131R</t>
  </si>
  <si>
    <t>CCC</t>
  </si>
  <si>
    <t>C10449A</t>
  </si>
  <si>
    <t>P132H</t>
  </si>
  <si>
    <t>G11042U</t>
  </si>
  <si>
    <t>V24F</t>
  </si>
  <si>
    <t>A11201G</t>
  </si>
  <si>
    <t>T77A</t>
  </si>
  <si>
    <t>A11332G</t>
  </si>
  <si>
    <t>V120V</t>
  </si>
  <si>
    <t>CGA</t>
  </si>
  <si>
    <t>A11451G</t>
  </si>
  <si>
    <t>Q160R</t>
  </si>
  <si>
    <t>A11537G</t>
  </si>
  <si>
    <t>I189V</t>
  </si>
  <si>
    <t>G11727A</t>
  </si>
  <si>
    <t>R252K</t>
  </si>
  <si>
    <t>C12100U</t>
  </si>
  <si>
    <t>A3A</t>
  </si>
  <si>
    <t>C12778U</t>
  </si>
  <si>
    <t>Y31Y</t>
  </si>
  <si>
    <t>C12789U</t>
  </si>
  <si>
    <t>T35I</t>
  </si>
  <si>
    <t>C12815U</t>
  </si>
  <si>
    <t>L44L</t>
  </si>
  <si>
    <t>A12878G</t>
  </si>
  <si>
    <t>I65V</t>
  </si>
  <si>
    <t>C12880U</t>
  </si>
  <si>
    <t>I65I</t>
  </si>
  <si>
    <t>A13057U</t>
  </si>
  <si>
    <t>S11S</t>
  </si>
  <si>
    <t>U13195C</t>
  </si>
  <si>
    <t>V57V</t>
  </si>
  <si>
    <t>U13339C</t>
  </si>
  <si>
    <t>N105N</t>
  </si>
  <si>
    <t>nsp12 (rdrp)</t>
  </si>
  <si>
    <t>A13536U</t>
  </si>
  <si>
    <t>Y32F</t>
  </si>
  <si>
    <t>Y32I</t>
  </si>
  <si>
    <t>GAA</t>
  </si>
  <si>
    <t>U13627A</t>
  </si>
  <si>
    <t>D62E</t>
  </si>
  <si>
    <t>D62I</t>
  </si>
  <si>
    <t>A13713A</t>
  </si>
  <si>
    <t>K91K</t>
  </si>
  <si>
    <t>R91K</t>
  </si>
  <si>
    <t>A13860U</t>
  </si>
  <si>
    <t>D140V</t>
  </si>
  <si>
    <t>D140I</t>
  </si>
  <si>
    <t>A14407U</t>
  </si>
  <si>
    <t>P322P</t>
  </si>
  <si>
    <t>P322H</t>
  </si>
  <si>
    <t>C14408U</t>
  </si>
  <si>
    <t>P323S</t>
  </si>
  <si>
    <t>P323L</t>
  </si>
  <si>
    <t>C14676U</t>
  </si>
  <si>
    <t>P412L</t>
  </si>
  <si>
    <t>A15240U</t>
  </si>
  <si>
    <t>N600I</t>
  </si>
  <si>
    <t>A15279U</t>
  </si>
  <si>
    <t>H613L</t>
  </si>
  <si>
    <t>H613I</t>
  </si>
  <si>
    <t>C15451A</t>
  </si>
  <si>
    <t>G670G</t>
  </si>
  <si>
    <t>G670A</t>
  </si>
  <si>
    <t>U15714U</t>
  </si>
  <si>
    <t>L758L</t>
  </si>
  <si>
    <t>L758F</t>
  </si>
  <si>
    <t>U15738U</t>
  </si>
  <si>
    <t>F766F</t>
  </si>
  <si>
    <t>F766L</t>
  </si>
  <si>
    <t>C15756A</t>
  </si>
  <si>
    <t>S772Y</t>
  </si>
  <si>
    <t>S772H</t>
  </si>
  <si>
    <t>A15939C</t>
  </si>
  <si>
    <t>D833A</t>
  </si>
  <si>
    <t>D833T</t>
  </si>
  <si>
    <t>C16176C</t>
  </si>
  <si>
    <t>T912T</t>
  </si>
  <si>
    <t>T912P</t>
  </si>
  <si>
    <t>U16342C</t>
  </si>
  <si>
    <t>S36P</t>
  </si>
  <si>
    <t>Y36Y</t>
  </si>
  <si>
    <t>C16394U</t>
  </si>
  <si>
    <t>P53L</t>
  </si>
  <si>
    <t>Q54</t>
  </si>
  <si>
    <t>C16466U</t>
  </si>
  <si>
    <t>P77L</t>
  </si>
  <si>
    <t>H78Y</t>
  </si>
  <si>
    <t>A16500C</t>
  </si>
  <si>
    <t>Q88H</t>
  </si>
  <si>
    <t>K89T</t>
  </si>
  <si>
    <t>UGU</t>
  </si>
  <si>
    <t>G16852U</t>
  </si>
  <si>
    <t>G206C</t>
  </si>
  <si>
    <t>M206I</t>
  </si>
  <si>
    <t>A16878U</t>
  </si>
  <si>
    <t>T214T</t>
  </si>
  <si>
    <t>Q215L</t>
  </si>
  <si>
    <t>G17014U</t>
  </si>
  <si>
    <t>D260Y</t>
  </si>
  <si>
    <t>Q260H</t>
  </si>
  <si>
    <t>U17124C</t>
  </si>
  <si>
    <t>A296A</t>
  </si>
  <si>
    <t>L297P</t>
  </si>
  <si>
    <t>GAG</t>
  </si>
  <si>
    <t>G17259U</t>
  </si>
  <si>
    <t>E341D</t>
  </si>
  <si>
    <t>S342I</t>
  </si>
  <si>
    <t>CGU</t>
  </si>
  <si>
    <t>C17410U</t>
  </si>
  <si>
    <t>R392C</t>
  </si>
  <si>
    <t>Y392Y</t>
  </si>
  <si>
    <t>C17491U</t>
  </si>
  <si>
    <t>P419S</t>
  </si>
  <si>
    <t>N419N</t>
  </si>
  <si>
    <t>AUG</t>
  </si>
  <si>
    <t>G17523U</t>
  </si>
  <si>
    <t>M429I</t>
  </si>
  <si>
    <t>430L</t>
  </si>
  <si>
    <t>U17859C</t>
  </si>
  <si>
    <t>Y541Y</t>
  </si>
  <si>
    <t>M542T</t>
  </si>
  <si>
    <t>A18163G</t>
  </si>
  <si>
    <t>I42V</t>
  </si>
  <si>
    <t>T42T</t>
  </si>
  <si>
    <t>C18171U</t>
  </si>
  <si>
    <t>G44G</t>
  </si>
  <si>
    <t>A45V</t>
  </si>
  <si>
    <t>A18492G</t>
  </si>
  <si>
    <t>P151P</t>
  </si>
  <si>
    <t>H152R</t>
  </si>
  <si>
    <t>C18877U</t>
  </si>
  <si>
    <t>L280L</t>
  </si>
  <si>
    <t>V280V</t>
  </si>
  <si>
    <t>UGC</t>
  </si>
  <si>
    <t>C18894U</t>
  </si>
  <si>
    <t>C285C</t>
  </si>
  <si>
    <t>A286V</t>
  </si>
  <si>
    <t>U19035C</t>
  </si>
  <si>
    <t>I332I</t>
  </si>
  <si>
    <t>L333S</t>
  </si>
  <si>
    <t>C19220U</t>
  </si>
  <si>
    <t>A394V</t>
  </si>
  <si>
    <t>L395L</t>
  </si>
  <si>
    <t>A19326G</t>
  </si>
  <si>
    <t>P429P</t>
  </si>
  <si>
    <t>Q430R</t>
  </si>
  <si>
    <t>C19955U</t>
  </si>
  <si>
    <t>T112I</t>
  </si>
  <si>
    <t>L113L</t>
  </si>
  <si>
    <t>A20055G</t>
  </si>
  <si>
    <t>E145E</t>
  </si>
  <si>
    <t>K146R</t>
  </si>
  <si>
    <t>C20148U</t>
  </si>
  <si>
    <t>F176F</t>
  </si>
  <si>
    <t>S177L</t>
  </si>
  <si>
    <t>A20262G</t>
  </si>
  <si>
    <t>L214L</t>
  </si>
  <si>
    <t>215W</t>
  </si>
  <si>
    <t>A20396G</t>
  </si>
  <si>
    <t>K259R</t>
  </si>
  <si>
    <t>R260G</t>
  </si>
  <si>
    <t>U20401G</t>
  </si>
  <si>
    <t>S261A</t>
  </si>
  <si>
    <t>N261K</t>
  </si>
  <si>
    <t>A20724G</t>
  </si>
  <si>
    <t>L22L</t>
  </si>
  <si>
    <t>23W</t>
  </si>
  <si>
    <t>NTD (spike)</t>
  </si>
  <si>
    <t>G21600U</t>
  </si>
  <si>
    <t>S1I</t>
  </si>
  <si>
    <t>S13I</t>
  </si>
  <si>
    <t>C21614U</t>
  </si>
  <si>
    <t>L6F</t>
  </si>
  <si>
    <t>L18F</t>
  </si>
  <si>
    <t>C21618U</t>
  </si>
  <si>
    <t>T7I</t>
  </si>
  <si>
    <t>T19I</t>
  </si>
  <si>
    <t>C21618G</t>
  </si>
  <si>
    <t>T7R</t>
  </si>
  <si>
    <t>T19R</t>
  </si>
  <si>
    <t>C21621A</t>
  </si>
  <si>
    <t>T8N</t>
  </si>
  <si>
    <t>T20N</t>
  </si>
  <si>
    <t>C21622U</t>
  </si>
  <si>
    <t>T8T</t>
  </si>
  <si>
    <t>T20T</t>
  </si>
  <si>
    <t>G21624C</t>
  </si>
  <si>
    <t>R9T</t>
  </si>
  <si>
    <t>R21T</t>
  </si>
  <si>
    <t>C21638U</t>
  </si>
  <si>
    <t>P14S</t>
  </si>
  <si>
    <t>P26S</t>
  </si>
  <si>
    <t>C21711U</t>
  </si>
  <si>
    <t>S38L</t>
  </si>
  <si>
    <t>S50L</t>
  </si>
  <si>
    <t>CAG</t>
  </si>
  <si>
    <t>CGG</t>
  </si>
  <si>
    <t>A21717G</t>
  </si>
  <si>
    <t>Q40R</t>
  </si>
  <si>
    <t>Q52R</t>
  </si>
  <si>
    <t>G21718U</t>
  </si>
  <si>
    <t>Q40H</t>
  </si>
  <si>
    <t>Q52H</t>
  </si>
  <si>
    <t>C21762U</t>
  </si>
  <si>
    <t>A55V</t>
  </si>
  <si>
    <t>A67V</t>
  </si>
  <si>
    <t>G21786U</t>
  </si>
  <si>
    <t>G63V</t>
  </si>
  <si>
    <t>G75V</t>
  </si>
  <si>
    <t>C21789U</t>
  </si>
  <si>
    <t>T64I</t>
  </si>
  <si>
    <t>T76I</t>
  </si>
  <si>
    <t>A21801C</t>
  </si>
  <si>
    <t>D68A</t>
  </si>
  <si>
    <t>D80A</t>
  </si>
  <si>
    <t>U21810C</t>
  </si>
  <si>
    <t>V71A</t>
  </si>
  <si>
    <t>V83A</t>
  </si>
  <si>
    <t>C21846U</t>
  </si>
  <si>
    <t>T83I</t>
  </si>
  <si>
    <t>T95I</t>
  </si>
  <si>
    <t>U21895C</t>
  </si>
  <si>
    <t>D99D</t>
  </si>
  <si>
    <t>D111D</t>
  </si>
  <si>
    <t>G21941U</t>
  </si>
  <si>
    <t>V115F</t>
  </si>
  <si>
    <t>V127F</t>
  </si>
  <si>
    <t>G21974U</t>
  </si>
  <si>
    <t>D126Y</t>
  </si>
  <si>
    <t>D138Y</t>
  </si>
  <si>
    <t>G21987A</t>
  </si>
  <si>
    <t>G130D</t>
  </si>
  <si>
    <t>G142D</t>
  </si>
  <si>
    <t>A21993C</t>
  </si>
  <si>
    <t>Y132S</t>
  </si>
  <si>
    <t>Y144S</t>
  </si>
  <si>
    <t>U21995A</t>
  </si>
  <si>
    <t>Y133N</t>
  </si>
  <si>
    <t>Y145N</t>
  </si>
  <si>
    <t>C22000A</t>
  </si>
  <si>
    <t>H134Q</t>
  </si>
  <si>
    <t>H146Q</t>
  </si>
  <si>
    <t>UGG</t>
  </si>
  <si>
    <t>G22018U</t>
  </si>
  <si>
    <t>W140C</t>
  </si>
  <si>
    <t>W152C</t>
  </si>
  <si>
    <t>G22022A</t>
  </si>
  <si>
    <t>E142K</t>
  </si>
  <si>
    <t>E154K</t>
  </si>
  <si>
    <t>U22032C</t>
  </si>
  <si>
    <t>F145S</t>
  </si>
  <si>
    <t>F157S</t>
  </si>
  <si>
    <t>C22033A</t>
  </si>
  <si>
    <t>F145L</t>
  </si>
  <si>
    <t>F157L</t>
  </si>
  <si>
    <t>A22034G</t>
  </si>
  <si>
    <t>R146G</t>
  </si>
  <si>
    <t>R158G</t>
  </si>
  <si>
    <t>C22109G</t>
  </si>
  <si>
    <t>Q171E</t>
  </si>
  <si>
    <t>Q183E</t>
  </si>
  <si>
    <t>G22132U</t>
  </si>
  <si>
    <t>R178S</t>
  </si>
  <si>
    <t>R190S</t>
  </si>
  <si>
    <t>U22200G</t>
  </si>
  <si>
    <t>V201G</t>
  </si>
  <si>
    <t>V213G</t>
  </si>
  <si>
    <t>U22200A</t>
  </si>
  <si>
    <t>V201E</t>
  </si>
  <si>
    <t>V213E</t>
  </si>
  <si>
    <t>A22206G</t>
  </si>
  <si>
    <t>D203G</t>
  </si>
  <si>
    <t>D215G</t>
  </si>
  <si>
    <t>C22208U</t>
  </si>
  <si>
    <t>L204F</t>
  </si>
  <si>
    <t>L216F</t>
  </si>
  <si>
    <t>C22295A</t>
  </si>
  <si>
    <t>H233N</t>
  </si>
  <si>
    <t>H245N</t>
  </si>
  <si>
    <t>G22317U</t>
  </si>
  <si>
    <t>G240V</t>
  </si>
  <si>
    <t>G252V</t>
  </si>
  <si>
    <t>A22320G</t>
  </si>
  <si>
    <t>D241G</t>
  </si>
  <si>
    <t>D253G</t>
  </si>
  <si>
    <t>C22353A</t>
  </si>
  <si>
    <t>A252D</t>
  </si>
  <si>
    <t>A264D</t>
  </si>
  <si>
    <t>RBD (spike)</t>
  </si>
  <si>
    <t>A22556G</t>
  </si>
  <si>
    <t>I14V</t>
  </si>
  <si>
    <t>I332V</t>
  </si>
  <si>
    <t>G22577C</t>
  </si>
  <si>
    <t>G21R</t>
  </si>
  <si>
    <t>G339R</t>
  </si>
  <si>
    <t>G22578A</t>
  </si>
  <si>
    <t>G21D</t>
  </si>
  <si>
    <t>G339D</t>
  </si>
  <si>
    <t>G22599C</t>
  </si>
  <si>
    <t>R28T</t>
  </si>
  <si>
    <t>R346T</t>
  </si>
  <si>
    <t>G22599A</t>
  </si>
  <si>
    <t>R28K</t>
  </si>
  <si>
    <t>R346K</t>
  </si>
  <si>
    <t>ACG</t>
  </si>
  <si>
    <t>A22629C</t>
  </si>
  <si>
    <t>K38T</t>
  </si>
  <si>
    <t>K356T</t>
  </si>
  <si>
    <t>C22664A</t>
  </si>
  <si>
    <t>L50I</t>
  </si>
  <si>
    <t>L368I</t>
  </si>
  <si>
    <t>U22673C</t>
  </si>
  <si>
    <t>S53P</t>
  </si>
  <si>
    <t>S371P</t>
  </si>
  <si>
    <t>C22674U</t>
  </si>
  <si>
    <t>S53F</t>
  </si>
  <si>
    <t>S371F</t>
  </si>
  <si>
    <t>U22679C</t>
  </si>
  <si>
    <t>S55P</t>
  </si>
  <si>
    <t>S373P</t>
  </si>
  <si>
    <t>C22686U</t>
  </si>
  <si>
    <t>S57F</t>
  </si>
  <si>
    <t>S375F</t>
  </si>
  <si>
    <t>A22688G</t>
  </si>
  <si>
    <t>T58A</t>
  </si>
  <si>
    <t>T376A</t>
  </si>
  <si>
    <t>G22770A</t>
  </si>
  <si>
    <t>R85K</t>
  </si>
  <si>
    <t>R403K</t>
  </si>
  <si>
    <t>G22775A</t>
  </si>
  <si>
    <t>D87N</t>
  </si>
  <si>
    <t>D405N</t>
  </si>
  <si>
    <t>A22786C</t>
  </si>
  <si>
    <t>R90S</t>
  </si>
  <si>
    <t>R408S</t>
  </si>
  <si>
    <t>A22812C</t>
  </si>
  <si>
    <t>K99T</t>
  </si>
  <si>
    <t>K417T</t>
  </si>
  <si>
    <t>G22813U</t>
  </si>
  <si>
    <t>K99N</t>
  </si>
  <si>
    <t>K417N</t>
  </si>
  <si>
    <t>U22882G</t>
  </si>
  <si>
    <t>N122K</t>
  </si>
  <si>
    <t>N440K</t>
  </si>
  <si>
    <t>G22895C</t>
  </si>
  <si>
    <t>V127L</t>
  </si>
  <si>
    <t>V445L</t>
  </si>
  <si>
    <t>U22896C</t>
  </si>
  <si>
    <t>V127A</t>
  </si>
  <si>
    <t>V445A</t>
  </si>
  <si>
    <t>U22896A</t>
  </si>
  <si>
    <t>V127D</t>
  </si>
  <si>
    <t>V445D</t>
  </si>
  <si>
    <t>G22898A</t>
  </si>
  <si>
    <t>G128S</t>
  </si>
  <si>
    <t>G446S</t>
  </si>
  <si>
    <t>A22910G</t>
  </si>
  <si>
    <t>N132D</t>
  </si>
  <si>
    <t>N450D</t>
  </si>
  <si>
    <t>C22916U</t>
  </si>
  <si>
    <t>L134L</t>
  </si>
  <si>
    <t>L452L</t>
  </si>
  <si>
    <t>U22917G</t>
  </si>
  <si>
    <t>L134R</t>
  </si>
  <si>
    <t>L452R</t>
  </si>
  <si>
    <t>U22917A</t>
  </si>
  <si>
    <t>L134Q</t>
  </si>
  <si>
    <t>L452Q</t>
  </si>
  <si>
    <t>U22926C</t>
  </si>
  <si>
    <t>L137S</t>
  </si>
  <si>
    <t>L455S</t>
  </si>
  <si>
    <t>G22927U</t>
  </si>
  <si>
    <t>L137F</t>
  </si>
  <si>
    <t>L455F</t>
  </si>
  <si>
    <t>U22930A</t>
  </si>
  <si>
    <t>F138L</t>
  </si>
  <si>
    <t>F456L</t>
  </si>
  <si>
    <t>U22942G</t>
  </si>
  <si>
    <t>N142K</t>
  </si>
  <si>
    <t>N460K</t>
  </si>
  <si>
    <t>U22942A</t>
  </si>
  <si>
    <t>G22992A</t>
  </si>
  <si>
    <t>S159N</t>
  </si>
  <si>
    <t>S477N</t>
  </si>
  <si>
    <t>C22995A</t>
  </si>
  <si>
    <t>T160K</t>
  </si>
  <si>
    <t>T478K</t>
  </si>
  <si>
    <t>U23005A</t>
  </si>
  <si>
    <t>N163K</t>
  </si>
  <si>
    <t>N481K</t>
  </si>
  <si>
    <t>G23012C</t>
  </si>
  <si>
    <t>E166Q</t>
  </si>
  <si>
    <t>E484Q</t>
  </si>
  <si>
    <t>G23012A</t>
  </si>
  <si>
    <t>E166K</t>
  </si>
  <si>
    <t>E484K</t>
  </si>
  <si>
    <t>A23013C</t>
  </si>
  <si>
    <t>E166A</t>
  </si>
  <si>
    <t>E484A</t>
  </si>
  <si>
    <t>U23018C</t>
  </si>
  <si>
    <t>F168L</t>
  </si>
  <si>
    <t>F486L</t>
  </si>
  <si>
    <t>U23019C</t>
  </si>
  <si>
    <t>F168S</t>
  </si>
  <si>
    <t>F486S</t>
  </si>
  <si>
    <t>U23031C</t>
  </si>
  <si>
    <t>F172S</t>
  </si>
  <si>
    <t>F490S</t>
  </si>
  <si>
    <t>A23040G</t>
  </si>
  <si>
    <t>Q175R</t>
  </si>
  <si>
    <t>Q493R</t>
  </si>
  <si>
    <t>G23048A</t>
  </si>
  <si>
    <t>G178S</t>
  </si>
  <si>
    <t>G496S</t>
  </si>
  <si>
    <t>A23055G</t>
  </si>
  <si>
    <t>Q180R</t>
  </si>
  <si>
    <t>Q498R</t>
  </si>
  <si>
    <t>A23063U</t>
  </si>
  <si>
    <t>N183Y</t>
  </si>
  <si>
    <t>N501Y</t>
  </si>
  <si>
    <t>U23075C</t>
  </si>
  <si>
    <t>Y187H</t>
  </si>
  <si>
    <t>Y505H</t>
  </si>
  <si>
    <t>SD1_2 (spike)</t>
  </si>
  <si>
    <t>C23202A</t>
  </si>
  <si>
    <t>T5K</t>
  </si>
  <si>
    <t>T547K</t>
  </si>
  <si>
    <t>G23222A</t>
  </si>
  <si>
    <t>E12K</t>
  </si>
  <si>
    <t>E554K</t>
  </si>
  <si>
    <t>C23271U</t>
  </si>
  <si>
    <t>A28V</t>
  </si>
  <si>
    <t>A570V</t>
  </si>
  <si>
    <t>C23271A</t>
  </si>
  <si>
    <t>A28D</t>
  </si>
  <si>
    <t>A570D</t>
  </si>
  <si>
    <t>A23403G</t>
  </si>
  <si>
    <t>D72G</t>
  </si>
  <si>
    <t>D614G</t>
  </si>
  <si>
    <t>C23423U</t>
  </si>
  <si>
    <t>P79S</t>
  </si>
  <si>
    <t>P621S</t>
  </si>
  <si>
    <t>C23525U</t>
  </si>
  <si>
    <t>H113Y</t>
  </si>
  <si>
    <t>H655Y</t>
  </si>
  <si>
    <t>G23593C</t>
  </si>
  <si>
    <t>Q135H</t>
  </si>
  <si>
    <t>Q677H</t>
  </si>
  <si>
    <t>U23599G</t>
  </si>
  <si>
    <t>N137K</t>
  </si>
  <si>
    <t>N679K</t>
  </si>
  <si>
    <t>C23604G</t>
  </si>
  <si>
    <t>P139R</t>
  </si>
  <si>
    <t>P681R</t>
  </si>
  <si>
    <t>C23604A</t>
  </si>
  <si>
    <t>P139H</t>
  </si>
  <si>
    <t>P681H</t>
  </si>
  <si>
    <t>C23664U</t>
  </si>
  <si>
    <t>A159V</t>
  </si>
  <si>
    <t>A701V</t>
  </si>
  <si>
    <t>C23709U</t>
  </si>
  <si>
    <t>T174I</t>
  </si>
  <si>
    <t>T716I</t>
  </si>
  <si>
    <t>C23731U</t>
  </si>
  <si>
    <t>T181T</t>
  </si>
  <si>
    <t>T723T</t>
  </si>
  <si>
    <t>C23854A</t>
  </si>
  <si>
    <t>N222K</t>
  </si>
  <si>
    <t>N764K</t>
  </si>
  <si>
    <t>G23948U</t>
  </si>
  <si>
    <t>D254Y</t>
  </si>
  <si>
    <t>D796Y</t>
  </si>
  <si>
    <t>C24130A</t>
  </si>
  <si>
    <t>N314K</t>
  </si>
  <si>
    <t>N856K</t>
  </si>
  <si>
    <t>C24138A</t>
  </si>
  <si>
    <t>T317N</t>
  </si>
  <si>
    <t>T859N</t>
  </si>
  <si>
    <t>U24224C</t>
  </si>
  <si>
    <t>F346L</t>
  </si>
  <si>
    <t>F888L</t>
  </si>
  <si>
    <t>U24349C</t>
  </si>
  <si>
    <t>S387S</t>
  </si>
  <si>
    <t>S929S</t>
  </si>
  <si>
    <t>C24378U</t>
  </si>
  <si>
    <t>S397F</t>
  </si>
  <si>
    <t>S939F</t>
  </si>
  <si>
    <t>G24410A</t>
  </si>
  <si>
    <t>D408N</t>
  </si>
  <si>
    <t>D950N</t>
  </si>
  <si>
    <t>A24424U</t>
  </si>
  <si>
    <t>Q412H</t>
  </si>
  <si>
    <t>Q954H</t>
  </si>
  <si>
    <t>A24432G</t>
  </si>
  <si>
    <t>Q415R</t>
  </si>
  <si>
    <t>Q957R</t>
  </si>
  <si>
    <t>U24469A</t>
  </si>
  <si>
    <t>N427K</t>
  </si>
  <si>
    <t>N969K</t>
  </si>
  <si>
    <t>C24503U</t>
  </si>
  <si>
    <t>L439F</t>
  </si>
  <si>
    <t>L981F</t>
  </si>
  <si>
    <t>U24506G</t>
  </si>
  <si>
    <t>S440A</t>
  </si>
  <si>
    <t>S982A</t>
  </si>
  <si>
    <t>C24642U</t>
  </si>
  <si>
    <t>T485I</t>
  </si>
  <si>
    <t>T1027I</t>
  </si>
  <si>
    <t>C24748U</t>
  </si>
  <si>
    <t>F520F</t>
  </si>
  <si>
    <t>F1062F</t>
  </si>
  <si>
    <t>A24775U</t>
  </si>
  <si>
    <t>Q529H</t>
  </si>
  <si>
    <t>Q1071H</t>
  </si>
  <si>
    <t>C24863G</t>
  </si>
  <si>
    <t>H559D</t>
  </si>
  <si>
    <t>H1101D</t>
  </si>
  <si>
    <t>G24914C</t>
  </si>
  <si>
    <t>D576H</t>
  </si>
  <si>
    <t>D1118H</t>
  </si>
  <si>
    <t>C24990U</t>
  </si>
  <si>
    <t>P601L</t>
  </si>
  <si>
    <t>P1143L</t>
  </si>
  <si>
    <t>C25000U</t>
  </si>
  <si>
    <t>D604D</t>
  </si>
  <si>
    <t>D1146D</t>
  </si>
  <si>
    <t>G25088U</t>
  </si>
  <si>
    <t>V634F</t>
  </si>
  <si>
    <t>V1176F</t>
  </si>
  <si>
    <r>
      <rPr>
        <rFont val="Arial"/>
        <b/>
        <color theme="1"/>
        <sz val="11.0"/>
      </rPr>
      <t>Table S9. High Frequency Polymorphisms in ORF1ab Subgenes and Spike Subregions</t>
    </r>
    <r>
      <rPr>
        <rFont val="Arial"/>
        <color theme="1"/>
        <sz val="11.0"/>
      </rPr>
      <t>. Analysis of high frequency (MAF &gt;=30%) single nucleotide polymorphisms (SNP) within population variants in non-structural proteins (NSP) and spike protein subdomains (NTD,RBD,SD1_2). Each SNP includes both the nucleotide position, the reference nucleotide, the SNP, resulting triplet and amino acid changes, and whether the SNP generate a nonsynonomous change. Amino acid cohanges for each SNP are shown for both with (AA change) and without (AA change frameshift) the frameshift mutation in nsp12. Spike subdomains (NTD,RBD,SD1_2) are indexed based on starting position of the spike protein in the reference genome (EPI_ISL_405). The allele frequency of each SNP is shown in each variant and high frequency SNPs are highlighted in green with color brightness indicating frequency from low to high. The number of variants with a high frequency SNPs at each position is shown for persistent (+), transient (-), and omicron-derived variants (*).</t>
    </r>
  </si>
  <si>
    <t>RdRp sub-region</t>
  </si>
  <si>
    <t>Persistent (+)</t>
  </si>
  <si>
    <t>Transient (-)</t>
  </si>
  <si>
    <t>kraken (+)</t>
  </si>
  <si>
    <t>omicron (+)</t>
  </si>
  <si>
    <t>pirola (+)</t>
  </si>
  <si>
    <t>NiRAN</t>
  </si>
  <si>
    <t>Interface</t>
  </si>
  <si>
    <t>Hand</t>
  </si>
  <si>
    <r>
      <rPr>
        <rFont val="Arial"/>
        <b/>
        <color theme="1"/>
        <sz val="11.0"/>
      </rPr>
      <t xml:space="preserve">Table S10. Analysis of High-frequency Mutations in the RdRp. </t>
    </r>
    <r>
      <rPr>
        <rFont val="Arial"/>
        <b val="0"/>
        <color theme="1"/>
        <sz val="11.0"/>
      </rPr>
      <t>Analysis of high-frequency (MAF&gt;=30%) single nucleotide polymorphisms (SNP) in Nsp12 of the RNA dependent RNA polymerase (RdRp) across analyzed variants. The RdRp subregion (NiRAN, Interface, and Hand sub-region), SNP position. amino acid change, and whether the SNP results in a nonsynonymous change is shown. The frequency of the SNP in each variant is shown, and highlighted in green (color scale from light to dark green). A Fisher's Exact Test on the SNPs located in the hand yields a significant difference (p&lt;0.00078) in the number of high frequency SNPs in the hand domain of persistent variants (5) vs transient variants (8).</t>
    </r>
  </si>
  <si>
    <t>Range of CDP Frequencies</t>
  </si>
  <si>
    <t>including Zeros</t>
  </si>
  <si>
    <t>Excluding Zeros</t>
  </si>
  <si>
    <t>SNP Type</t>
  </si>
  <si>
    <t>U&gt;G</t>
  </si>
  <si>
    <t>U&gt;C</t>
  </si>
  <si>
    <t>U&gt;A</t>
  </si>
  <si>
    <t>G&gt;U</t>
  </si>
  <si>
    <t>C&gt;U</t>
  </si>
  <si>
    <t>A&gt;U</t>
  </si>
  <si>
    <t>avg</t>
  </si>
  <si>
    <r>
      <rPr>
        <rFont val="Arial"/>
        <b/>
        <color theme="1"/>
        <sz val="11.0"/>
      </rPr>
      <t>Table S11. Range of CDP Frequencies by SNP Type.</t>
    </r>
    <r>
      <rPr>
        <rFont val="Arial"/>
        <color theme="1"/>
        <sz val="11.0"/>
      </rPr>
      <t xml:space="preserve"> Range of context-dependent polymorphism frequencies of the All variant for each polymorphism type determined by subtracting the maximum and minimum frequency of each SNP type when including contexts without polymorphisms (including zeros) and when excluding contexts without polymorphisms (excluding zeros). Average indicates the average CDP range across the 12 SNP.</t>
    </r>
  </si>
  <si>
    <t>MAF threshold</t>
  </si>
  <si>
    <t>Gene</t>
  </si>
  <si>
    <t>gene SNP count</t>
  </si>
  <si>
    <t>gene size (bp)</t>
  </si>
  <si>
    <t>genome SNP count</t>
  </si>
  <si>
    <t>genome size (bp)</t>
  </si>
  <si>
    <t>SNPs/bp/gene</t>
  </si>
  <si>
    <t>SNPs/bp/genome</t>
  </si>
  <si>
    <t>SNP Ratio</t>
  </si>
  <si>
    <t>p-value</t>
  </si>
  <si>
    <t>interface</t>
  </si>
  <si>
    <t>hand</t>
  </si>
  <si>
    <t>NTD</t>
  </si>
  <si>
    <t>RBD</t>
  </si>
  <si>
    <t>SD1_2</t>
  </si>
  <si>
    <r>
      <rPr>
        <rFont val="Arial"/>
        <b/>
        <color theme="1"/>
        <sz val="11.0"/>
      </rPr>
      <t xml:space="preserve">Table S12. Gene SNP Count Binomial Tests. </t>
    </r>
    <r>
      <rPr>
        <rFont val="Arial"/>
        <b val="0"/>
        <color theme="1"/>
        <sz val="11.0"/>
      </rPr>
      <t>Binomial proportions test between the number of polymorphisms in each gene (SNP/gene_bp) versus the number of polymorphisms in the rest of the genome (SNP/genome_bp). The binomial test p-value is shown (p) with significance shown in yellow (p&lt;0.05). Table shows proportion test when using a low minimum allele frequency (MAF) threshold of (5×10^-5) and a high minimum allele frequency threshold (0.9). A significant excess (red) or dearth (blue) of SNPs is highlighted for each MAF threshold.</t>
    </r>
  </si>
</sst>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000"/>
    <numFmt numFmtId="166" formatCode="#,##0.0000"/>
  </numFmts>
  <fonts count="7">
    <font>
      <sz val="11.0"/>
      <color theme="1"/>
      <name val="Aptos Narrow"/>
      <scheme val="minor"/>
    </font>
    <font>
      <b/>
      <sz val="11.0"/>
      <color theme="1"/>
      <name val="Arial"/>
    </font>
    <font>
      <b/>
      <sz val="11.0"/>
      <color theme="1"/>
      <name val="Aptos Narrow"/>
    </font>
    <font>
      <sz val="11.0"/>
      <color theme="1"/>
      <name val="Aptos Narrow"/>
    </font>
    <font>
      <sz val="11.0"/>
      <color theme="1"/>
      <name val="Arial"/>
    </font>
    <font/>
    <font>
      <sz val="11.0"/>
      <color rgb="FF000000"/>
      <name val="Arial"/>
    </font>
  </fonts>
  <fills count="5">
    <fill>
      <patternFill patternType="none"/>
    </fill>
    <fill>
      <patternFill patternType="lightGray"/>
    </fill>
    <fill>
      <patternFill patternType="solid">
        <fgColor rgb="FFA4C2F4"/>
        <bgColor rgb="FFA4C2F4"/>
      </patternFill>
    </fill>
    <fill>
      <patternFill patternType="solid">
        <fgColor rgb="FFE06666"/>
        <bgColor rgb="FFE06666"/>
      </patternFill>
    </fill>
    <fill>
      <patternFill patternType="solid">
        <fgColor rgb="FFA6C9EB"/>
        <bgColor rgb="FFA6C9EB"/>
      </patternFill>
    </fill>
  </fills>
  <borders count="36">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bottom style="thin">
        <color rgb="FF000000"/>
      </bottom>
    </border>
    <border>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right style="thin">
        <color rgb="FF000000"/>
      </right>
      <top style="medium">
        <color rgb="FF000000"/>
      </top>
    </border>
    <border>
      <left/>
      <right/>
      <top style="medium">
        <color rgb="FF000000"/>
      </top>
      <bottom/>
    </border>
    <border>
      <left/>
      <right/>
      <top/>
      <bottom/>
    </border>
    <border>
      <left style="medium">
        <color rgb="FF000000"/>
      </left>
      <right/>
      <top/>
      <bottom/>
    </border>
    <border>
      <right style="thin">
        <color rgb="FF000000"/>
      </right>
      <bottom style="medium">
        <color rgb="FF000000"/>
      </bottom>
    </border>
    <border>
      <left/>
      <right/>
      <top/>
      <bottom style="medium">
        <color rgb="FF000000"/>
      </bottom>
    </border>
    <border>
      <left/>
      <right style="medium">
        <color rgb="FF000000"/>
      </right>
      <top/>
      <bottom style="medium">
        <color rgb="FF000000"/>
      </bottom>
    </border>
    <border>
      <left style="thin">
        <color rgb="FF000000"/>
      </left>
      <right style="thin">
        <color rgb="FF000000"/>
      </right>
      <top style="thin">
        <color rgb="FF000000"/>
      </top>
      <bottom style="thin">
        <color rgb="FF000000"/>
      </bottom>
    </border>
    <border>
      <left style="thin">
        <color rgb="FF000000"/>
      </left>
      <right/>
      <top/>
      <bottom/>
    </border>
    <border>
      <left/>
      <right style="thin">
        <color rgb="FF000000"/>
      </right>
      <top/>
      <bottom/>
    </border>
    <border>
      <left/>
      <right style="thin">
        <color rgb="FF000000"/>
      </right>
      <top/>
      <bottom style="thin">
        <color rgb="FF000000"/>
      </bottom>
    </border>
    <border>
      <left/>
      <right/>
      <top style="thin">
        <color rgb="FF000000"/>
      </top>
      <bottom/>
    </border>
    <border>
      <left style="thin">
        <color rgb="FF000000"/>
      </left>
      <right/>
      <top style="thin">
        <color rgb="FF000000"/>
      </top>
      <bottom/>
    </border>
    <border>
      <top style="thin">
        <color rgb="FF000000"/>
      </top>
      <bottom style="thin">
        <color rgb="FF000000"/>
      </bottom>
    </border>
  </borders>
  <cellStyleXfs count="1">
    <xf borderId="0" fillId="0" fontId="0" numFmtId="0" applyAlignment="1" applyFont="1"/>
  </cellStyleXfs>
  <cellXfs count="198">
    <xf borderId="0" fillId="0" fontId="0" numFmtId="0" xfId="0" applyAlignment="1" applyFont="1">
      <alignment readingOrder="0" shrinkToFit="0" vertical="bottom" wrapText="0"/>
    </xf>
    <xf borderId="1" fillId="0" fontId="1" numFmtId="0" xfId="0" applyBorder="1" applyFont="1"/>
    <xf borderId="2" fillId="0" fontId="1" numFmtId="0" xfId="0" applyBorder="1" applyFont="1"/>
    <xf borderId="3" fillId="0" fontId="2" numFmtId="0" xfId="0" applyBorder="1" applyFont="1"/>
    <xf borderId="4" fillId="0" fontId="1" numFmtId="0" xfId="0" applyBorder="1" applyFont="1"/>
    <xf borderId="5" fillId="0" fontId="1" numFmtId="0" xfId="0" applyBorder="1" applyFont="1"/>
    <xf borderId="6" fillId="0" fontId="1" numFmtId="0" xfId="0" applyBorder="1" applyFont="1"/>
    <xf borderId="7" fillId="0" fontId="1" numFmtId="0" xfId="0" applyBorder="1" applyFont="1"/>
    <xf borderId="8" fillId="0" fontId="1" numFmtId="0" xfId="0" applyBorder="1" applyFont="1"/>
    <xf borderId="9" fillId="0" fontId="1" numFmtId="0" xfId="0" applyBorder="1" applyFont="1"/>
    <xf borderId="3" fillId="0" fontId="3" numFmtId="0" xfId="0" applyBorder="1" applyFont="1"/>
    <xf borderId="4" fillId="0" fontId="2" numFmtId="0" xfId="0" applyBorder="1" applyFont="1"/>
    <xf borderId="0" fillId="0" fontId="3" numFmtId="0" xfId="0" applyFont="1"/>
    <xf borderId="6" fillId="0" fontId="3" numFmtId="0" xfId="0" applyBorder="1" applyFont="1"/>
    <xf borderId="0" fillId="0" fontId="2" numFmtId="0" xfId="0" applyFont="1"/>
    <xf borderId="6" fillId="0" fontId="2" numFmtId="0" xfId="0" applyBorder="1" applyFont="1"/>
    <xf borderId="7" fillId="0" fontId="2" numFmtId="0" xfId="0" applyBorder="1" applyFont="1"/>
    <xf borderId="10" fillId="0" fontId="3" numFmtId="0" xfId="0" applyBorder="1" applyFont="1"/>
    <xf borderId="9" fillId="0" fontId="3" numFmtId="0" xfId="0" applyBorder="1" applyFont="1"/>
    <xf borderId="10" fillId="0" fontId="2" numFmtId="0" xfId="0" applyBorder="1" applyFont="1"/>
    <xf borderId="0" fillId="0" fontId="4" numFmtId="0" xfId="0" applyAlignment="1" applyFont="1">
      <alignment shrinkToFit="0" wrapText="1"/>
    </xf>
    <xf borderId="0" fillId="0" fontId="4" numFmtId="0" xfId="0" applyFont="1"/>
    <xf borderId="11" fillId="0" fontId="1" numFmtId="0" xfId="0" applyAlignment="1" applyBorder="1" applyFont="1">
      <alignment shrinkToFit="0" wrapText="1"/>
    </xf>
    <xf borderId="3" fillId="0" fontId="1" numFmtId="0" xfId="0" applyAlignment="1" applyBorder="1" applyFont="1">
      <alignment shrinkToFit="0" wrapText="1"/>
    </xf>
    <xf borderId="11" fillId="0" fontId="1" numFmtId="0" xfId="0" applyBorder="1" applyFont="1"/>
    <xf borderId="0" fillId="0" fontId="1" numFmtId="0" xfId="0" applyAlignment="1" applyFont="1">
      <alignment shrinkToFit="0" wrapText="1"/>
    </xf>
    <xf borderId="10" fillId="0" fontId="5" numFmtId="0" xfId="0" applyBorder="1" applyFont="1"/>
    <xf borderId="9" fillId="0" fontId="5" numFmtId="0" xfId="0" applyBorder="1" applyFont="1"/>
    <xf borderId="5" fillId="0" fontId="5" numFmtId="0" xfId="0" applyBorder="1" applyFont="1"/>
    <xf borderId="6" fillId="0" fontId="5" numFmtId="0" xfId="0" applyBorder="1" applyFont="1"/>
    <xf borderId="12" fillId="0" fontId="1" numFmtId="0" xfId="0" applyBorder="1" applyFont="1"/>
    <xf borderId="13" fillId="0" fontId="4" numFmtId="0" xfId="0" applyBorder="1" applyFont="1"/>
    <xf borderId="0" fillId="0" fontId="4" numFmtId="10" xfId="0" applyFont="1" applyNumberFormat="1"/>
    <xf borderId="2" fillId="0" fontId="4" numFmtId="0" xfId="0" applyBorder="1" applyFont="1"/>
    <xf borderId="11" fillId="0" fontId="4" numFmtId="0" xfId="0" applyBorder="1" applyFont="1"/>
    <xf borderId="3" fillId="0" fontId="4" numFmtId="10" xfId="0" applyBorder="1" applyFont="1" applyNumberFormat="1"/>
    <xf borderId="6" fillId="0" fontId="4" numFmtId="0" xfId="0" applyBorder="1" applyFont="1"/>
    <xf borderId="5" fillId="0" fontId="4" numFmtId="0" xfId="0" applyBorder="1" applyFont="1"/>
    <xf borderId="6" fillId="0" fontId="4" numFmtId="10" xfId="0" applyBorder="1" applyFont="1" applyNumberFormat="1"/>
    <xf borderId="9" fillId="0" fontId="4" numFmtId="0" xfId="0" applyBorder="1" applyFont="1"/>
    <xf borderId="10" fillId="0" fontId="4" numFmtId="0" xfId="0" applyBorder="1" applyFont="1"/>
    <xf borderId="10" fillId="0" fontId="4" numFmtId="10" xfId="0" applyBorder="1" applyFont="1" applyNumberFormat="1"/>
    <xf borderId="8" fillId="0" fontId="4" numFmtId="0" xfId="0" applyBorder="1" applyFont="1"/>
    <xf borderId="9" fillId="0" fontId="4" numFmtId="10" xfId="0" applyBorder="1" applyFont="1" applyNumberFormat="1"/>
    <xf borderId="0" fillId="0" fontId="4" numFmtId="0" xfId="0" applyAlignment="1" applyFont="1">
      <alignment horizontal="left" shrinkToFit="0" vertical="center" wrapText="1"/>
    </xf>
    <xf borderId="0" fillId="0" fontId="6" numFmtId="0" xfId="0" applyAlignment="1" applyFont="1">
      <alignment horizontal="right"/>
    </xf>
    <xf borderId="0" fillId="0" fontId="1" numFmtId="0" xfId="0" applyAlignment="1" applyFont="1">
      <alignment horizontal="left" vertical="center"/>
    </xf>
    <xf borderId="0" fillId="0" fontId="1" numFmtId="0" xfId="0" applyFont="1"/>
    <xf borderId="0" fillId="0" fontId="1" numFmtId="0" xfId="0" applyAlignment="1" applyFont="1">
      <alignment horizontal="center" vertical="center"/>
    </xf>
    <xf borderId="14" fillId="0" fontId="4" numFmtId="11" xfId="0" applyBorder="1" applyFont="1" applyNumberFormat="1"/>
    <xf borderId="15" fillId="0" fontId="4" numFmtId="11" xfId="0" applyBorder="1" applyFont="1" applyNumberFormat="1"/>
    <xf borderId="16" fillId="0" fontId="4" numFmtId="11" xfId="0" applyBorder="1" applyFont="1" applyNumberFormat="1"/>
    <xf borderId="17" fillId="0" fontId="4" numFmtId="11" xfId="0" applyBorder="1" applyFont="1" applyNumberFormat="1"/>
    <xf borderId="0" fillId="0" fontId="4" numFmtId="11" xfId="0" applyFont="1" applyNumberFormat="1"/>
    <xf borderId="18" fillId="0" fontId="4" numFmtId="11" xfId="0" applyBorder="1" applyFont="1" applyNumberFormat="1"/>
    <xf borderId="19" fillId="0" fontId="4" numFmtId="11" xfId="0" applyBorder="1" applyFont="1" applyNumberFormat="1"/>
    <xf borderId="20" fillId="0" fontId="4" numFmtId="11" xfId="0" applyBorder="1" applyFont="1" applyNumberFormat="1"/>
    <xf borderId="21" fillId="0" fontId="4" numFmtId="11" xfId="0" applyBorder="1" applyFont="1" applyNumberFormat="1"/>
    <xf borderId="0" fillId="0" fontId="1" numFmtId="0" xfId="0" applyAlignment="1" applyFont="1">
      <alignment horizontal="left" shrinkToFit="0" wrapText="1"/>
    </xf>
    <xf borderId="14" fillId="0" fontId="4" numFmtId="164" xfId="0" applyBorder="1" applyFont="1" applyNumberFormat="1"/>
    <xf borderId="15" fillId="0" fontId="4" numFmtId="164" xfId="0" applyBorder="1" applyFont="1" applyNumberFormat="1"/>
    <xf borderId="22" fillId="0" fontId="4" numFmtId="164" xfId="0" applyBorder="1" applyFont="1" applyNumberFormat="1"/>
    <xf borderId="23" fillId="2" fontId="4" numFmtId="164" xfId="0" applyBorder="1" applyFill="1" applyFont="1" applyNumberFormat="1"/>
    <xf borderId="16" fillId="0" fontId="4" numFmtId="164" xfId="0" applyBorder="1" applyFont="1" applyNumberFormat="1"/>
    <xf borderId="17" fillId="0" fontId="4" numFmtId="164" xfId="0" applyBorder="1" applyFont="1" applyNumberFormat="1"/>
    <xf borderId="0" fillId="0" fontId="4" numFmtId="164" xfId="0" applyFont="1" applyNumberFormat="1"/>
    <xf borderId="6" fillId="0" fontId="4" numFmtId="164" xfId="0" applyBorder="1" applyFont="1" applyNumberFormat="1"/>
    <xf borderId="24" fillId="3" fontId="4" numFmtId="164" xfId="0" applyBorder="1" applyFill="1" applyFont="1" applyNumberFormat="1"/>
    <xf borderId="18" fillId="0" fontId="4" numFmtId="164" xfId="0" applyBorder="1" applyFont="1" applyNumberFormat="1"/>
    <xf borderId="25" fillId="2" fontId="4" numFmtId="164" xfId="0" applyBorder="1" applyFont="1" applyNumberFormat="1"/>
    <xf borderId="19" fillId="0" fontId="4" numFmtId="164" xfId="0" applyBorder="1" applyFont="1" applyNumberFormat="1"/>
    <xf borderId="20" fillId="0" fontId="4" numFmtId="164" xfId="0" applyBorder="1" applyFont="1" applyNumberFormat="1"/>
    <xf borderId="26" fillId="0" fontId="4" numFmtId="164" xfId="0" applyBorder="1" applyFont="1" applyNumberFormat="1"/>
    <xf borderId="27" fillId="2" fontId="4" numFmtId="164" xfId="0" applyBorder="1" applyFont="1" applyNumberFormat="1"/>
    <xf borderId="28" fillId="2" fontId="4" numFmtId="164" xfId="0" applyBorder="1" applyFont="1" applyNumberFormat="1"/>
    <xf borderId="21" fillId="0" fontId="4" numFmtId="164" xfId="0" applyBorder="1" applyFont="1" applyNumberFormat="1"/>
    <xf borderId="0" fillId="0" fontId="1" numFmtId="0" xfId="0" applyAlignment="1" applyFont="1">
      <alignment horizontal="left" readingOrder="0" shrinkToFit="0" vertical="center" wrapText="1"/>
    </xf>
    <xf borderId="29" fillId="0" fontId="4" numFmtId="0" xfId="0" applyBorder="1" applyFont="1"/>
    <xf borderId="11" fillId="0" fontId="1" numFmtId="0" xfId="0" applyAlignment="1" applyBorder="1" applyFont="1">
      <alignment horizontal="center"/>
    </xf>
    <xf borderId="3" fillId="0" fontId="1" numFmtId="0" xfId="0" applyAlignment="1" applyBorder="1" applyFont="1">
      <alignment horizontal="center"/>
    </xf>
    <xf borderId="11" fillId="0" fontId="4" numFmtId="11" xfId="0" applyBorder="1" applyFont="1" applyNumberFormat="1"/>
    <xf borderId="3" fillId="0" fontId="4" numFmtId="11" xfId="0" applyBorder="1" applyFont="1" applyNumberFormat="1"/>
    <xf borderId="5" fillId="0" fontId="4" numFmtId="11" xfId="0" applyBorder="1" applyFont="1" applyNumberFormat="1"/>
    <xf borderId="6" fillId="0" fontId="4" numFmtId="11" xfId="0" applyBorder="1" applyFont="1" applyNumberFormat="1"/>
    <xf borderId="8" fillId="0" fontId="4" numFmtId="11" xfId="0" applyBorder="1" applyFont="1" applyNumberFormat="1"/>
    <xf borderId="10" fillId="0" fontId="4" numFmtId="11" xfId="0" applyBorder="1" applyFont="1" applyNumberFormat="1"/>
    <xf borderId="3" fillId="0" fontId="4" numFmtId="164" xfId="0" applyBorder="1" applyFont="1" applyNumberFormat="1"/>
    <xf borderId="9" fillId="0" fontId="4" numFmtId="164" xfId="0" applyBorder="1" applyFont="1" applyNumberFormat="1"/>
    <xf borderId="29" fillId="0" fontId="4" numFmtId="164" xfId="0" applyBorder="1" applyFont="1" applyNumberFormat="1"/>
    <xf borderId="11" fillId="0" fontId="1" numFmtId="0" xfId="0" applyAlignment="1" applyBorder="1" applyFont="1">
      <alignment horizontal="left" shrinkToFit="0" wrapText="1"/>
    </xf>
    <xf borderId="11" fillId="0" fontId="5" numFmtId="0" xfId="0" applyBorder="1" applyFont="1"/>
    <xf borderId="0" fillId="0" fontId="1" numFmtId="0" xfId="0" applyAlignment="1" applyFont="1">
      <alignment horizontal="center"/>
    </xf>
    <xf borderId="0" fillId="0" fontId="1" numFmtId="0" xfId="0" applyAlignment="1" applyFont="1">
      <alignment horizontal="center" shrinkToFit="0" wrapText="1"/>
    </xf>
    <xf borderId="2" fillId="0" fontId="1" numFmtId="0" xfId="0" applyAlignment="1" applyBorder="1" applyFont="1">
      <alignment horizontal="center" vertical="center"/>
    </xf>
    <xf borderId="11" fillId="0" fontId="1" numFmtId="0" xfId="0" applyAlignment="1" applyBorder="1" applyFont="1">
      <alignment horizontal="center" vertical="center"/>
    </xf>
    <xf borderId="3" fillId="0" fontId="1" numFmtId="0" xfId="0" applyAlignment="1" applyBorder="1" applyFont="1">
      <alignment horizontal="center" vertical="center"/>
    </xf>
    <xf borderId="8" fillId="0" fontId="5" numFmtId="0" xfId="0" applyBorder="1" applyFont="1"/>
    <xf borderId="1" fillId="0" fontId="1" numFmtId="0" xfId="0" applyAlignment="1" applyBorder="1" applyFont="1">
      <alignment horizontal="center" shrinkToFit="0" wrapText="1"/>
    </xf>
    <xf borderId="11" fillId="0" fontId="4" numFmtId="164" xfId="0" applyBorder="1" applyFont="1" applyNumberFormat="1"/>
    <xf borderId="2" fillId="0" fontId="4" numFmtId="11" xfId="0" applyBorder="1" applyFont="1" applyNumberFormat="1"/>
    <xf borderId="1" fillId="0" fontId="1" numFmtId="0" xfId="0" applyAlignment="1" applyBorder="1" applyFont="1">
      <alignment horizontal="center" vertical="center"/>
    </xf>
    <xf borderId="3" fillId="0" fontId="1" numFmtId="0" xfId="0" applyBorder="1" applyFont="1"/>
    <xf borderId="24" fillId="4" fontId="4" numFmtId="164" xfId="0" applyBorder="1" applyFill="1" applyFont="1" applyNumberFormat="1"/>
    <xf borderId="30" fillId="4" fontId="4" numFmtId="11" xfId="0" applyBorder="1" applyFont="1" applyNumberFormat="1"/>
    <xf borderId="4" fillId="0" fontId="5" numFmtId="0" xfId="0" applyBorder="1" applyFont="1"/>
    <xf borderId="24" fillId="4" fontId="4" numFmtId="11" xfId="0" applyBorder="1" applyFont="1" applyNumberFormat="1"/>
    <xf borderId="7" fillId="0" fontId="5" numFmtId="0" xfId="0" applyBorder="1" applyFont="1"/>
    <xf borderId="31" fillId="4" fontId="4" numFmtId="164" xfId="0" applyBorder="1" applyFont="1" applyNumberFormat="1"/>
    <xf borderId="32" fillId="4" fontId="4" numFmtId="11" xfId="0" applyBorder="1" applyFont="1" applyNumberFormat="1"/>
    <xf borderId="4" fillId="0" fontId="1" numFmtId="0" xfId="0" applyAlignment="1" applyBorder="1" applyFont="1">
      <alignment horizontal="center" vertical="center"/>
    </xf>
    <xf borderId="33" fillId="4" fontId="4" numFmtId="164" xfId="0" applyBorder="1" applyFont="1" applyNumberFormat="1"/>
    <xf borderId="34" fillId="4" fontId="4" numFmtId="11" xfId="0" applyBorder="1" applyFont="1" applyNumberFormat="1"/>
    <xf borderId="10" fillId="0" fontId="4" numFmtId="164" xfId="0" applyBorder="1" applyFont="1" applyNumberFormat="1"/>
    <xf borderId="32" fillId="4" fontId="4" numFmtId="164" xfId="0" applyBorder="1" applyFont="1" applyNumberFormat="1"/>
    <xf borderId="0" fillId="0" fontId="4" numFmtId="0" xfId="0" applyAlignment="1" applyFont="1">
      <alignment horizontal="center"/>
    </xf>
    <xf borderId="29" fillId="0" fontId="1" numFmtId="0" xfId="0" applyAlignment="1" applyBorder="1" applyFont="1">
      <alignment horizontal="center" shrinkToFit="0" wrapText="1"/>
    </xf>
    <xf borderId="5" fillId="0" fontId="1" numFmtId="0" xfId="0" applyAlignment="1" applyBorder="1" applyFont="1">
      <alignment horizontal="center" vertical="center"/>
    </xf>
    <xf borderId="6" fillId="0" fontId="1" numFmtId="0" xfId="0" applyAlignment="1" applyBorder="1" applyFont="1">
      <alignment horizontal="center" vertical="center"/>
    </xf>
    <xf borderId="30" fillId="4" fontId="4" numFmtId="164" xfId="0" applyBorder="1" applyFont="1" applyNumberFormat="1"/>
    <xf borderId="5" fillId="0" fontId="4" numFmtId="164" xfId="0" applyBorder="1" applyFont="1" applyNumberFormat="1"/>
    <xf borderId="8" fillId="0" fontId="4" numFmtId="164" xfId="0" applyBorder="1" applyFont="1" applyNumberFormat="1"/>
    <xf borderId="10" fillId="0" fontId="2" numFmtId="0" xfId="0" applyAlignment="1" applyBorder="1" applyFont="1">
      <alignment horizontal="center" shrinkToFit="0" vertical="top" wrapText="1"/>
    </xf>
    <xf borderId="9" fillId="0" fontId="2" numFmtId="0" xfId="0" applyAlignment="1" applyBorder="1" applyFont="1">
      <alignment horizontal="center" shrinkToFit="0" vertical="top" wrapText="1"/>
    </xf>
    <xf borderId="0" fillId="0" fontId="3" numFmtId="0" xfId="0" applyAlignment="1" applyFont="1">
      <alignment horizontal="left" vertical="top"/>
    </xf>
    <xf borderId="0" fillId="0" fontId="3" numFmtId="0" xfId="0" applyAlignment="1" applyFont="1">
      <alignment horizontal="left"/>
    </xf>
    <xf borderId="6" fillId="0" fontId="3" numFmtId="0" xfId="0" applyAlignment="1" applyBorder="1" applyFont="1">
      <alignment horizontal="left"/>
    </xf>
    <xf borderId="0" fillId="0" fontId="3" numFmtId="0" xfId="0" applyAlignment="1" applyFont="1">
      <alignment horizontal="left" shrinkToFit="0" wrapText="1"/>
    </xf>
    <xf borderId="0" fillId="0" fontId="3" numFmtId="10" xfId="0" applyAlignment="1" applyFont="1" applyNumberFormat="1">
      <alignment horizontal="left"/>
    </xf>
    <xf borderId="6" fillId="0" fontId="3" numFmtId="10" xfId="0" applyAlignment="1" applyBorder="1" applyFont="1" applyNumberFormat="1">
      <alignment horizontal="left"/>
    </xf>
    <xf borderId="24" fillId="3" fontId="3" numFmtId="0" xfId="0" applyAlignment="1" applyBorder="1" applyFont="1">
      <alignment horizontal="left" vertical="top"/>
    </xf>
    <xf borderId="24" fillId="3" fontId="3" numFmtId="0" xfId="0" applyAlignment="1" applyBorder="1" applyFont="1">
      <alignment horizontal="left"/>
    </xf>
    <xf borderId="31" fillId="3" fontId="3" numFmtId="0" xfId="0" applyAlignment="1" applyBorder="1" applyFont="1">
      <alignment horizontal="left"/>
    </xf>
    <xf borderId="24" fillId="3" fontId="3" numFmtId="0" xfId="0" applyAlignment="1" applyBorder="1" applyFont="1">
      <alignment horizontal="left" shrinkToFit="0" wrapText="1"/>
    </xf>
    <xf borderId="24" fillId="3" fontId="3" numFmtId="10" xfId="0" applyAlignment="1" applyBorder="1" applyFont="1" applyNumberFormat="1">
      <alignment horizontal="left"/>
    </xf>
    <xf borderId="31" fillId="3" fontId="3" numFmtId="10" xfId="0" applyAlignment="1" applyBorder="1" applyFont="1" applyNumberFormat="1">
      <alignment horizontal="left"/>
    </xf>
    <xf borderId="10" fillId="0" fontId="3" numFmtId="0" xfId="0" applyAlignment="1" applyBorder="1" applyFont="1">
      <alignment horizontal="left" vertical="top"/>
    </xf>
    <xf borderId="10" fillId="0" fontId="3" numFmtId="0" xfId="0" applyAlignment="1" applyBorder="1" applyFont="1">
      <alignment horizontal="left"/>
    </xf>
    <xf borderId="9" fillId="0" fontId="3" numFmtId="0" xfId="0" applyAlignment="1" applyBorder="1" applyFont="1">
      <alignment horizontal="left"/>
    </xf>
    <xf borderId="10" fillId="0" fontId="3" numFmtId="0" xfId="0" applyAlignment="1" applyBorder="1" applyFont="1">
      <alignment horizontal="left" shrinkToFit="0" wrapText="1"/>
    </xf>
    <xf borderId="10" fillId="0" fontId="3" numFmtId="10" xfId="0" applyAlignment="1" applyBorder="1" applyFont="1" applyNumberFormat="1">
      <alignment horizontal="left"/>
    </xf>
    <xf borderId="9" fillId="0" fontId="3" numFmtId="10" xfId="0" applyAlignment="1" applyBorder="1" applyFont="1" applyNumberFormat="1">
      <alignment horizontal="left"/>
    </xf>
    <xf borderId="2" fillId="0" fontId="1" numFmtId="0" xfId="0" applyAlignment="1" applyBorder="1" applyFont="1">
      <alignment horizontal="center"/>
    </xf>
    <xf borderId="2" fillId="0" fontId="1" numFmtId="0" xfId="0" applyAlignment="1" applyBorder="1" applyFont="1">
      <alignment shrinkToFit="0" wrapText="1"/>
    </xf>
    <xf borderId="3" fillId="0" fontId="4" numFmtId="0" xfId="0" applyBorder="1" applyFont="1"/>
    <xf borderId="0" fillId="0" fontId="6" numFmtId="0" xfId="0" applyFont="1"/>
    <xf borderId="2" fillId="0" fontId="4" numFmtId="164" xfId="0" applyBorder="1" applyFont="1" applyNumberFormat="1"/>
    <xf borderId="10" fillId="0" fontId="1" numFmtId="0" xfId="0" applyBorder="1" applyFont="1"/>
    <xf borderId="10" fillId="0" fontId="6" numFmtId="0" xfId="0" applyBorder="1" applyFont="1"/>
    <xf borderId="35" fillId="0" fontId="1" numFmtId="0" xfId="0" applyBorder="1" applyFont="1"/>
    <xf borderId="12" fillId="0" fontId="4" numFmtId="0" xfId="0" applyBorder="1" applyFont="1"/>
    <xf borderId="35" fillId="0" fontId="4" numFmtId="0" xfId="0" applyBorder="1" applyFont="1"/>
    <xf borderId="12" fillId="0" fontId="4" numFmtId="164" xfId="0" applyBorder="1" applyFont="1" applyNumberFormat="1"/>
    <xf borderId="35" fillId="0" fontId="4" numFmtId="164" xfId="0" applyBorder="1" applyFont="1" applyNumberFormat="1"/>
    <xf borderId="13" fillId="0" fontId="4" numFmtId="164" xfId="0" applyBorder="1" applyFont="1" applyNumberFormat="1"/>
    <xf borderId="0" fillId="0" fontId="1" numFmtId="0" xfId="0" applyAlignment="1" applyFont="1">
      <alignment shrinkToFit="0" vertical="top" wrapText="1"/>
    </xf>
    <xf borderId="11" fillId="0" fontId="1" numFmtId="0" xfId="0" applyAlignment="1" applyBorder="1" applyFont="1">
      <alignment shrinkToFit="0" vertical="top" wrapText="1"/>
    </xf>
    <xf borderId="0" fillId="0" fontId="4" numFmtId="0" xfId="0" applyAlignment="1" applyFont="1">
      <alignment horizontal="left" shrinkToFit="0" wrapText="1"/>
    </xf>
    <xf borderId="1" fillId="0" fontId="3" numFmtId="0" xfId="0" applyBorder="1" applyFont="1"/>
    <xf borderId="2" fillId="0" fontId="3" numFmtId="164" xfId="0" applyBorder="1" applyFont="1" applyNumberFormat="1"/>
    <xf borderId="11" fillId="0" fontId="3" numFmtId="164" xfId="0" applyBorder="1" applyFont="1" applyNumberFormat="1"/>
    <xf borderId="3" fillId="0" fontId="3" numFmtId="164" xfId="0" applyBorder="1" applyFont="1" applyNumberFormat="1"/>
    <xf borderId="4" fillId="0" fontId="3" numFmtId="0" xfId="0" applyBorder="1" applyFont="1"/>
    <xf borderId="5" fillId="0" fontId="3" numFmtId="164" xfId="0" applyBorder="1" applyFont="1" applyNumberFormat="1"/>
    <xf borderId="0" fillId="0" fontId="3" numFmtId="164" xfId="0" applyFont="1" applyNumberFormat="1"/>
    <xf borderId="6" fillId="0" fontId="3" numFmtId="164" xfId="0" applyBorder="1" applyFont="1" applyNumberFormat="1"/>
    <xf borderId="11" fillId="0" fontId="3" numFmtId="0" xfId="0" applyBorder="1" applyFont="1"/>
    <xf borderId="7" fillId="0" fontId="3" numFmtId="0" xfId="0" applyBorder="1" applyFont="1"/>
    <xf borderId="8" fillId="0" fontId="3" numFmtId="164" xfId="0" applyBorder="1" applyFont="1" applyNumberFormat="1"/>
    <xf borderId="10" fillId="0" fontId="3" numFmtId="164" xfId="0" applyBorder="1" applyFont="1" applyNumberFormat="1"/>
    <xf borderId="9" fillId="0" fontId="3" numFmtId="164" xfId="0" applyBorder="1" applyFont="1" applyNumberFormat="1"/>
    <xf borderId="0" fillId="0" fontId="2" numFmtId="0" xfId="0" applyAlignment="1" applyFont="1">
      <alignment horizontal="center"/>
    </xf>
    <xf borderId="12" fillId="0" fontId="1" numFmtId="0" xfId="0" applyAlignment="1" applyBorder="1" applyFont="1">
      <alignment horizontal="center"/>
    </xf>
    <xf borderId="13" fillId="0" fontId="5" numFmtId="0" xfId="0" applyBorder="1" applyFont="1"/>
    <xf borderId="29" fillId="0" fontId="1" numFmtId="0" xfId="0" applyBorder="1" applyFont="1"/>
    <xf borderId="13" fillId="0" fontId="1" numFmtId="0" xfId="0" applyBorder="1" applyFont="1"/>
    <xf borderId="1" fillId="0" fontId="4" numFmtId="10" xfId="0" applyBorder="1" applyFont="1" applyNumberFormat="1"/>
    <xf borderId="4" fillId="0" fontId="4" numFmtId="10" xfId="0" applyBorder="1" applyFont="1" applyNumberFormat="1"/>
    <xf borderId="29" fillId="0" fontId="4" numFmtId="10" xfId="0" applyBorder="1" applyFont="1" applyNumberFormat="1"/>
    <xf borderId="13" fillId="0" fontId="4" numFmtId="10" xfId="0" applyBorder="1" applyFont="1" applyNumberFormat="1"/>
    <xf borderId="35" fillId="0" fontId="5" numFmtId="0" xfId="0" applyBorder="1" applyFont="1"/>
    <xf borderId="2" fillId="0" fontId="2" numFmtId="11" xfId="0" applyAlignment="1" applyBorder="1" applyFont="1" applyNumberFormat="1">
      <alignment horizontal="center"/>
    </xf>
    <xf borderId="3" fillId="0" fontId="5" numFmtId="0" xfId="0" applyBorder="1" applyFont="1"/>
    <xf borderId="2" fillId="0" fontId="2" numFmtId="0" xfId="0" applyAlignment="1" applyBorder="1" applyFont="1">
      <alignment horizontal="center"/>
    </xf>
    <xf borderId="2" fillId="0" fontId="2" numFmtId="0" xfId="0" applyBorder="1" applyFont="1"/>
    <xf borderId="2" fillId="0" fontId="3" numFmtId="0" xfId="0" applyBorder="1" applyFont="1"/>
    <xf borderId="11" fillId="0" fontId="3" numFmtId="165" xfId="0" applyBorder="1" applyFont="1" applyNumberFormat="1"/>
    <xf borderId="11" fillId="0" fontId="3" numFmtId="166" xfId="0" applyBorder="1" applyFont="1" applyNumberFormat="1"/>
    <xf borderId="3" fillId="0" fontId="3" numFmtId="166" xfId="0" applyBorder="1" applyFont="1" applyNumberFormat="1"/>
    <xf borderId="5" fillId="0" fontId="2" numFmtId="0" xfId="0" applyBorder="1" applyFont="1"/>
    <xf borderId="5" fillId="0" fontId="3" numFmtId="0" xfId="0" applyBorder="1" applyFont="1"/>
    <xf borderId="0" fillId="0" fontId="3" numFmtId="165" xfId="0" applyFont="1" applyNumberFormat="1"/>
    <xf borderId="0" fillId="0" fontId="3" numFmtId="166" xfId="0" applyFont="1" applyNumberFormat="1"/>
    <xf borderId="6" fillId="0" fontId="3" numFmtId="166" xfId="0" applyBorder="1" applyFont="1" applyNumberFormat="1"/>
    <xf borderId="10" fillId="0" fontId="3" numFmtId="166" xfId="0" applyBorder="1" applyFont="1" applyNumberFormat="1"/>
    <xf borderId="8" fillId="0" fontId="2" numFmtId="0" xfId="0" applyBorder="1" applyFont="1"/>
    <xf borderId="8" fillId="0" fontId="3" numFmtId="0" xfId="0" applyBorder="1" applyFont="1"/>
    <xf borderId="10" fillId="0" fontId="3" numFmtId="165" xfId="0" applyBorder="1" applyFont="1" applyNumberFormat="1"/>
    <xf borderId="9" fillId="0" fontId="3" numFmtId="166" xfId="0" applyBorder="1" applyFont="1" applyNumberFormat="1"/>
  </cellXfs>
  <cellStyles count="1">
    <cellStyle xfId="0" name="Normal" builtinId="0"/>
  </cellStyles>
  <dxfs count="3">
    <dxf>
      <font/>
      <fill>
        <patternFill patternType="solid">
          <fgColor rgb="FFE06666"/>
          <bgColor rgb="FFE06666"/>
        </patternFill>
      </fill>
      <border/>
    </dxf>
    <dxf>
      <font/>
      <fill>
        <patternFill patternType="solid">
          <fgColor rgb="FFA4C2F4"/>
          <bgColor rgb="FFA4C2F4"/>
        </patternFill>
      </fill>
      <border/>
    </dxf>
    <dxf>
      <font/>
      <fill>
        <patternFill patternType="solid">
          <fgColor rgb="FFFFE599"/>
          <bgColor rgb="FFFFE599"/>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5"/>
    <col customWidth="1" min="2" max="2" width="9.0"/>
    <col customWidth="1" min="3" max="3" width="11.25"/>
    <col customWidth="1" min="4" max="4" width="8.88"/>
    <col customWidth="1" min="5" max="5" width="11.5"/>
    <col customWidth="1" min="6" max="6" width="8.63"/>
    <col customWidth="1" min="7" max="7" width="11.5"/>
    <col customWidth="1" min="8" max="8" width="8.63"/>
    <col customWidth="1" min="9" max="9" width="11.38"/>
    <col customWidth="1" min="10" max="10" width="8.63"/>
    <col customWidth="1" min="11" max="11" width="11.38"/>
    <col customWidth="1" min="12" max="12" width="8.63"/>
    <col customWidth="1" min="13" max="13" width="11.25"/>
    <col customWidth="1" min="14" max="14" width="8.63"/>
    <col customWidth="1" min="15" max="15" width="11.25"/>
    <col customWidth="1" min="16" max="16" width="8.63"/>
    <col customWidth="1" min="17" max="17" width="11.25"/>
    <col customWidth="1" min="18" max="18" width="8.63"/>
    <col customWidth="1" min="19" max="19" width="11.13"/>
    <col customWidth="1" min="20" max="20" width="8.63"/>
    <col customWidth="1" min="21" max="21" width="11.5"/>
    <col customWidth="1" min="22" max="22" width="8.63"/>
    <col customWidth="1" min="23" max="23" width="11.13"/>
    <col customWidth="1" min="24" max="24" width="8.63"/>
    <col customWidth="1" min="25" max="25" width="11.13"/>
    <col customWidth="1" min="26" max="26" width="8.63"/>
    <col customWidth="1" min="27" max="27" width="11.25"/>
    <col customWidth="1" min="28" max="28" width="8.63"/>
    <col customWidth="1" min="29" max="29" width="11.5"/>
  </cols>
  <sheetData>
    <row r="1" ht="14.25" customHeight="1">
      <c r="A1" s="1" t="s">
        <v>0</v>
      </c>
      <c r="B1" s="2" t="s">
        <v>1</v>
      </c>
      <c r="C1" s="3"/>
      <c r="D1" s="2" t="s">
        <v>2</v>
      </c>
      <c r="E1" s="3"/>
      <c r="F1" s="2" t="s">
        <v>3</v>
      </c>
      <c r="G1" s="3"/>
      <c r="H1" s="2" t="s">
        <v>4</v>
      </c>
      <c r="I1" s="3"/>
      <c r="J1" s="2" t="s">
        <v>5</v>
      </c>
      <c r="K1" s="3"/>
      <c r="L1" s="2" t="s">
        <v>6</v>
      </c>
      <c r="M1" s="3"/>
      <c r="N1" s="2" t="s">
        <v>7</v>
      </c>
      <c r="O1" s="3"/>
      <c r="P1" s="2" t="s">
        <v>8</v>
      </c>
      <c r="Q1" s="3"/>
      <c r="R1" s="2" t="s">
        <v>9</v>
      </c>
      <c r="S1" s="3"/>
      <c r="T1" s="2" t="s">
        <v>10</v>
      </c>
      <c r="U1" s="3"/>
      <c r="V1" s="2" t="s">
        <v>11</v>
      </c>
      <c r="W1" s="3"/>
      <c r="X1" s="2" t="s">
        <v>12</v>
      </c>
      <c r="Y1" s="3"/>
      <c r="Z1" s="2" t="s">
        <v>13</v>
      </c>
      <c r="AA1" s="3"/>
      <c r="AB1" s="2" t="s">
        <v>14</v>
      </c>
      <c r="AC1" s="3"/>
    </row>
    <row r="2" ht="14.25" customHeight="1">
      <c r="A2" s="4"/>
      <c r="B2" s="5"/>
      <c r="C2" s="6"/>
      <c r="D2" s="5"/>
      <c r="E2" s="6"/>
      <c r="F2" s="5"/>
      <c r="G2" s="6"/>
      <c r="H2" s="5"/>
      <c r="I2" s="6"/>
      <c r="J2" s="5"/>
      <c r="K2" s="6"/>
      <c r="L2" s="5"/>
      <c r="M2" s="6"/>
      <c r="N2" s="5"/>
      <c r="O2" s="6"/>
      <c r="P2" s="5"/>
      <c r="Q2" s="6"/>
      <c r="R2" s="5"/>
      <c r="S2" s="6"/>
      <c r="T2" s="5"/>
      <c r="U2" s="6"/>
      <c r="V2" s="5"/>
      <c r="W2" s="6"/>
      <c r="X2" s="5"/>
      <c r="Y2" s="6"/>
      <c r="Z2" s="5"/>
      <c r="AA2" s="6"/>
      <c r="AB2" s="5"/>
      <c r="AC2" s="6"/>
    </row>
    <row r="3" ht="14.25" customHeight="1">
      <c r="A3" s="7"/>
      <c r="B3" s="8" t="s">
        <v>15</v>
      </c>
      <c r="C3" s="9" t="s">
        <v>16</v>
      </c>
      <c r="D3" s="8" t="s">
        <v>15</v>
      </c>
      <c r="E3" s="9" t="s">
        <v>16</v>
      </c>
      <c r="F3" s="8" t="s">
        <v>15</v>
      </c>
      <c r="G3" s="9" t="s">
        <v>16</v>
      </c>
      <c r="H3" s="8" t="s">
        <v>15</v>
      </c>
      <c r="I3" s="9" t="s">
        <v>16</v>
      </c>
      <c r="J3" s="8" t="s">
        <v>15</v>
      </c>
      <c r="K3" s="9" t="s">
        <v>16</v>
      </c>
      <c r="L3" s="8" t="s">
        <v>15</v>
      </c>
      <c r="M3" s="9" t="s">
        <v>16</v>
      </c>
      <c r="N3" s="8" t="s">
        <v>15</v>
      </c>
      <c r="O3" s="9" t="s">
        <v>16</v>
      </c>
      <c r="P3" s="8" t="s">
        <v>15</v>
      </c>
      <c r="Q3" s="9" t="s">
        <v>16</v>
      </c>
      <c r="R3" s="8" t="s">
        <v>15</v>
      </c>
      <c r="S3" s="9" t="s">
        <v>16</v>
      </c>
      <c r="T3" s="8" t="s">
        <v>15</v>
      </c>
      <c r="U3" s="9" t="s">
        <v>16</v>
      </c>
      <c r="V3" s="8" t="s">
        <v>15</v>
      </c>
      <c r="W3" s="9" t="s">
        <v>16</v>
      </c>
      <c r="X3" s="8" t="s">
        <v>15</v>
      </c>
      <c r="Y3" s="9" t="s">
        <v>16</v>
      </c>
      <c r="Z3" s="8" t="s">
        <v>15</v>
      </c>
      <c r="AA3" s="9" t="s">
        <v>16</v>
      </c>
      <c r="AB3" s="8" t="s">
        <v>15</v>
      </c>
      <c r="AC3" s="9" t="s">
        <v>16</v>
      </c>
    </row>
    <row r="4" ht="14.25" customHeight="1">
      <c r="A4" s="7" t="s">
        <v>17</v>
      </c>
      <c r="C4" s="10"/>
      <c r="E4" s="10"/>
      <c r="G4" s="10"/>
      <c r="I4" s="10"/>
      <c r="K4" s="10"/>
      <c r="M4" s="10"/>
      <c r="O4" s="10"/>
      <c r="Q4" s="10"/>
      <c r="S4" s="10"/>
      <c r="U4" s="10"/>
      <c r="W4" s="10"/>
      <c r="Y4" s="10"/>
      <c r="AA4" s="10"/>
      <c r="AC4" s="10"/>
    </row>
    <row r="5" ht="14.25" customHeight="1">
      <c r="A5" s="11" t="s">
        <v>18</v>
      </c>
      <c r="B5" s="12">
        <v>0.0</v>
      </c>
      <c r="C5" s="13"/>
      <c r="D5" s="12">
        <v>0.0</v>
      </c>
      <c r="E5" s="13"/>
      <c r="F5" s="12">
        <v>0.0</v>
      </c>
      <c r="G5" s="13"/>
      <c r="H5" s="12">
        <v>0.0</v>
      </c>
      <c r="I5" s="13"/>
      <c r="J5" s="12">
        <v>0.0</v>
      </c>
      <c r="K5" s="13"/>
      <c r="L5" s="12">
        <v>0.0</v>
      </c>
      <c r="M5" s="13"/>
      <c r="N5" s="12">
        <v>0.0</v>
      </c>
      <c r="O5" s="13"/>
      <c r="P5" s="12">
        <v>0.0</v>
      </c>
      <c r="Q5" s="13"/>
      <c r="R5" s="12">
        <v>0.0</v>
      </c>
      <c r="S5" s="13"/>
      <c r="T5" s="12">
        <v>0.0</v>
      </c>
      <c r="U5" s="13"/>
      <c r="V5" s="12">
        <v>0.0</v>
      </c>
      <c r="W5" s="13"/>
      <c r="X5" s="12">
        <v>0.0</v>
      </c>
      <c r="Y5" s="13"/>
      <c r="Z5" s="12">
        <v>0.0</v>
      </c>
      <c r="AA5" s="13"/>
      <c r="AB5" s="12">
        <v>0.0</v>
      </c>
      <c r="AC5" s="13"/>
    </row>
    <row r="6" ht="14.25" customHeight="1">
      <c r="A6" s="11" t="s">
        <v>19</v>
      </c>
      <c r="B6" s="12">
        <v>13.0</v>
      </c>
      <c r="C6" s="13">
        <v>0.216667</v>
      </c>
      <c r="D6" s="12">
        <v>0.0</v>
      </c>
      <c r="E6" s="13"/>
      <c r="F6" s="12">
        <v>0.0</v>
      </c>
      <c r="G6" s="13"/>
      <c r="H6" s="12">
        <v>0.0</v>
      </c>
      <c r="I6" s="13"/>
      <c r="J6" s="12">
        <v>0.0</v>
      </c>
      <c r="K6" s="13"/>
      <c r="L6" s="12">
        <v>0.0</v>
      </c>
      <c r="M6" s="13"/>
      <c r="N6" s="12">
        <v>0.0</v>
      </c>
      <c r="O6" s="13"/>
      <c r="P6" s="12">
        <v>1.0</v>
      </c>
      <c r="Q6" s="13">
        <v>0.016667</v>
      </c>
      <c r="R6" s="12">
        <v>0.0</v>
      </c>
      <c r="S6" s="13"/>
      <c r="T6" s="12">
        <v>0.0</v>
      </c>
      <c r="U6" s="13"/>
      <c r="V6" s="12">
        <v>0.0</v>
      </c>
      <c r="W6" s="13"/>
      <c r="X6" s="12">
        <v>0.0</v>
      </c>
      <c r="Y6" s="13"/>
      <c r="Z6" s="12">
        <v>1.0</v>
      </c>
      <c r="AA6" s="13">
        <v>0.016667</v>
      </c>
      <c r="AB6" s="12">
        <v>0.0</v>
      </c>
      <c r="AC6" s="13"/>
    </row>
    <row r="7" ht="14.25" customHeight="1">
      <c r="A7" s="11" t="s">
        <v>20</v>
      </c>
      <c r="B7" s="12">
        <v>0.0</v>
      </c>
      <c r="C7" s="13"/>
      <c r="D7" s="12">
        <v>0.0</v>
      </c>
      <c r="E7" s="13"/>
      <c r="F7" s="12">
        <v>0.0</v>
      </c>
      <c r="G7" s="13"/>
      <c r="H7" s="12">
        <v>1.0</v>
      </c>
      <c r="I7" s="13">
        <v>0.003115</v>
      </c>
      <c r="J7" s="12">
        <v>0.0</v>
      </c>
      <c r="K7" s="13"/>
      <c r="L7" s="12">
        <v>0.0</v>
      </c>
      <c r="M7" s="13"/>
      <c r="N7" s="12">
        <v>0.0</v>
      </c>
      <c r="O7" s="13"/>
      <c r="P7" s="12">
        <v>5.0</v>
      </c>
      <c r="Q7" s="13">
        <v>0.015576</v>
      </c>
      <c r="R7" s="12">
        <v>0.0</v>
      </c>
      <c r="S7" s="13"/>
      <c r="T7" s="12">
        <v>0.0</v>
      </c>
      <c r="U7" s="13"/>
      <c r="V7" s="12">
        <v>0.0</v>
      </c>
      <c r="W7" s="13"/>
      <c r="X7" s="12">
        <v>0.0</v>
      </c>
      <c r="Y7" s="13"/>
      <c r="Z7" s="12">
        <v>14.0</v>
      </c>
      <c r="AA7" s="13">
        <v>0.043614</v>
      </c>
      <c r="AB7" s="12">
        <v>1.0</v>
      </c>
      <c r="AC7" s="13">
        <v>0.003115</v>
      </c>
    </row>
    <row r="8" ht="14.25" customHeight="1">
      <c r="A8" s="11" t="s">
        <v>21</v>
      </c>
      <c r="B8" s="12">
        <v>0.0</v>
      </c>
      <c r="C8" s="13"/>
      <c r="D8" s="12">
        <v>0.0</v>
      </c>
      <c r="E8" s="13"/>
      <c r="F8" s="12">
        <v>1.0</v>
      </c>
      <c r="G8" s="13">
        <v>0.00232</v>
      </c>
      <c r="H8" s="12">
        <v>0.0</v>
      </c>
      <c r="I8" s="13"/>
      <c r="J8" s="12">
        <v>0.0</v>
      </c>
      <c r="K8" s="13"/>
      <c r="L8" s="12">
        <v>0.0</v>
      </c>
      <c r="M8" s="13"/>
      <c r="N8" s="12">
        <v>0.0</v>
      </c>
      <c r="O8" s="13"/>
      <c r="P8" s="12">
        <v>7.0</v>
      </c>
      <c r="Q8" s="13">
        <v>0.016241</v>
      </c>
      <c r="R8" s="12">
        <v>0.0</v>
      </c>
      <c r="S8" s="13"/>
      <c r="T8" s="12">
        <v>0.0</v>
      </c>
      <c r="U8" s="13"/>
      <c r="V8" s="12">
        <v>0.0</v>
      </c>
      <c r="W8" s="13"/>
      <c r="X8" s="12">
        <v>0.0</v>
      </c>
      <c r="Y8" s="13"/>
      <c r="Z8" s="12">
        <v>15.0</v>
      </c>
      <c r="AA8" s="13">
        <v>0.034803</v>
      </c>
      <c r="AB8" s="12">
        <v>0.0</v>
      </c>
      <c r="AC8" s="13"/>
    </row>
    <row r="9" ht="14.25" customHeight="1">
      <c r="A9" s="11" t="s">
        <v>22</v>
      </c>
      <c r="B9" s="12">
        <v>1.0</v>
      </c>
      <c r="C9" s="13">
        <v>0.002358</v>
      </c>
      <c r="D9" s="12">
        <v>0.0</v>
      </c>
      <c r="E9" s="13"/>
      <c r="F9" s="12">
        <v>3.0</v>
      </c>
      <c r="G9" s="13">
        <v>0.007075</v>
      </c>
      <c r="H9" s="12">
        <v>0.0</v>
      </c>
      <c r="I9" s="13"/>
      <c r="J9" s="12">
        <v>0.0</v>
      </c>
      <c r="K9" s="13"/>
      <c r="L9" s="12">
        <v>0.0</v>
      </c>
      <c r="M9" s="13"/>
      <c r="N9" s="12">
        <v>0.0</v>
      </c>
      <c r="O9" s="13"/>
      <c r="P9" s="12">
        <v>4.0</v>
      </c>
      <c r="Q9" s="13">
        <v>0.009434</v>
      </c>
      <c r="R9" s="12">
        <v>0.0</v>
      </c>
      <c r="S9" s="13"/>
      <c r="T9" s="12">
        <v>0.0</v>
      </c>
      <c r="U9" s="13"/>
      <c r="V9" s="12">
        <v>0.0</v>
      </c>
      <c r="W9" s="13"/>
      <c r="X9" s="12">
        <v>0.0</v>
      </c>
      <c r="Y9" s="13"/>
      <c r="Z9" s="12">
        <v>11.0</v>
      </c>
      <c r="AA9" s="13">
        <v>0.025943</v>
      </c>
      <c r="AB9" s="12">
        <v>0.0</v>
      </c>
      <c r="AC9" s="13"/>
    </row>
    <row r="10" ht="14.25" customHeight="1">
      <c r="A10" s="11" t="s">
        <v>23</v>
      </c>
      <c r="B10" s="12">
        <v>0.0</v>
      </c>
      <c r="C10" s="13"/>
      <c r="D10" s="12">
        <v>0.0</v>
      </c>
      <c r="E10" s="13"/>
      <c r="F10" s="12">
        <v>10.0</v>
      </c>
      <c r="G10" s="13">
        <v>0.030675</v>
      </c>
      <c r="H10" s="12">
        <v>0.0</v>
      </c>
      <c r="I10" s="13"/>
      <c r="J10" s="12">
        <v>0.0</v>
      </c>
      <c r="K10" s="13"/>
      <c r="L10" s="12">
        <v>0.0</v>
      </c>
      <c r="M10" s="13"/>
      <c r="N10" s="12">
        <v>0.0</v>
      </c>
      <c r="O10" s="13"/>
      <c r="P10" s="12">
        <v>4.0</v>
      </c>
      <c r="Q10" s="13">
        <v>0.01227</v>
      </c>
      <c r="R10" s="12">
        <v>0.0</v>
      </c>
      <c r="S10" s="13"/>
      <c r="T10" s="12">
        <v>0.0</v>
      </c>
      <c r="U10" s="13"/>
      <c r="V10" s="12">
        <v>0.0</v>
      </c>
      <c r="W10" s="13"/>
      <c r="X10" s="12">
        <v>0.0</v>
      </c>
      <c r="Y10" s="13"/>
      <c r="Z10" s="12">
        <v>17.0</v>
      </c>
      <c r="AA10" s="13">
        <v>0.052147</v>
      </c>
      <c r="AB10" s="12">
        <v>0.0</v>
      </c>
      <c r="AC10" s="13"/>
    </row>
    <row r="11" ht="14.25" customHeight="1">
      <c r="A11" s="11" t="s">
        <v>24</v>
      </c>
      <c r="B11" s="12">
        <v>0.0</v>
      </c>
      <c r="C11" s="13"/>
      <c r="D11" s="12">
        <v>1.0</v>
      </c>
      <c r="E11" s="13">
        <v>0.002353</v>
      </c>
      <c r="F11" s="12">
        <v>7.0</v>
      </c>
      <c r="G11" s="13">
        <v>0.016471</v>
      </c>
      <c r="H11" s="12">
        <v>0.0</v>
      </c>
      <c r="I11" s="13"/>
      <c r="J11" s="12">
        <v>0.0</v>
      </c>
      <c r="K11" s="13"/>
      <c r="L11" s="12">
        <v>0.0</v>
      </c>
      <c r="M11" s="13"/>
      <c r="N11" s="12">
        <v>0.0</v>
      </c>
      <c r="O11" s="13"/>
      <c r="P11" s="12">
        <v>0.0</v>
      </c>
      <c r="Q11" s="13"/>
      <c r="R11" s="12">
        <v>0.0</v>
      </c>
      <c r="S11" s="13"/>
      <c r="T11" s="12">
        <v>0.0</v>
      </c>
      <c r="U11" s="13"/>
      <c r="V11" s="12">
        <v>0.0</v>
      </c>
      <c r="W11" s="13"/>
      <c r="X11" s="12">
        <v>0.0</v>
      </c>
      <c r="Y11" s="13"/>
      <c r="Z11" s="12">
        <v>4.0</v>
      </c>
      <c r="AA11" s="13">
        <v>0.009412</v>
      </c>
      <c r="AB11" s="12">
        <v>0.0</v>
      </c>
      <c r="AC11" s="13"/>
    </row>
    <row r="12" ht="14.25" customHeight="1">
      <c r="A12" s="11" t="s">
        <v>25</v>
      </c>
      <c r="B12" s="12">
        <v>0.0</v>
      </c>
      <c r="C12" s="13"/>
      <c r="D12" s="12">
        <v>1.0</v>
      </c>
      <c r="E12" s="13">
        <v>9.09E-4</v>
      </c>
      <c r="F12" s="12">
        <v>9.0</v>
      </c>
      <c r="G12" s="13">
        <v>0.008182</v>
      </c>
      <c r="H12" s="12">
        <v>0.0</v>
      </c>
      <c r="I12" s="13"/>
      <c r="J12" s="12">
        <v>0.0</v>
      </c>
      <c r="K12" s="13"/>
      <c r="L12" s="12">
        <v>0.0</v>
      </c>
      <c r="M12" s="13"/>
      <c r="N12" s="12">
        <v>0.0</v>
      </c>
      <c r="O12" s="13"/>
      <c r="P12" s="12">
        <v>0.0</v>
      </c>
      <c r="Q12" s="13"/>
      <c r="R12" s="12">
        <v>0.0</v>
      </c>
      <c r="S12" s="13"/>
      <c r="T12" s="12">
        <v>0.0</v>
      </c>
      <c r="U12" s="13"/>
      <c r="V12" s="12">
        <v>0.0</v>
      </c>
      <c r="W12" s="13"/>
      <c r="X12" s="12">
        <v>0.0</v>
      </c>
      <c r="Y12" s="13"/>
      <c r="Z12" s="12">
        <v>12.0</v>
      </c>
      <c r="AA12" s="13">
        <v>0.010909</v>
      </c>
      <c r="AB12" s="12">
        <v>0.0</v>
      </c>
      <c r="AC12" s="13"/>
    </row>
    <row r="13" ht="14.25" customHeight="1">
      <c r="A13" s="11" t="s">
        <v>26</v>
      </c>
      <c r="B13" s="12">
        <v>0.0</v>
      </c>
      <c r="C13" s="13"/>
      <c r="D13" s="12">
        <v>0.0</v>
      </c>
      <c r="E13" s="13"/>
      <c r="F13" s="12">
        <v>4.0</v>
      </c>
      <c r="G13" s="13">
        <v>0.001117</v>
      </c>
      <c r="H13" s="12">
        <v>1.0</v>
      </c>
      <c r="I13" s="13">
        <v>2.79E-4</v>
      </c>
      <c r="J13" s="12">
        <v>0.0</v>
      </c>
      <c r="K13" s="13"/>
      <c r="L13" s="12">
        <v>0.0</v>
      </c>
      <c r="M13" s="13"/>
      <c r="N13" s="12">
        <v>0.0</v>
      </c>
      <c r="O13" s="13"/>
      <c r="P13" s="12">
        <v>1.0</v>
      </c>
      <c r="Q13" s="13">
        <v>2.79E-4</v>
      </c>
      <c r="R13" s="12">
        <v>3.0</v>
      </c>
      <c r="S13" s="13">
        <v>8.38E-4</v>
      </c>
      <c r="T13" s="12">
        <v>0.0</v>
      </c>
      <c r="U13" s="13"/>
      <c r="V13" s="12">
        <v>0.0</v>
      </c>
      <c r="W13" s="13"/>
      <c r="X13" s="12">
        <v>0.0</v>
      </c>
      <c r="Y13" s="13"/>
      <c r="Z13" s="12">
        <v>9.0</v>
      </c>
      <c r="AA13" s="13">
        <v>0.002513</v>
      </c>
      <c r="AB13" s="12">
        <v>0.0</v>
      </c>
      <c r="AC13" s="13"/>
    </row>
    <row r="14" ht="14.25" customHeight="1">
      <c r="A14" s="11" t="s">
        <v>27</v>
      </c>
      <c r="B14" s="12">
        <v>2.0</v>
      </c>
      <c r="C14" s="13">
        <v>2.04E-4</v>
      </c>
      <c r="D14" s="12">
        <v>0.0</v>
      </c>
      <c r="E14" s="13"/>
      <c r="F14" s="12">
        <v>33.0</v>
      </c>
      <c r="G14" s="13">
        <v>0.003372</v>
      </c>
      <c r="H14" s="12">
        <v>1.0</v>
      </c>
      <c r="I14" s="13">
        <v>1.02E-4</v>
      </c>
      <c r="J14" s="12">
        <v>0.0</v>
      </c>
      <c r="K14" s="13"/>
      <c r="L14" s="12">
        <v>0.0</v>
      </c>
      <c r="M14" s="13"/>
      <c r="N14" s="12">
        <v>0.0</v>
      </c>
      <c r="O14" s="13"/>
      <c r="P14" s="12">
        <v>1.0</v>
      </c>
      <c r="Q14" s="13">
        <v>1.02E-4</v>
      </c>
      <c r="R14" s="12">
        <v>0.0</v>
      </c>
      <c r="S14" s="13"/>
      <c r="T14" s="12">
        <v>0.0</v>
      </c>
      <c r="U14" s="13"/>
      <c r="V14" s="12">
        <v>0.0</v>
      </c>
      <c r="W14" s="13"/>
      <c r="X14" s="12">
        <v>0.0</v>
      </c>
      <c r="Y14" s="13"/>
      <c r="Z14" s="12">
        <v>12.0</v>
      </c>
      <c r="AA14" s="13">
        <v>0.001226</v>
      </c>
      <c r="AB14" s="12">
        <v>0.0</v>
      </c>
      <c r="AC14" s="13"/>
    </row>
    <row r="15" ht="14.25" customHeight="1">
      <c r="A15" s="11" t="s">
        <v>28</v>
      </c>
      <c r="B15" s="12">
        <v>3.0</v>
      </c>
      <c r="C15" s="13">
        <v>1.79E-4</v>
      </c>
      <c r="D15" s="12">
        <v>0.0</v>
      </c>
      <c r="E15" s="13"/>
      <c r="F15" s="12">
        <v>25.0</v>
      </c>
      <c r="G15" s="13">
        <v>0.001492</v>
      </c>
      <c r="H15" s="12">
        <v>0.0</v>
      </c>
      <c r="I15" s="13"/>
      <c r="J15" s="12">
        <v>0.0</v>
      </c>
      <c r="K15" s="13"/>
      <c r="L15" s="12">
        <v>1.0</v>
      </c>
      <c r="M15" s="13">
        <v>6.0E-5</v>
      </c>
      <c r="N15" s="12">
        <v>0.0</v>
      </c>
      <c r="O15" s="13"/>
      <c r="P15" s="12">
        <v>3.0</v>
      </c>
      <c r="Q15" s="13">
        <v>1.79E-4</v>
      </c>
      <c r="R15" s="12">
        <v>2.0</v>
      </c>
      <c r="S15" s="13">
        <v>1.19E-4</v>
      </c>
      <c r="T15" s="12">
        <v>0.0</v>
      </c>
      <c r="U15" s="13"/>
      <c r="V15" s="12">
        <v>0.0</v>
      </c>
      <c r="W15" s="13"/>
      <c r="X15" s="12">
        <v>0.0</v>
      </c>
      <c r="Y15" s="13"/>
      <c r="Z15" s="12">
        <v>3.0</v>
      </c>
      <c r="AA15" s="13">
        <v>1.79E-4</v>
      </c>
      <c r="AB15" s="12">
        <v>0.0</v>
      </c>
      <c r="AC15" s="13"/>
    </row>
    <row r="16" ht="14.25" customHeight="1">
      <c r="A16" s="11" t="s">
        <v>29</v>
      </c>
      <c r="B16" s="12">
        <v>4.0</v>
      </c>
      <c r="C16" s="13">
        <v>1.88E-4</v>
      </c>
      <c r="D16" s="12">
        <v>1.0</v>
      </c>
      <c r="E16" s="13">
        <v>4.7E-5</v>
      </c>
      <c r="F16" s="12">
        <v>9.0</v>
      </c>
      <c r="G16" s="13">
        <v>4.23E-4</v>
      </c>
      <c r="H16" s="12">
        <v>0.0</v>
      </c>
      <c r="I16" s="13"/>
      <c r="J16" s="12">
        <v>2.0</v>
      </c>
      <c r="K16" s="13">
        <v>9.4E-5</v>
      </c>
      <c r="L16" s="12">
        <v>0.0</v>
      </c>
      <c r="M16" s="13"/>
      <c r="N16" s="12">
        <v>0.0</v>
      </c>
      <c r="O16" s="13"/>
      <c r="P16" s="12">
        <v>1.0</v>
      </c>
      <c r="Q16" s="13">
        <v>4.7E-5</v>
      </c>
      <c r="R16" s="12">
        <v>0.0</v>
      </c>
      <c r="S16" s="13"/>
      <c r="T16" s="12">
        <v>0.0</v>
      </c>
      <c r="U16" s="13"/>
      <c r="V16" s="12">
        <v>0.0</v>
      </c>
      <c r="W16" s="13"/>
      <c r="X16" s="12">
        <v>0.0</v>
      </c>
      <c r="Y16" s="13"/>
      <c r="Z16" s="12">
        <v>10.0</v>
      </c>
      <c r="AA16" s="13">
        <v>4.7E-4</v>
      </c>
      <c r="AB16" s="12">
        <v>0.0</v>
      </c>
      <c r="AC16" s="13"/>
    </row>
    <row r="17" ht="14.25" customHeight="1">
      <c r="A17" s="11" t="s">
        <v>30</v>
      </c>
      <c r="B17" s="12">
        <v>5.0</v>
      </c>
      <c r="C17" s="13">
        <v>2.51E-4</v>
      </c>
      <c r="D17" s="12">
        <v>1.0</v>
      </c>
      <c r="E17" s="13">
        <v>5.0E-5</v>
      </c>
      <c r="F17" s="12">
        <v>22.0</v>
      </c>
      <c r="G17" s="13">
        <v>0.001104</v>
      </c>
      <c r="H17" s="12">
        <v>0.0</v>
      </c>
      <c r="I17" s="13"/>
      <c r="J17" s="12">
        <v>0.0</v>
      </c>
      <c r="K17" s="13"/>
      <c r="L17" s="12">
        <v>0.0</v>
      </c>
      <c r="M17" s="13"/>
      <c r="N17" s="12">
        <v>0.0</v>
      </c>
      <c r="O17" s="13"/>
      <c r="P17" s="12">
        <v>2.0</v>
      </c>
      <c r="Q17" s="13">
        <v>1.0E-4</v>
      </c>
      <c r="R17" s="12">
        <v>1.0</v>
      </c>
      <c r="S17" s="13">
        <v>5.0E-5</v>
      </c>
      <c r="T17" s="12">
        <v>1.0</v>
      </c>
      <c r="U17" s="13">
        <v>5.0E-5</v>
      </c>
      <c r="V17" s="12">
        <v>0.0</v>
      </c>
      <c r="W17" s="13"/>
      <c r="X17" s="12">
        <v>0.0</v>
      </c>
      <c r="Y17" s="13"/>
      <c r="Z17" s="12">
        <v>8.0</v>
      </c>
      <c r="AA17" s="13">
        <v>4.01E-4</v>
      </c>
      <c r="AB17" s="12">
        <v>0.0</v>
      </c>
      <c r="AC17" s="13"/>
    </row>
    <row r="18" ht="14.25" customHeight="1">
      <c r="A18" s="11" t="s">
        <v>31</v>
      </c>
      <c r="B18" s="12">
        <v>4.0</v>
      </c>
      <c r="C18" s="13">
        <v>2.44E-4</v>
      </c>
      <c r="D18" s="12">
        <v>0.0</v>
      </c>
      <c r="E18" s="13"/>
      <c r="F18" s="12">
        <v>20.0</v>
      </c>
      <c r="G18" s="13">
        <v>0.001222</v>
      </c>
      <c r="H18" s="12">
        <v>1.0</v>
      </c>
      <c r="I18" s="13">
        <v>6.1E-5</v>
      </c>
      <c r="J18" s="12">
        <v>0.0</v>
      </c>
      <c r="K18" s="13"/>
      <c r="L18" s="12">
        <v>2.0</v>
      </c>
      <c r="M18" s="13">
        <v>1.22E-4</v>
      </c>
      <c r="N18" s="12">
        <v>0.0</v>
      </c>
      <c r="O18" s="13"/>
      <c r="P18" s="12">
        <v>6.0</v>
      </c>
      <c r="Q18" s="13">
        <v>3.67E-4</v>
      </c>
      <c r="R18" s="12">
        <v>8.0</v>
      </c>
      <c r="S18" s="13">
        <v>4.89E-4</v>
      </c>
      <c r="T18" s="12">
        <v>0.0</v>
      </c>
      <c r="U18" s="13"/>
      <c r="V18" s="12">
        <v>0.0</v>
      </c>
      <c r="W18" s="13"/>
      <c r="X18" s="12">
        <v>0.0</v>
      </c>
      <c r="Y18" s="13"/>
      <c r="Z18" s="12">
        <v>9.0</v>
      </c>
      <c r="AA18" s="13">
        <v>5.5E-4</v>
      </c>
      <c r="AB18" s="12">
        <v>0.0</v>
      </c>
      <c r="AC18" s="13"/>
    </row>
    <row r="19" ht="14.25" customHeight="1">
      <c r="A19" s="11" t="s">
        <v>32</v>
      </c>
      <c r="B19" s="12">
        <v>4.0</v>
      </c>
      <c r="C19" s="13">
        <v>2.91E-4</v>
      </c>
      <c r="D19" s="12">
        <v>0.0</v>
      </c>
      <c r="E19" s="13"/>
      <c r="F19" s="12">
        <v>4.0</v>
      </c>
      <c r="G19" s="13">
        <v>2.91E-4</v>
      </c>
      <c r="H19" s="12">
        <v>1.0</v>
      </c>
      <c r="I19" s="13">
        <v>7.3E-5</v>
      </c>
      <c r="J19" s="12">
        <v>0.0</v>
      </c>
      <c r="K19" s="13"/>
      <c r="L19" s="12">
        <v>0.0</v>
      </c>
      <c r="M19" s="13"/>
      <c r="N19" s="12">
        <v>0.0</v>
      </c>
      <c r="O19" s="13"/>
      <c r="P19" s="12">
        <v>1.0</v>
      </c>
      <c r="Q19" s="13">
        <v>7.3E-5</v>
      </c>
      <c r="R19" s="12">
        <v>0.0</v>
      </c>
      <c r="S19" s="13"/>
      <c r="T19" s="12">
        <v>0.0</v>
      </c>
      <c r="U19" s="13"/>
      <c r="V19" s="12">
        <v>0.0</v>
      </c>
      <c r="W19" s="13"/>
      <c r="X19" s="12">
        <v>0.0</v>
      </c>
      <c r="Y19" s="13"/>
      <c r="Z19" s="12">
        <v>22.0</v>
      </c>
      <c r="AA19" s="13">
        <v>0.001601</v>
      </c>
      <c r="AB19" s="12">
        <v>0.0</v>
      </c>
      <c r="AC19" s="13"/>
    </row>
    <row r="20" ht="14.25" customHeight="1">
      <c r="A20" s="11" t="s">
        <v>33</v>
      </c>
      <c r="B20" s="12">
        <v>14.0</v>
      </c>
      <c r="C20" s="13">
        <v>0.001221</v>
      </c>
      <c r="D20" s="12">
        <v>0.0</v>
      </c>
      <c r="E20" s="13"/>
      <c r="F20" s="12">
        <v>3.0</v>
      </c>
      <c r="G20" s="13">
        <v>2.62E-4</v>
      </c>
      <c r="H20" s="12">
        <v>0.0</v>
      </c>
      <c r="I20" s="13"/>
      <c r="J20" s="12">
        <v>0.0</v>
      </c>
      <c r="K20" s="13"/>
      <c r="L20" s="12">
        <v>2.0</v>
      </c>
      <c r="M20" s="13">
        <v>1.74E-4</v>
      </c>
      <c r="N20" s="12">
        <v>0.0</v>
      </c>
      <c r="O20" s="13"/>
      <c r="P20" s="12">
        <v>4.0</v>
      </c>
      <c r="Q20" s="13">
        <v>3.49E-4</v>
      </c>
      <c r="R20" s="12">
        <v>0.0</v>
      </c>
      <c r="S20" s="13"/>
      <c r="T20" s="12">
        <v>0.0</v>
      </c>
      <c r="U20" s="13"/>
      <c r="V20" s="12">
        <v>0.0</v>
      </c>
      <c r="W20" s="13"/>
      <c r="X20" s="12">
        <v>0.0</v>
      </c>
      <c r="Y20" s="13"/>
      <c r="Z20" s="12">
        <v>10.0</v>
      </c>
      <c r="AA20" s="13">
        <v>8.72E-4</v>
      </c>
      <c r="AB20" s="12">
        <v>0.0</v>
      </c>
      <c r="AC20" s="13"/>
    </row>
    <row r="21" ht="14.25" customHeight="1">
      <c r="A21" s="11" t="s">
        <v>34</v>
      </c>
      <c r="B21" s="12">
        <v>2.0</v>
      </c>
      <c r="C21" s="13">
        <v>1.96E-4</v>
      </c>
      <c r="D21" s="12">
        <v>0.0</v>
      </c>
      <c r="E21" s="13"/>
      <c r="F21" s="12">
        <v>15.0</v>
      </c>
      <c r="G21" s="13">
        <v>0.001467</v>
      </c>
      <c r="H21" s="12">
        <v>1.0</v>
      </c>
      <c r="I21" s="13">
        <v>9.8E-5</v>
      </c>
      <c r="J21" s="12">
        <v>0.0</v>
      </c>
      <c r="K21" s="13"/>
      <c r="L21" s="12">
        <v>1.0</v>
      </c>
      <c r="M21" s="13">
        <v>9.8E-5</v>
      </c>
      <c r="N21" s="12">
        <v>0.0</v>
      </c>
      <c r="O21" s="13"/>
      <c r="P21" s="12">
        <v>0.0</v>
      </c>
      <c r="Q21" s="13"/>
      <c r="R21" s="12">
        <v>0.0</v>
      </c>
      <c r="S21" s="13"/>
      <c r="T21" s="12">
        <v>0.0</v>
      </c>
      <c r="U21" s="13"/>
      <c r="V21" s="12">
        <v>0.0</v>
      </c>
      <c r="W21" s="13"/>
      <c r="X21" s="12">
        <v>0.0</v>
      </c>
      <c r="Y21" s="13"/>
      <c r="Z21" s="12">
        <v>4.0</v>
      </c>
      <c r="AA21" s="13">
        <v>3.91E-4</v>
      </c>
      <c r="AB21" s="12">
        <v>0.0</v>
      </c>
      <c r="AC21" s="13"/>
    </row>
    <row r="22" ht="14.25" customHeight="1">
      <c r="A22" s="11" t="s">
        <v>35</v>
      </c>
      <c r="B22" s="12">
        <v>9.0</v>
      </c>
      <c r="C22" s="13">
        <v>0.001053</v>
      </c>
      <c r="D22" s="12">
        <v>3.0</v>
      </c>
      <c r="E22" s="13">
        <v>3.51E-4</v>
      </c>
      <c r="F22" s="12">
        <v>8.0</v>
      </c>
      <c r="G22" s="13">
        <v>9.36E-4</v>
      </c>
      <c r="H22" s="12">
        <v>0.0</v>
      </c>
      <c r="I22" s="13"/>
      <c r="J22" s="12">
        <v>0.0</v>
      </c>
      <c r="K22" s="13"/>
      <c r="L22" s="12">
        <v>2.0</v>
      </c>
      <c r="M22" s="13">
        <v>2.34E-4</v>
      </c>
      <c r="N22" s="12">
        <v>0.0</v>
      </c>
      <c r="O22" s="13"/>
      <c r="P22" s="12">
        <v>1.0</v>
      </c>
      <c r="Q22" s="13">
        <v>1.17E-4</v>
      </c>
      <c r="R22" s="12">
        <v>0.0</v>
      </c>
      <c r="S22" s="13"/>
      <c r="T22" s="12">
        <v>0.0</v>
      </c>
      <c r="U22" s="13"/>
      <c r="V22" s="12">
        <v>0.0</v>
      </c>
      <c r="W22" s="13"/>
      <c r="X22" s="12">
        <v>0.0</v>
      </c>
      <c r="Y22" s="13"/>
      <c r="Z22" s="12">
        <v>2.0</v>
      </c>
      <c r="AA22" s="13">
        <v>2.34E-4</v>
      </c>
      <c r="AB22" s="12">
        <v>0.0</v>
      </c>
      <c r="AC22" s="13"/>
    </row>
    <row r="23" ht="14.25" customHeight="1">
      <c r="A23" s="11" t="s">
        <v>36</v>
      </c>
      <c r="B23" s="12">
        <v>5.0</v>
      </c>
      <c r="C23" s="13">
        <v>6.35E-4</v>
      </c>
      <c r="D23" s="12">
        <v>0.0</v>
      </c>
      <c r="E23" s="13"/>
      <c r="F23" s="12">
        <v>26.0</v>
      </c>
      <c r="G23" s="13">
        <v>0.003302</v>
      </c>
      <c r="H23" s="12">
        <v>0.0</v>
      </c>
      <c r="I23" s="13"/>
      <c r="J23" s="12">
        <v>2.0</v>
      </c>
      <c r="K23" s="13">
        <v>2.54E-4</v>
      </c>
      <c r="L23" s="12">
        <v>0.0</v>
      </c>
      <c r="M23" s="13"/>
      <c r="N23" s="12">
        <v>0.0</v>
      </c>
      <c r="O23" s="13"/>
      <c r="P23" s="12">
        <v>0.0</v>
      </c>
      <c r="Q23" s="13"/>
      <c r="R23" s="12">
        <v>0.0</v>
      </c>
      <c r="S23" s="13"/>
      <c r="T23" s="12">
        <v>0.0</v>
      </c>
      <c r="U23" s="13"/>
      <c r="V23" s="12">
        <v>0.0</v>
      </c>
      <c r="W23" s="13"/>
      <c r="X23" s="12">
        <v>0.0</v>
      </c>
      <c r="Y23" s="13"/>
      <c r="Z23" s="12">
        <v>3.0</v>
      </c>
      <c r="AA23" s="13">
        <v>3.81E-4</v>
      </c>
      <c r="AB23" s="12">
        <v>0.0</v>
      </c>
      <c r="AC23" s="13"/>
    </row>
    <row r="24" ht="14.25" customHeight="1">
      <c r="A24" s="11" t="s">
        <v>37</v>
      </c>
      <c r="B24" s="12">
        <v>12.0</v>
      </c>
      <c r="C24" s="13">
        <v>0.001682</v>
      </c>
      <c r="D24" s="12">
        <v>0.0</v>
      </c>
      <c r="E24" s="13"/>
      <c r="F24" s="12">
        <v>1.0</v>
      </c>
      <c r="G24" s="13">
        <v>1.4E-4</v>
      </c>
      <c r="H24" s="12">
        <v>0.0</v>
      </c>
      <c r="I24" s="13"/>
      <c r="J24" s="12">
        <v>1.0</v>
      </c>
      <c r="K24" s="13">
        <v>1.4E-4</v>
      </c>
      <c r="L24" s="12">
        <v>0.0</v>
      </c>
      <c r="M24" s="13"/>
      <c r="N24" s="12">
        <v>0.0</v>
      </c>
      <c r="O24" s="13"/>
      <c r="P24" s="12">
        <v>0.0</v>
      </c>
      <c r="Q24" s="13"/>
      <c r="R24" s="12">
        <v>0.0</v>
      </c>
      <c r="S24" s="13"/>
      <c r="T24" s="12">
        <v>0.0</v>
      </c>
      <c r="U24" s="13"/>
      <c r="V24" s="12">
        <v>0.0</v>
      </c>
      <c r="W24" s="13"/>
      <c r="X24" s="12">
        <v>0.0</v>
      </c>
      <c r="Y24" s="13"/>
      <c r="Z24" s="12">
        <v>12.0</v>
      </c>
      <c r="AA24" s="13">
        <v>0.001682</v>
      </c>
      <c r="AB24" s="12">
        <v>1.0</v>
      </c>
      <c r="AC24" s="13">
        <v>1.4E-4</v>
      </c>
    </row>
    <row r="25" ht="14.25" customHeight="1">
      <c r="A25" s="11" t="s">
        <v>38</v>
      </c>
      <c r="B25" s="12">
        <v>2.0</v>
      </c>
      <c r="C25" s="13">
        <v>3.67E-4</v>
      </c>
      <c r="D25" s="12">
        <v>1.0</v>
      </c>
      <c r="E25" s="13">
        <v>1.83E-4</v>
      </c>
      <c r="F25" s="12">
        <v>3.0</v>
      </c>
      <c r="G25" s="13">
        <v>5.5E-4</v>
      </c>
      <c r="H25" s="12">
        <v>1.0</v>
      </c>
      <c r="I25" s="13">
        <v>1.83E-4</v>
      </c>
      <c r="J25" s="12">
        <v>8.0</v>
      </c>
      <c r="K25" s="13">
        <v>0.001468</v>
      </c>
      <c r="L25" s="12">
        <v>0.0</v>
      </c>
      <c r="M25" s="13"/>
      <c r="N25" s="12">
        <v>0.0</v>
      </c>
      <c r="O25" s="13"/>
      <c r="P25" s="12">
        <v>0.0</v>
      </c>
      <c r="Q25" s="13"/>
      <c r="R25" s="12">
        <v>0.0</v>
      </c>
      <c r="S25" s="13"/>
      <c r="T25" s="12">
        <v>0.0</v>
      </c>
      <c r="U25" s="13"/>
      <c r="V25" s="12">
        <v>0.0</v>
      </c>
      <c r="W25" s="13"/>
      <c r="X25" s="12">
        <v>0.0</v>
      </c>
      <c r="Y25" s="13"/>
      <c r="Z25" s="12">
        <v>3.0</v>
      </c>
      <c r="AA25" s="13">
        <v>5.5E-4</v>
      </c>
      <c r="AB25" s="12">
        <v>0.0</v>
      </c>
      <c r="AC25" s="13"/>
    </row>
    <row r="26" ht="14.25" customHeight="1">
      <c r="A26" s="11" t="s">
        <v>39</v>
      </c>
      <c r="B26" s="12">
        <v>4.0</v>
      </c>
      <c r="C26" s="13">
        <v>6.69E-4</v>
      </c>
      <c r="D26" s="12">
        <v>2.0</v>
      </c>
      <c r="E26" s="13">
        <v>3.35E-4</v>
      </c>
      <c r="F26" s="12">
        <v>11.0</v>
      </c>
      <c r="G26" s="13">
        <v>0.00184</v>
      </c>
      <c r="H26" s="12">
        <v>0.0</v>
      </c>
      <c r="I26" s="13"/>
      <c r="J26" s="12">
        <v>0.0</v>
      </c>
      <c r="K26" s="13"/>
      <c r="L26" s="12">
        <v>2.0</v>
      </c>
      <c r="M26" s="13">
        <v>3.35E-4</v>
      </c>
      <c r="N26" s="12">
        <v>0.0</v>
      </c>
      <c r="O26" s="13"/>
      <c r="P26" s="12">
        <v>0.0</v>
      </c>
      <c r="Q26" s="13"/>
      <c r="R26" s="12">
        <v>1.0</v>
      </c>
      <c r="S26" s="13">
        <v>1.67E-4</v>
      </c>
      <c r="T26" s="12">
        <v>0.0</v>
      </c>
      <c r="U26" s="13"/>
      <c r="V26" s="12">
        <v>0.0</v>
      </c>
      <c r="W26" s="13"/>
      <c r="X26" s="12">
        <v>0.0</v>
      </c>
      <c r="Y26" s="13"/>
      <c r="Z26" s="12">
        <v>3.0</v>
      </c>
      <c r="AA26" s="13">
        <v>5.02E-4</v>
      </c>
      <c r="AB26" s="12">
        <v>0.0</v>
      </c>
      <c r="AC26" s="13"/>
    </row>
    <row r="27" ht="14.25" customHeight="1">
      <c r="A27" s="11" t="s">
        <v>40</v>
      </c>
      <c r="B27" s="12">
        <v>0.0</v>
      </c>
      <c r="C27" s="13"/>
      <c r="D27" s="12">
        <v>0.0</v>
      </c>
      <c r="E27" s="13"/>
      <c r="F27" s="12">
        <v>5.0</v>
      </c>
      <c r="G27" s="13">
        <v>6.37E-4</v>
      </c>
      <c r="H27" s="12">
        <v>0.0</v>
      </c>
      <c r="I27" s="13"/>
      <c r="J27" s="12">
        <v>0.0</v>
      </c>
      <c r="K27" s="13"/>
      <c r="L27" s="12">
        <v>0.0</v>
      </c>
      <c r="M27" s="13"/>
      <c r="N27" s="12">
        <v>0.0</v>
      </c>
      <c r="O27" s="13"/>
      <c r="P27" s="12">
        <v>0.0</v>
      </c>
      <c r="Q27" s="13"/>
      <c r="R27" s="12">
        <v>0.0</v>
      </c>
      <c r="S27" s="13"/>
      <c r="T27" s="12">
        <v>0.0</v>
      </c>
      <c r="U27" s="13"/>
      <c r="V27" s="12">
        <v>0.0</v>
      </c>
      <c r="W27" s="13"/>
      <c r="X27" s="12">
        <v>0.0</v>
      </c>
      <c r="Y27" s="13"/>
      <c r="Z27" s="12">
        <v>2.0</v>
      </c>
      <c r="AA27" s="13">
        <v>2.55E-4</v>
      </c>
      <c r="AB27" s="12">
        <v>0.0</v>
      </c>
      <c r="AC27" s="13"/>
    </row>
    <row r="28" ht="14.25" customHeight="1">
      <c r="A28" s="11" t="s">
        <v>41</v>
      </c>
      <c r="B28" s="12">
        <v>0.0</v>
      </c>
      <c r="C28" s="13"/>
      <c r="D28" s="12">
        <v>0.0</v>
      </c>
      <c r="E28" s="13"/>
      <c r="F28" s="12">
        <v>7.0</v>
      </c>
      <c r="G28" s="13">
        <v>6.78E-4</v>
      </c>
      <c r="H28" s="12">
        <v>0.0</v>
      </c>
      <c r="I28" s="13"/>
      <c r="J28" s="12">
        <v>0.0</v>
      </c>
      <c r="K28" s="13"/>
      <c r="L28" s="12">
        <v>0.0</v>
      </c>
      <c r="M28" s="13"/>
      <c r="N28" s="12">
        <v>0.0</v>
      </c>
      <c r="O28" s="13"/>
      <c r="P28" s="12">
        <v>0.0</v>
      </c>
      <c r="Q28" s="13"/>
      <c r="R28" s="12">
        <v>0.0</v>
      </c>
      <c r="S28" s="13"/>
      <c r="T28" s="12">
        <v>0.0</v>
      </c>
      <c r="U28" s="13"/>
      <c r="V28" s="12">
        <v>0.0</v>
      </c>
      <c r="W28" s="13"/>
      <c r="X28" s="12">
        <v>0.0</v>
      </c>
      <c r="Y28" s="13"/>
      <c r="Z28" s="12">
        <v>18.0</v>
      </c>
      <c r="AA28" s="13">
        <v>0.001744</v>
      </c>
      <c r="AB28" s="12">
        <v>0.0</v>
      </c>
      <c r="AC28" s="13"/>
    </row>
    <row r="29" ht="14.25" customHeight="1">
      <c r="A29" s="11" t="s">
        <v>42</v>
      </c>
      <c r="B29" s="12">
        <v>0.0</v>
      </c>
      <c r="C29" s="13"/>
      <c r="D29" s="12">
        <v>2.0</v>
      </c>
      <c r="E29" s="13">
        <v>2.29E-4</v>
      </c>
      <c r="F29" s="12">
        <v>6.0</v>
      </c>
      <c r="G29" s="13">
        <v>6.88E-4</v>
      </c>
      <c r="H29" s="12">
        <v>0.0</v>
      </c>
      <c r="I29" s="13"/>
      <c r="J29" s="12">
        <v>0.0</v>
      </c>
      <c r="K29" s="13"/>
      <c r="L29" s="12">
        <v>0.0</v>
      </c>
      <c r="M29" s="13"/>
      <c r="N29" s="12">
        <v>0.0</v>
      </c>
      <c r="O29" s="13"/>
      <c r="P29" s="12">
        <v>0.0</v>
      </c>
      <c r="Q29" s="13"/>
      <c r="R29" s="12">
        <v>0.0</v>
      </c>
      <c r="S29" s="13"/>
      <c r="T29" s="12">
        <v>0.0</v>
      </c>
      <c r="U29" s="13"/>
      <c r="V29" s="12">
        <v>0.0</v>
      </c>
      <c r="W29" s="13"/>
      <c r="X29" s="12">
        <v>0.0</v>
      </c>
      <c r="Y29" s="13"/>
      <c r="Z29" s="12">
        <v>1.0</v>
      </c>
      <c r="AA29" s="13">
        <v>1.15E-4</v>
      </c>
      <c r="AB29" s="12">
        <v>0.0</v>
      </c>
      <c r="AC29" s="13"/>
    </row>
    <row r="30" ht="14.25" customHeight="1">
      <c r="A30" s="11" t="s">
        <v>43</v>
      </c>
      <c r="B30" s="12">
        <v>2.0</v>
      </c>
      <c r="C30" s="13">
        <v>2.13E-4</v>
      </c>
      <c r="D30" s="12">
        <v>0.0</v>
      </c>
      <c r="E30" s="13"/>
      <c r="F30" s="12">
        <v>1.0</v>
      </c>
      <c r="G30" s="13">
        <v>1.07E-4</v>
      </c>
      <c r="H30" s="12">
        <v>0.0</v>
      </c>
      <c r="I30" s="13"/>
      <c r="J30" s="12">
        <v>0.0</v>
      </c>
      <c r="K30" s="13"/>
      <c r="L30" s="12">
        <v>0.0</v>
      </c>
      <c r="M30" s="13"/>
      <c r="N30" s="12">
        <v>0.0</v>
      </c>
      <c r="O30" s="13"/>
      <c r="P30" s="12">
        <v>0.0</v>
      </c>
      <c r="Q30" s="13"/>
      <c r="R30" s="12">
        <v>0.0</v>
      </c>
      <c r="S30" s="13"/>
      <c r="T30" s="12">
        <v>0.0</v>
      </c>
      <c r="U30" s="13"/>
      <c r="V30" s="12">
        <v>0.0</v>
      </c>
      <c r="W30" s="13"/>
      <c r="X30" s="12">
        <v>0.0</v>
      </c>
      <c r="Y30" s="13"/>
      <c r="Z30" s="12">
        <v>40.0</v>
      </c>
      <c r="AA30" s="13">
        <v>0.004261</v>
      </c>
      <c r="AB30" s="12">
        <v>0.0</v>
      </c>
      <c r="AC30" s="13"/>
    </row>
    <row r="31" ht="14.25" customHeight="1">
      <c r="A31" s="11" t="s">
        <v>44</v>
      </c>
      <c r="B31" s="12">
        <v>13.0</v>
      </c>
      <c r="C31" s="13">
        <v>0.001271</v>
      </c>
      <c r="D31" s="12">
        <v>1.0</v>
      </c>
      <c r="E31" s="13">
        <v>9.8E-5</v>
      </c>
      <c r="F31" s="12">
        <v>7.0</v>
      </c>
      <c r="G31" s="13">
        <v>6.84E-4</v>
      </c>
      <c r="H31" s="12">
        <v>2.0</v>
      </c>
      <c r="I31" s="13">
        <v>1.95E-4</v>
      </c>
      <c r="J31" s="12">
        <v>0.0</v>
      </c>
      <c r="K31" s="13"/>
      <c r="L31" s="12">
        <v>0.0</v>
      </c>
      <c r="M31" s="13"/>
      <c r="N31" s="12">
        <v>0.0</v>
      </c>
      <c r="O31" s="13"/>
      <c r="P31" s="12">
        <v>0.0</v>
      </c>
      <c r="Q31" s="13"/>
      <c r="R31" s="12">
        <v>0.0</v>
      </c>
      <c r="S31" s="13"/>
      <c r="T31" s="12">
        <v>0.0</v>
      </c>
      <c r="U31" s="13"/>
      <c r="V31" s="12">
        <v>0.0</v>
      </c>
      <c r="W31" s="13"/>
      <c r="X31" s="12">
        <v>0.0</v>
      </c>
      <c r="Y31" s="13"/>
      <c r="Z31" s="12">
        <v>6.0</v>
      </c>
      <c r="AA31" s="13">
        <v>5.86E-4</v>
      </c>
      <c r="AB31" s="12">
        <v>0.0</v>
      </c>
      <c r="AC31" s="13"/>
    </row>
    <row r="32" ht="14.25" customHeight="1">
      <c r="A32" s="11" t="s">
        <v>45</v>
      </c>
      <c r="B32" s="12">
        <v>2.0</v>
      </c>
      <c r="C32" s="13">
        <v>1.75E-4</v>
      </c>
      <c r="D32" s="12">
        <v>0.0</v>
      </c>
      <c r="E32" s="13"/>
      <c r="F32" s="12">
        <v>27.0</v>
      </c>
      <c r="G32" s="13">
        <v>0.002356</v>
      </c>
      <c r="H32" s="12">
        <v>2.0</v>
      </c>
      <c r="I32" s="13">
        <v>1.75E-4</v>
      </c>
      <c r="J32" s="12">
        <v>0.0</v>
      </c>
      <c r="K32" s="13"/>
      <c r="L32" s="12">
        <v>0.0</v>
      </c>
      <c r="M32" s="13"/>
      <c r="N32" s="12">
        <v>0.0</v>
      </c>
      <c r="O32" s="13"/>
      <c r="P32" s="12">
        <v>1.0</v>
      </c>
      <c r="Q32" s="13">
        <v>8.7E-5</v>
      </c>
      <c r="R32" s="12">
        <v>0.0</v>
      </c>
      <c r="S32" s="13"/>
      <c r="T32" s="12">
        <v>0.0</v>
      </c>
      <c r="U32" s="13"/>
      <c r="V32" s="12">
        <v>0.0</v>
      </c>
      <c r="W32" s="13"/>
      <c r="X32" s="12">
        <v>0.0</v>
      </c>
      <c r="Y32" s="13"/>
      <c r="Z32" s="12">
        <v>4.0</v>
      </c>
      <c r="AA32" s="13">
        <v>3.49E-4</v>
      </c>
      <c r="AB32" s="12">
        <v>0.0</v>
      </c>
      <c r="AC32" s="13"/>
    </row>
    <row r="33" ht="14.25" customHeight="1">
      <c r="A33" s="11" t="s">
        <v>46</v>
      </c>
      <c r="B33" s="12">
        <v>12.0</v>
      </c>
      <c r="C33" s="13">
        <v>0.001086</v>
      </c>
      <c r="D33" s="12">
        <v>0.0</v>
      </c>
      <c r="E33" s="13"/>
      <c r="F33" s="12">
        <v>5.0</v>
      </c>
      <c r="G33" s="13">
        <v>4.53E-4</v>
      </c>
      <c r="H33" s="12">
        <v>0.0</v>
      </c>
      <c r="I33" s="13"/>
      <c r="J33" s="12">
        <v>0.0</v>
      </c>
      <c r="K33" s="13"/>
      <c r="L33" s="12">
        <v>1.0</v>
      </c>
      <c r="M33" s="13">
        <v>9.1E-5</v>
      </c>
      <c r="N33" s="12">
        <v>0.0</v>
      </c>
      <c r="O33" s="13"/>
      <c r="P33" s="12">
        <v>0.0</v>
      </c>
      <c r="Q33" s="13"/>
      <c r="R33" s="12">
        <v>0.0</v>
      </c>
      <c r="S33" s="13"/>
      <c r="T33" s="12">
        <v>0.0</v>
      </c>
      <c r="U33" s="13"/>
      <c r="V33" s="12">
        <v>1.0</v>
      </c>
      <c r="W33" s="13">
        <v>9.1E-5</v>
      </c>
      <c r="X33" s="12">
        <v>0.0</v>
      </c>
      <c r="Y33" s="13"/>
      <c r="Z33" s="12">
        <v>47.0</v>
      </c>
      <c r="AA33" s="13">
        <v>0.004255</v>
      </c>
      <c r="AB33" s="12">
        <v>0.0</v>
      </c>
      <c r="AC33" s="13"/>
    </row>
    <row r="34" ht="14.25" customHeight="1">
      <c r="A34" s="11" t="s">
        <v>47</v>
      </c>
      <c r="B34" s="12">
        <v>18.0</v>
      </c>
      <c r="C34" s="13">
        <v>0.001568</v>
      </c>
      <c r="D34" s="12">
        <v>6.0</v>
      </c>
      <c r="E34" s="13">
        <v>5.23E-4</v>
      </c>
      <c r="F34" s="12">
        <v>17.0</v>
      </c>
      <c r="G34" s="13">
        <v>0.001481</v>
      </c>
      <c r="H34" s="12">
        <v>0.0</v>
      </c>
      <c r="I34" s="13"/>
      <c r="J34" s="12">
        <v>0.0</v>
      </c>
      <c r="K34" s="13"/>
      <c r="L34" s="12">
        <v>1.0</v>
      </c>
      <c r="M34" s="13">
        <v>8.7E-5</v>
      </c>
      <c r="N34" s="12">
        <v>0.0</v>
      </c>
      <c r="O34" s="13"/>
      <c r="P34" s="12">
        <v>0.0</v>
      </c>
      <c r="Q34" s="13"/>
      <c r="R34" s="12">
        <v>0.0</v>
      </c>
      <c r="S34" s="13"/>
      <c r="T34" s="12">
        <v>0.0</v>
      </c>
      <c r="U34" s="13"/>
      <c r="V34" s="12">
        <v>0.0</v>
      </c>
      <c r="W34" s="13"/>
      <c r="X34" s="12">
        <v>0.0</v>
      </c>
      <c r="Y34" s="13"/>
      <c r="Z34" s="12">
        <v>3.0</v>
      </c>
      <c r="AA34" s="13">
        <v>2.61E-4</v>
      </c>
      <c r="AB34" s="12">
        <v>0.0</v>
      </c>
      <c r="AC34" s="13"/>
    </row>
    <row r="35" ht="14.25" customHeight="1">
      <c r="A35" s="11" t="s">
        <v>48</v>
      </c>
      <c r="B35" s="12">
        <v>0.0</v>
      </c>
      <c r="C35" s="13"/>
      <c r="D35" s="12">
        <v>0.0</v>
      </c>
      <c r="E35" s="13"/>
      <c r="F35" s="12">
        <v>7.0</v>
      </c>
      <c r="G35" s="13">
        <v>6.57E-4</v>
      </c>
      <c r="H35" s="12">
        <v>0.0</v>
      </c>
      <c r="I35" s="13"/>
      <c r="J35" s="12">
        <v>0.0</v>
      </c>
      <c r="K35" s="13"/>
      <c r="L35" s="12">
        <v>1.0</v>
      </c>
      <c r="M35" s="13">
        <v>9.4E-5</v>
      </c>
      <c r="N35" s="12">
        <v>0.0</v>
      </c>
      <c r="O35" s="13"/>
      <c r="P35" s="12">
        <v>0.0</v>
      </c>
      <c r="Q35" s="13"/>
      <c r="R35" s="12">
        <v>0.0</v>
      </c>
      <c r="S35" s="13"/>
      <c r="T35" s="12">
        <v>0.0</v>
      </c>
      <c r="U35" s="13"/>
      <c r="V35" s="12">
        <v>0.0</v>
      </c>
      <c r="W35" s="13"/>
      <c r="X35" s="12">
        <v>0.0</v>
      </c>
      <c r="Y35" s="13"/>
      <c r="Z35" s="12">
        <v>12.0</v>
      </c>
      <c r="AA35" s="13">
        <v>0.001127</v>
      </c>
      <c r="AB35" s="12">
        <v>0.0</v>
      </c>
      <c r="AC35" s="13"/>
    </row>
    <row r="36" ht="14.25" customHeight="1">
      <c r="A36" s="11" t="s">
        <v>49</v>
      </c>
      <c r="B36" s="12">
        <v>3.0</v>
      </c>
      <c r="C36" s="13">
        <v>2.8E-4</v>
      </c>
      <c r="D36" s="12">
        <v>1.0</v>
      </c>
      <c r="E36" s="13">
        <v>9.3E-5</v>
      </c>
      <c r="F36" s="12">
        <v>41.0</v>
      </c>
      <c r="G36" s="13">
        <v>0.003832</v>
      </c>
      <c r="H36" s="12">
        <v>2.0</v>
      </c>
      <c r="I36" s="13">
        <v>1.87E-4</v>
      </c>
      <c r="J36" s="12">
        <v>0.0</v>
      </c>
      <c r="K36" s="13"/>
      <c r="L36" s="12">
        <v>0.0</v>
      </c>
      <c r="M36" s="13"/>
      <c r="N36" s="12">
        <v>0.0</v>
      </c>
      <c r="O36" s="13"/>
      <c r="P36" s="12">
        <v>0.0</v>
      </c>
      <c r="Q36" s="13"/>
      <c r="R36" s="12">
        <v>0.0</v>
      </c>
      <c r="S36" s="13"/>
      <c r="T36" s="12">
        <v>0.0</v>
      </c>
      <c r="U36" s="13"/>
      <c r="V36" s="12">
        <v>0.0</v>
      </c>
      <c r="W36" s="13"/>
      <c r="X36" s="12">
        <v>0.0</v>
      </c>
      <c r="Y36" s="13"/>
      <c r="Z36" s="12">
        <v>9.0</v>
      </c>
      <c r="AA36" s="13">
        <v>8.41E-4</v>
      </c>
      <c r="AB36" s="12">
        <v>0.0</v>
      </c>
      <c r="AC36" s="13"/>
    </row>
    <row r="37" ht="14.25" customHeight="1">
      <c r="A37" s="11" t="s">
        <v>50</v>
      </c>
      <c r="B37" s="12">
        <v>1.0</v>
      </c>
      <c r="C37" s="13">
        <v>9.7E-5</v>
      </c>
      <c r="D37" s="12">
        <v>7.0</v>
      </c>
      <c r="E37" s="13">
        <v>6.79E-4</v>
      </c>
      <c r="F37" s="12">
        <v>5.0</v>
      </c>
      <c r="G37" s="13">
        <v>4.85E-4</v>
      </c>
      <c r="H37" s="12">
        <v>1.0</v>
      </c>
      <c r="I37" s="13">
        <v>9.7E-5</v>
      </c>
      <c r="J37" s="12">
        <v>0.0</v>
      </c>
      <c r="K37" s="13"/>
      <c r="L37" s="12">
        <v>1.0</v>
      </c>
      <c r="M37" s="13">
        <v>9.7E-5</v>
      </c>
      <c r="N37" s="12">
        <v>0.0</v>
      </c>
      <c r="O37" s="13"/>
      <c r="P37" s="12">
        <v>0.0</v>
      </c>
      <c r="Q37" s="13"/>
      <c r="R37" s="12">
        <v>0.0</v>
      </c>
      <c r="S37" s="13"/>
      <c r="T37" s="12">
        <v>0.0</v>
      </c>
      <c r="U37" s="13"/>
      <c r="V37" s="12">
        <v>0.0</v>
      </c>
      <c r="W37" s="13"/>
      <c r="X37" s="12">
        <v>0.0</v>
      </c>
      <c r="Y37" s="13"/>
      <c r="Z37" s="12">
        <v>10.0</v>
      </c>
      <c r="AA37" s="13">
        <v>9.69E-4</v>
      </c>
      <c r="AB37" s="12">
        <v>0.0</v>
      </c>
      <c r="AC37" s="13"/>
    </row>
    <row r="38" ht="14.25" customHeight="1">
      <c r="A38" s="11" t="s">
        <v>51</v>
      </c>
      <c r="B38" s="12">
        <v>5.0</v>
      </c>
      <c r="C38" s="13">
        <v>4.51E-4</v>
      </c>
      <c r="D38" s="12">
        <v>14.0</v>
      </c>
      <c r="E38" s="13">
        <v>0.001264</v>
      </c>
      <c r="F38" s="12">
        <v>16.0</v>
      </c>
      <c r="G38" s="13">
        <v>0.001444</v>
      </c>
      <c r="H38" s="12">
        <v>0.0</v>
      </c>
      <c r="I38" s="13"/>
      <c r="J38" s="12">
        <v>1.0</v>
      </c>
      <c r="K38" s="13">
        <v>9.0E-5</v>
      </c>
      <c r="L38" s="12">
        <v>1.0</v>
      </c>
      <c r="M38" s="13">
        <v>9.0E-5</v>
      </c>
      <c r="N38" s="12">
        <v>0.0</v>
      </c>
      <c r="O38" s="13"/>
      <c r="P38" s="12">
        <v>0.0</v>
      </c>
      <c r="Q38" s="13"/>
      <c r="R38" s="12">
        <v>0.0</v>
      </c>
      <c r="S38" s="13"/>
      <c r="T38" s="12">
        <v>0.0</v>
      </c>
      <c r="U38" s="13"/>
      <c r="V38" s="12">
        <v>0.0</v>
      </c>
      <c r="W38" s="13"/>
      <c r="X38" s="12">
        <v>0.0</v>
      </c>
      <c r="Y38" s="13"/>
      <c r="Z38" s="12">
        <v>5.0</v>
      </c>
      <c r="AA38" s="13">
        <v>4.51E-4</v>
      </c>
      <c r="AB38" s="12">
        <v>0.0</v>
      </c>
      <c r="AC38" s="13"/>
    </row>
    <row r="39" ht="14.25" customHeight="1">
      <c r="A39" s="11" t="s">
        <v>52</v>
      </c>
      <c r="B39" s="12">
        <v>7.0</v>
      </c>
      <c r="C39" s="13">
        <v>6.4E-4</v>
      </c>
      <c r="D39" s="12">
        <v>19.0</v>
      </c>
      <c r="E39" s="13">
        <v>0.001736</v>
      </c>
      <c r="F39" s="12">
        <v>14.0</v>
      </c>
      <c r="G39" s="13">
        <v>0.001279</v>
      </c>
      <c r="H39" s="12">
        <v>3.0</v>
      </c>
      <c r="I39" s="13">
        <v>2.74E-4</v>
      </c>
      <c r="J39" s="12">
        <v>0.0</v>
      </c>
      <c r="K39" s="13"/>
      <c r="L39" s="12">
        <v>0.0</v>
      </c>
      <c r="M39" s="13"/>
      <c r="N39" s="12">
        <v>0.0</v>
      </c>
      <c r="O39" s="13"/>
      <c r="P39" s="12">
        <v>0.0</v>
      </c>
      <c r="Q39" s="13"/>
      <c r="R39" s="12">
        <v>0.0</v>
      </c>
      <c r="S39" s="13"/>
      <c r="T39" s="12">
        <v>0.0</v>
      </c>
      <c r="U39" s="13"/>
      <c r="V39" s="12">
        <v>0.0</v>
      </c>
      <c r="W39" s="13"/>
      <c r="X39" s="12">
        <v>0.0</v>
      </c>
      <c r="Y39" s="13"/>
      <c r="Z39" s="12">
        <v>6.0</v>
      </c>
      <c r="AA39" s="13">
        <v>5.48E-4</v>
      </c>
      <c r="AB39" s="12">
        <v>0.0</v>
      </c>
      <c r="AC39" s="13"/>
    </row>
    <row r="40" ht="14.25" customHeight="1">
      <c r="A40" s="11" t="s">
        <v>53</v>
      </c>
      <c r="B40" s="12">
        <v>3.0</v>
      </c>
      <c r="C40" s="13">
        <v>2.62E-4</v>
      </c>
      <c r="D40" s="12">
        <v>27.0</v>
      </c>
      <c r="E40" s="13">
        <v>0.002358</v>
      </c>
      <c r="F40" s="12">
        <v>36.0</v>
      </c>
      <c r="G40" s="13">
        <v>0.003144</v>
      </c>
      <c r="H40" s="12">
        <v>3.0</v>
      </c>
      <c r="I40" s="13">
        <v>2.62E-4</v>
      </c>
      <c r="J40" s="12">
        <v>0.0</v>
      </c>
      <c r="K40" s="13"/>
      <c r="L40" s="12">
        <v>1.0</v>
      </c>
      <c r="M40" s="13">
        <v>8.7E-5</v>
      </c>
      <c r="N40" s="12">
        <v>0.0</v>
      </c>
      <c r="O40" s="13"/>
      <c r="P40" s="12">
        <v>1.0</v>
      </c>
      <c r="Q40" s="13">
        <v>8.7E-5</v>
      </c>
      <c r="R40" s="12">
        <v>0.0</v>
      </c>
      <c r="S40" s="13"/>
      <c r="T40" s="12">
        <v>0.0</v>
      </c>
      <c r="U40" s="13"/>
      <c r="V40" s="12">
        <v>0.0</v>
      </c>
      <c r="W40" s="13"/>
      <c r="X40" s="12">
        <v>0.0</v>
      </c>
      <c r="Y40" s="13"/>
      <c r="Z40" s="12">
        <v>3.0</v>
      </c>
      <c r="AA40" s="13">
        <v>2.62E-4</v>
      </c>
      <c r="AB40" s="12">
        <v>0.0</v>
      </c>
      <c r="AC40" s="13"/>
    </row>
    <row r="41" ht="14.25" customHeight="1">
      <c r="A41" s="11" t="s">
        <v>54</v>
      </c>
      <c r="B41" s="12">
        <v>6.0</v>
      </c>
      <c r="C41" s="13">
        <v>4.82E-4</v>
      </c>
      <c r="D41" s="12">
        <v>41.0</v>
      </c>
      <c r="E41" s="13">
        <v>0.003296</v>
      </c>
      <c r="F41" s="12">
        <v>6.0</v>
      </c>
      <c r="G41" s="13">
        <v>4.82E-4</v>
      </c>
      <c r="H41" s="12">
        <v>4.0</v>
      </c>
      <c r="I41" s="13">
        <v>3.22E-4</v>
      </c>
      <c r="J41" s="12">
        <v>5.0</v>
      </c>
      <c r="K41" s="13">
        <v>4.02E-4</v>
      </c>
      <c r="L41" s="12">
        <v>0.0</v>
      </c>
      <c r="M41" s="13"/>
      <c r="N41" s="12">
        <v>0.0</v>
      </c>
      <c r="O41" s="13"/>
      <c r="P41" s="12">
        <v>2.0</v>
      </c>
      <c r="Q41" s="13">
        <v>1.61E-4</v>
      </c>
      <c r="R41" s="12">
        <v>0.0</v>
      </c>
      <c r="S41" s="13"/>
      <c r="T41" s="12">
        <v>0.0</v>
      </c>
      <c r="U41" s="13"/>
      <c r="V41" s="12">
        <v>0.0</v>
      </c>
      <c r="W41" s="13"/>
      <c r="X41" s="12">
        <v>1.0</v>
      </c>
      <c r="Y41" s="13">
        <v>8.0E-5</v>
      </c>
      <c r="Z41" s="12">
        <v>3.0</v>
      </c>
      <c r="AA41" s="13">
        <v>2.41E-4</v>
      </c>
      <c r="AB41" s="12">
        <v>0.0</v>
      </c>
      <c r="AC41" s="13"/>
    </row>
    <row r="42" ht="14.25" customHeight="1">
      <c r="A42" s="11" t="s">
        <v>55</v>
      </c>
      <c r="B42" s="12">
        <v>13.0</v>
      </c>
      <c r="C42" s="13">
        <v>8.83E-4</v>
      </c>
      <c r="D42" s="12">
        <v>30.0</v>
      </c>
      <c r="E42" s="13">
        <v>0.002039</v>
      </c>
      <c r="F42" s="12">
        <v>6.0</v>
      </c>
      <c r="G42" s="13">
        <v>4.08E-4</v>
      </c>
      <c r="H42" s="12">
        <v>8.0</v>
      </c>
      <c r="I42" s="13">
        <v>5.44E-4</v>
      </c>
      <c r="J42" s="12">
        <v>0.0</v>
      </c>
      <c r="K42" s="13"/>
      <c r="L42" s="12">
        <v>1.0</v>
      </c>
      <c r="M42" s="13">
        <v>6.8E-5</v>
      </c>
      <c r="N42" s="12">
        <v>0.0</v>
      </c>
      <c r="O42" s="13"/>
      <c r="P42" s="12">
        <v>1.0</v>
      </c>
      <c r="Q42" s="13">
        <v>6.8E-5</v>
      </c>
      <c r="R42" s="12">
        <v>0.0</v>
      </c>
      <c r="S42" s="13"/>
      <c r="T42" s="12">
        <v>0.0</v>
      </c>
      <c r="U42" s="13"/>
      <c r="V42" s="12">
        <v>0.0</v>
      </c>
      <c r="W42" s="13"/>
      <c r="X42" s="12">
        <v>0.0</v>
      </c>
      <c r="Y42" s="13"/>
      <c r="Z42" s="12">
        <v>7.0</v>
      </c>
      <c r="AA42" s="13">
        <v>4.76E-4</v>
      </c>
      <c r="AB42" s="12">
        <v>0.0</v>
      </c>
      <c r="AC42" s="13"/>
    </row>
    <row r="43" ht="14.25" customHeight="1">
      <c r="A43" s="11" t="s">
        <v>56</v>
      </c>
      <c r="B43" s="12">
        <v>6.0</v>
      </c>
      <c r="C43" s="13">
        <v>4.22E-4</v>
      </c>
      <c r="D43" s="12">
        <v>42.0</v>
      </c>
      <c r="E43" s="13">
        <v>0.002955</v>
      </c>
      <c r="F43" s="12">
        <v>8.0</v>
      </c>
      <c r="G43" s="13">
        <v>5.63E-4</v>
      </c>
      <c r="H43" s="12">
        <v>6.0</v>
      </c>
      <c r="I43" s="13">
        <v>4.22E-4</v>
      </c>
      <c r="J43" s="12">
        <v>0.0</v>
      </c>
      <c r="K43" s="13"/>
      <c r="L43" s="12">
        <v>1.0</v>
      </c>
      <c r="M43" s="13">
        <v>7.0E-5</v>
      </c>
      <c r="N43" s="12">
        <v>0.0</v>
      </c>
      <c r="O43" s="13"/>
      <c r="P43" s="12">
        <v>0.0</v>
      </c>
      <c r="Q43" s="13"/>
      <c r="R43" s="12">
        <v>0.0</v>
      </c>
      <c r="S43" s="13"/>
      <c r="T43" s="12">
        <v>0.0</v>
      </c>
      <c r="U43" s="13"/>
      <c r="V43" s="12">
        <v>0.0</v>
      </c>
      <c r="W43" s="13"/>
      <c r="X43" s="12">
        <v>0.0</v>
      </c>
      <c r="Y43" s="13"/>
      <c r="Z43" s="12">
        <v>4.0</v>
      </c>
      <c r="AA43" s="13">
        <v>2.81E-4</v>
      </c>
      <c r="AB43" s="12">
        <v>0.0</v>
      </c>
      <c r="AC43" s="13"/>
    </row>
    <row r="44" ht="14.25" customHeight="1">
      <c r="A44" s="11" t="s">
        <v>57</v>
      </c>
      <c r="B44" s="14">
        <v>14.0</v>
      </c>
      <c r="C44" s="13">
        <v>7.51E-4</v>
      </c>
      <c r="D44" s="14">
        <v>45.0</v>
      </c>
      <c r="E44" s="13">
        <v>0.002413</v>
      </c>
      <c r="F44" s="14">
        <v>11.0</v>
      </c>
      <c r="G44" s="13">
        <v>5.9E-4</v>
      </c>
      <c r="H44" s="14">
        <v>22.0</v>
      </c>
      <c r="I44" s="13">
        <v>0.00118</v>
      </c>
      <c r="J44" s="14">
        <v>0.0</v>
      </c>
      <c r="K44" s="13"/>
      <c r="L44" s="14">
        <v>0.0</v>
      </c>
      <c r="M44" s="13"/>
      <c r="N44" s="14">
        <v>0.0</v>
      </c>
      <c r="O44" s="13"/>
      <c r="P44" s="14">
        <v>0.0</v>
      </c>
      <c r="Q44" s="13"/>
      <c r="R44" s="14">
        <v>0.0</v>
      </c>
      <c r="S44" s="13"/>
      <c r="T44" s="14">
        <v>0.0</v>
      </c>
      <c r="U44" s="13"/>
      <c r="V44" s="14">
        <v>0.0</v>
      </c>
      <c r="W44" s="13"/>
      <c r="X44" s="14">
        <v>1.0</v>
      </c>
      <c r="Y44" s="13">
        <v>5.4E-5</v>
      </c>
      <c r="Z44" s="14">
        <v>6.0</v>
      </c>
      <c r="AA44" s="13">
        <v>3.22E-4</v>
      </c>
      <c r="AB44" s="12">
        <v>0.0</v>
      </c>
      <c r="AC44" s="13"/>
    </row>
    <row r="45" ht="14.25" customHeight="1">
      <c r="A45" s="11" t="s">
        <v>58</v>
      </c>
      <c r="B45" s="14">
        <v>33.0</v>
      </c>
      <c r="C45" s="13">
        <v>0.00168</v>
      </c>
      <c r="D45" s="14">
        <v>72.0</v>
      </c>
      <c r="E45" s="13">
        <v>0.003665</v>
      </c>
      <c r="F45" s="14">
        <v>54.0</v>
      </c>
      <c r="G45" s="13">
        <v>0.002749</v>
      </c>
      <c r="H45" s="14">
        <v>25.0</v>
      </c>
      <c r="I45" s="13">
        <v>0.001273</v>
      </c>
      <c r="J45" s="14">
        <v>0.0</v>
      </c>
      <c r="K45" s="13"/>
      <c r="L45" s="14">
        <v>1.0</v>
      </c>
      <c r="M45" s="13">
        <v>5.1E-5</v>
      </c>
      <c r="N45" s="14">
        <v>0.0</v>
      </c>
      <c r="O45" s="13"/>
      <c r="P45" s="14">
        <v>1.0</v>
      </c>
      <c r="Q45" s="13">
        <v>5.1E-5</v>
      </c>
      <c r="R45" s="14">
        <v>0.0</v>
      </c>
      <c r="S45" s="13"/>
      <c r="T45" s="14">
        <v>0.0</v>
      </c>
      <c r="U45" s="13"/>
      <c r="V45" s="14">
        <v>0.0</v>
      </c>
      <c r="W45" s="13"/>
      <c r="X45" s="14">
        <v>0.0</v>
      </c>
      <c r="Y45" s="13"/>
      <c r="Z45" s="14">
        <v>84.0</v>
      </c>
      <c r="AA45" s="13">
        <v>0.004276</v>
      </c>
      <c r="AB45" s="12">
        <v>0.0</v>
      </c>
      <c r="AC45" s="13"/>
    </row>
    <row r="46" ht="14.25" customHeight="1">
      <c r="A46" s="11" t="s">
        <v>59</v>
      </c>
      <c r="B46" s="14">
        <v>46.0</v>
      </c>
      <c r="C46" s="13">
        <v>0.00204</v>
      </c>
      <c r="D46" s="14">
        <v>77.0</v>
      </c>
      <c r="E46" s="13">
        <v>0.003416</v>
      </c>
      <c r="F46" s="14">
        <v>11.0</v>
      </c>
      <c r="G46" s="13">
        <v>4.88E-4</v>
      </c>
      <c r="H46" s="14">
        <v>34.0</v>
      </c>
      <c r="I46" s="13">
        <v>0.001508</v>
      </c>
      <c r="J46" s="14">
        <v>0.0</v>
      </c>
      <c r="K46" s="13"/>
      <c r="L46" s="14">
        <v>3.0</v>
      </c>
      <c r="M46" s="13">
        <v>1.33E-4</v>
      </c>
      <c r="N46" s="14">
        <v>0.0</v>
      </c>
      <c r="O46" s="13"/>
      <c r="P46" s="14">
        <v>0.0</v>
      </c>
      <c r="Q46" s="13"/>
      <c r="R46" s="14">
        <v>0.0</v>
      </c>
      <c r="S46" s="13"/>
      <c r="T46" s="14">
        <v>0.0</v>
      </c>
      <c r="U46" s="13"/>
      <c r="V46" s="14">
        <v>0.0</v>
      </c>
      <c r="W46" s="13"/>
      <c r="X46" s="14">
        <v>0.0</v>
      </c>
      <c r="Y46" s="13"/>
      <c r="Z46" s="14">
        <v>5.0</v>
      </c>
      <c r="AA46" s="13">
        <v>2.22E-4</v>
      </c>
      <c r="AB46" s="12">
        <v>0.0</v>
      </c>
      <c r="AC46" s="13"/>
    </row>
    <row r="47" ht="14.25" customHeight="1">
      <c r="A47" s="11" t="s">
        <v>60</v>
      </c>
      <c r="B47" s="14">
        <v>88.0</v>
      </c>
      <c r="C47" s="13">
        <v>0.003709</v>
      </c>
      <c r="D47" s="14">
        <v>114.0</v>
      </c>
      <c r="E47" s="13">
        <v>0.004805</v>
      </c>
      <c r="F47" s="14">
        <v>55.0</v>
      </c>
      <c r="G47" s="13">
        <v>0.002318</v>
      </c>
      <c r="H47" s="14">
        <v>47.0</v>
      </c>
      <c r="I47" s="13">
        <v>0.001981</v>
      </c>
      <c r="J47" s="14">
        <v>0.0</v>
      </c>
      <c r="K47" s="13"/>
      <c r="L47" s="14">
        <v>4.0</v>
      </c>
      <c r="M47" s="13">
        <v>1.69E-4</v>
      </c>
      <c r="N47" s="14">
        <v>0.0</v>
      </c>
      <c r="O47" s="13"/>
      <c r="P47" s="14">
        <v>0.0</v>
      </c>
      <c r="Q47" s="13"/>
      <c r="R47" s="14">
        <v>0.0</v>
      </c>
      <c r="S47" s="13"/>
      <c r="T47" s="14">
        <v>0.0</v>
      </c>
      <c r="U47" s="13"/>
      <c r="V47" s="14">
        <v>0.0</v>
      </c>
      <c r="W47" s="13"/>
      <c r="X47" s="14">
        <v>0.0</v>
      </c>
      <c r="Y47" s="13"/>
      <c r="Z47" s="14">
        <v>5.0</v>
      </c>
      <c r="AA47" s="13">
        <v>2.11E-4</v>
      </c>
      <c r="AB47" s="12">
        <v>0.0</v>
      </c>
      <c r="AC47" s="13"/>
    </row>
    <row r="48" ht="14.25" customHeight="1">
      <c r="A48" s="11" t="s">
        <v>61</v>
      </c>
      <c r="B48" s="14">
        <v>310.0</v>
      </c>
      <c r="C48" s="13">
        <v>0.009989</v>
      </c>
      <c r="D48" s="14">
        <v>172.0</v>
      </c>
      <c r="E48" s="13">
        <v>0.005542</v>
      </c>
      <c r="F48" s="14">
        <v>33.0</v>
      </c>
      <c r="G48" s="13">
        <v>0.001063</v>
      </c>
      <c r="H48" s="14">
        <v>82.0</v>
      </c>
      <c r="I48" s="13">
        <v>0.002642</v>
      </c>
      <c r="J48" s="14">
        <v>1.0</v>
      </c>
      <c r="K48" s="13">
        <v>3.2E-5</v>
      </c>
      <c r="L48" s="14">
        <v>1.0</v>
      </c>
      <c r="M48" s="13">
        <v>3.2E-5</v>
      </c>
      <c r="N48" s="14">
        <v>0.0</v>
      </c>
      <c r="O48" s="13"/>
      <c r="P48" s="14">
        <v>1.0</v>
      </c>
      <c r="Q48" s="13">
        <v>3.2E-5</v>
      </c>
      <c r="R48" s="14">
        <v>0.0</v>
      </c>
      <c r="S48" s="13"/>
      <c r="T48" s="14">
        <v>0.0</v>
      </c>
      <c r="U48" s="13"/>
      <c r="V48" s="14">
        <v>1.0</v>
      </c>
      <c r="W48" s="13">
        <v>3.2E-5</v>
      </c>
      <c r="X48" s="14">
        <v>0.0</v>
      </c>
      <c r="Y48" s="13"/>
      <c r="Z48" s="14">
        <v>4.0</v>
      </c>
      <c r="AA48" s="13">
        <v>1.29E-4</v>
      </c>
      <c r="AB48" s="12">
        <v>0.0</v>
      </c>
      <c r="AC48" s="13"/>
    </row>
    <row r="49" ht="14.25" customHeight="1">
      <c r="A49" s="11" t="s">
        <v>62</v>
      </c>
      <c r="B49" s="14">
        <v>705.0</v>
      </c>
      <c r="C49" s="13">
        <v>0.02359</v>
      </c>
      <c r="D49" s="14">
        <v>119.0</v>
      </c>
      <c r="E49" s="13">
        <v>0.003982</v>
      </c>
      <c r="F49" s="14">
        <v>29.0</v>
      </c>
      <c r="G49" s="13">
        <v>9.7E-4</v>
      </c>
      <c r="H49" s="14">
        <v>103.0</v>
      </c>
      <c r="I49" s="13">
        <v>0.003446</v>
      </c>
      <c r="J49" s="14">
        <v>0.0</v>
      </c>
      <c r="K49" s="13"/>
      <c r="L49" s="14">
        <v>0.0</v>
      </c>
      <c r="M49" s="13"/>
      <c r="N49" s="14">
        <v>0.0</v>
      </c>
      <c r="O49" s="13"/>
      <c r="P49" s="14">
        <v>0.0</v>
      </c>
      <c r="Q49" s="13"/>
      <c r="R49" s="14">
        <v>0.0</v>
      </c>
      <c r="S49" s="13"/>
      <c r="T49" s="14">
        <v>0.0</v>
      </c>
      <c r="U49" s="13"/>
      <c r="V49" s="14">
        <v>0.0</v>
      </c>
      <c r="W49" s="13"/>
      <c r="X49" s="14">
        <v>0.0</v>
      </c>
      <c r="Y49" s="13"/>
      <c r="Z49" s="14">
        <v>36.0</v>
      </c>
      <c r="AA49" s="13">
        <v>0.001205</v>
      </c>
      <c r="AB49" s="12">
        <v>1.0</v>
      </c>
      <c r="AC49" s="13">
        <v>3.3E-5</v>
      </c>
    </row>
    <row r="50" ht="14.25" customHeight="1">
      <c r="A50" s="11" t="s">
        <v>63</v>
      </c>
      <c r="B50" s="14">
        <v>755.0</v>
      </c>
      <c r="C50" s="13">
        <v>0.030665</v>
      </c>
      <c r="D50" s="14">
        <v>197.0</v>
      </c>
      <c r="E50" s="13">
        <v>0.008001</v>
      </c>
      <c r="F50" s="14">
        <v>21.0</v>
      </c>
      <c r="G50" s="13">
        <v>8.53E-4</v>
      </c>
      <c r="H50" s="14">
        <v>109.0</v>
      </c>
      <c r="I50" s="13">
        <v>0.004427</v>
      </c>
      <c r="J50" s="14">
        <v>0.0</v>
      </c>
      <c r="K50" s="13"/>
      <c r="L50" s="14">
        <v>4.0</v>
      </c>
      <c r="M50" s="13">
        <v>1.62E-4</v>
      </c>
      <c r="N50" s="14">
        <v>0.0</v>
      </c>
      <c r="O50" s="13"/>
      <c r="P50" s="14">
        <v>3.0</v>
      </c>
      <c r="Q50" s="13">
        <v>1.22E-4</v>
      </c>
      <c r="R50" s="14">
        <v>0.0</v>
      </c>
      <c r="S50" s="13"/>
      <c r="T50" s="14">
        <v>0.0</v>
      </c>
      <c r="U50" s="13"/>
      <c r="V50" s="14">
        <v>0.0</v>
      </c>
      <c r="W50" s="13"/>
      <c r="X50" s="14">
        <v>0.0</v>
      </c>
      <c r="Y50" s="13"/>
      <c r="Z50" s="14">
        <v>3.0</v>
      </c>
      <c r="AA50" s="13">
        <v>1.22E-4</v>
      </c>
      <c r="AB50" s="12">
        <v>0.0</v>
      </c>
      <c r="AC50" s="13"/>
    </row>
    <row r="51" ht="14.25" customHeight="1">
      <c r="A51" s="11" t="s">
        <v>64</v>
      </c>
      <c r="B51" s="14">
        <v>504.0</v>
      </c>
      <c r="C51" s="13">
        <v>0.02306</v>
      </c>
      <c r="D51" s="14">
        <v>217.0</v>
      </c>
      <c r="E51" s="13">
        <v>0.009929</v>
      </c>
      <c r="F51" s="14">
        <v>12.0</v>
      </c>
      <c r="G51" s="13">
        <v>5.49E-4</v>
      </c>
      <c r="H51" s="14">
        <v>137.0</v>
      </c>
      <c r="I51" s="13">
        <v>0.006268</v>
      </c>
      <c r="J51" s="14">
        <v>0.0</v>
      </c>
      <c r="K51" s="13"/>
      <c r="L51" s="14">
        <v>0.0</v>
      </c>
      <c r="M51" s="13"/>
      <c r="N51" s="14">
        <v>0.0</v>
      </c>
      <c r="O51" s="13"/>
      <c r="P51" s="14">
        <v>3.0</v>
      </c>
      <c r="Q51" s="13">
        <v>1.37E-4</v>
      </c>
      <c r="R51" s="14">
        <v>0.0</v>
      </c>
      <c r="S51" s="13"/>
      <c r="T51" s="14">
        <v>1.0</v>
      </c>
      <c r="U51" s="13">
        <v>4.6E-5</v>
      </c>
      <c r="V51" s="14">
        <v>0.0</v>
      </c>
      <c r="W51" s="13"/>
      <c r="X51" s="14">
        <v>0.0</v>
      </c>
      <c r="Y51" s="13"/>
      <c r="Z51" s="14">
        <v>28.0</v>
      </c>
      <c r="AA51" s="13">
        <v>0.001281</v>
      </c>
      <c r="AB51" s="12">
        <v>0.0</v>
      </c>
      <c r="AC51" s="13"/>
    </row>
    <row r="52" ht="14.25" customHeight="1">
      <c r="A52" s="11" t="s">
        <v>65</v>
      </c>
      <c r="B52" s="14">
        <v>634.0</v>
      </c>
      <c r="C52" s="13">
        <v>0.023493</v>
      </c>
      <c r="D52" s="14">
        <v>257.0</v>
      </c>
      <c r="E52" s="13">
        <v>0.009523</v>
      </c>
      <c r="F52" s="14">
        <v>27.0</v>
      </c>
      <c r="G52" s="13">
        <v>0.001</v>
      </c>
      <c r="H52" s="14">
        <v>506.0</v>
      </c>
      <c r="I52" s="13">
        <v>0.01875</v>
      </c>
      <c r="J52" s="14">
        <v>0.0</v>
      </c>
      <c r="K52" s="13"/>
      <c r="L52" s="14">
        <v>7.0</v>
      </c>
      <c r="M52" s="13">
        <v>2.59E-4</v>
      </c>
      <c r="N52" s="14">
        <v>0.0</v>
      </c>
      <c r="O52" s="13"/>
      <c r="P52" s="14">
        <v>6.0</v>
      </c>
      <c r="Q52" s="13">
        <v>2.22E-4</v>
      </c>
      <c r="R52" s="14">
        <v>4.0</v>
      </c>
      <c r="S52" s="13">
        <v>1.48E-4</v>
      </c>
      <c r="T52" s="14">
        <v>0.0</v>
      </c>
      <c r="U52" s="13"/>
      <c r="V52" s="14">
        <v>0.0</v>
      </c>
      <c r="W52" s="13"/>
      <c r="X52" s="14">
        <v>0.0</v>
      </c>
      <c r="Y52" s="13"/>
      <c r="Z52" s="14">
        <v>2.0</v>
      </c>
      <c r="AA52" s="13">
        <v>7.4E-5</v>
      </c>
      <c r="AB52" s="12">
        <v>0.0</v>
      </c>
      <c r="AC52" s="13"/>
    </row>
    <row r="53" ht="14.25" customHeight="1">
      <c r="A53" s="11" t="s">
        <v>66</v>
      </c>
      <c r="B53" s="14">
        <v>3253.0</v>
      </c>
      <c r="C53" s="13">
        <v>0.085693</v>
      </c>
      <c r="D53" s="14">
        <v>334.0</v>
      </c>
      <c r="E53" s="13">
        <v>0.008799</v>
      </c>
      <c r="F53" s="14">
        <v>27.0</v>
      </c>
      <c r="G53" s="13">
        <v>7.11E-4</v>
      </c>
      <c r="H53" s="14">
        <v>1524.0</v>
      </c>
      <c r="I53" s="13">
        <v>0.040146</v>
      </c>
      <c r="J53" s="14">
        <v>6.0</v>
      </c>
      <c r="K53" s="13">
        <v>1.58E-4</v>
      </c>
      <c r="L53" s="14">
        <v>3.0</v>
      </c>
      <c r="M53" s="13">
        <v>7.9E-5</v>
      </c>
      <c r="N53" s="14">
        <v>0.0</v>
      </c>
      <c r="O53" s="13"/>
      <c r="P53" s="14">
        <v>13.0</v>
      </c>
      <c r="Q53" s="13">
        <v>3.42E-4</v>
      </c>
      <c r="R53" s="14">
        <v>2.0</v>
      </c>
      <c r="S53" s="13">
        <v>5.3E-5</v>
      </c>
      <c r="T53" s="14">
        <v>0.0</v>
      </c>
      <c r="U53" s="13"/>
      <c r="V53" s="14">
        <v>1.0</v>
      </c>
      <c r="W53" s="13">
        <v>2.6E-5</v>
      </c>
      <c r="X53" s="14">
        <v>0.0</v>
      </c>
      <c r="Y53" s="13"/>
      <c r="Z53" s="14">
        <v>20.0</v>
      </c>
      <c r="AA53" s="13">
        <v>5.27E-4</v>
      </c>
      <c r="AB53" s="12">
        <v>0.0</v>
      </c>
      <c r="AC53" s="13"/>
    </row>
    <row r="54" ht="14.25" customHeight="1">
      <c r="A54" s="11" t="s">
        <v>67</v>
      </c>
      <c r="B54" s="14">
        <v>5859.0</v>
      </c>
      <c r="C54" s="13">
        <v>0.13713</v>
      </c>
      <c r="D54" s="14">
        <v>430.0</v>
      </c>
      <c r="E54" s="13">
        <v>0.010064</v>
      </c>
      <c r="F54" s="14">
        <v>23.0</v>
      </c>
      <c r="G54" s="13">
        <v>5.38E-4</v>
      </c>
      <c r="H54" s="14">
        <v>1538.0</v>
      </c>
      <c r="I54" s="13">
        <v>0.035997</v>
      </c>
      <c r="J54" s="14">
        <v>15.0</v>
      </c>
      <c r="K54" s="13">
        <v>3.51E-4</v>
      </c>
      <c r="L54" s="14">
        <v>31.0</v>
      </c>
      <c r="M54" s="13">
        <v>7.26E-4</v>
      </c>
      <c r="N54" s="14">
        <v>0.0</v>
      </c>
      <c r="O54" s="13"/>
      <c r="P54" s="14">
        <v>7.0</v>
      </c>
      <c r="Q54" s="13">
        <v>1.64E-4</v>
      </c>
      <c r="R54" s="14">
        <v>3.0</v>
      </c>
      <c r="S54" s="13">
        <v>7.0E-5</v>
      </c>
      <c r="T54" s="14">
        <v>1.0</v>
      </c>
      <c r="U54" s="13">
        <v>2.3E-5</v>
      </c>
      <c r="V54" s="14">
        <v>1.0</v>
      </c>
      <c r="W54" s="13">
        <v>2.3E-5</v>
      </c>
      <c r="X54" s="14">
        <v>1.0</v>
      </c>
      <c r="Y54" s="13">
        <v>2.3E-5</v>
      </c>
      <c r="Z54" s="14">
        <v>22.0</v>
      </c>
      <c r="AA54" s="13">
        <v>5.15E-4</v>
      </c>
      <c r="AB54" s="12">
        <v>0.0</v>
      </c>
      <c r="AC54" s="13"/>
    </row>
    <row r="55" ht="14.25" customHeight="1">
      <c r="A55" s="11" t="s">
        <v>68</v>
      </c>
      <c r="B55" s="14">
        <v>4979.0</v>
      </c>
      <c r="C55" s="13">
        <v>0.14347</v>
      </c>
      <c r="D55" s="14">
        <v>576.0</v>
      </c>
      <c r="E55" s="13">
        <v>0.016598</v>
      </c>
      <c r="F55" s="14">
        <v>32.0</v>
      </c>
      <c r="G55" s="13">
        <v>9.22E-4</v>
      </c>
      <c r="H55" s="14">
        <v>882.0</v>
      </c>
      <c r="I55" s="13">
        <v>0.025415</v>
      </c>
      <c r="J55" s="14">
        <v>5.0</v>
      </c>
      <c r="K55" s="13">
        <v>1.44E-4</v>
      </c>
      <c r="L55" s="14">
        <v>86.0</v>
      </c>
      <c r="M55" s="13">
        <v>0.002478</v>
      </c>
      <c r="N55" s="14">
        <v>0.0</v>
      </c>
      <c r="O55" s="13"/>
      <c r="P55" s="14">
        <v>26.0</v>
      </c>
      <c r="Q55" s="13">
        <v>7.49E-4</v>
      </c>
      <c r="R55" s="14">
        <v>3.0</v>
      </c>
      <c r="S55" s="13">
        <v>8.6E-5</v>
      </c>
      <c r="T55" s="14">
        <v>0.0</v>
      </c>
      <c r="U55" s="13"/>
      <c r="V55" s="14">
        <v>2.0</v>
      </c>
      <c r="W55" s="13">
        <v>5.8E-5</v>
      </c>
      <c r="X55" s="14">
        <v>0.0</v>
      </c>
      <c r="Y55" s="13"/>
      <c r="Z55" s="14">
        <v>14.0</v>
      </c>
      <c r="AA55" s="13">
        <v>4.03E-4</v>
      </c>
      <c r="AB55" s="12">
        <v>0.0</v>
      </c>
      <c r="AC55" s="13"/>
    </row>
    <row r="56" ht="14.25" customHeight="1">
      <c r="A56" s="11" t="s">
        <v>69</v>
      </c>
      <c r="B56" s="14">
        <v>9291.0</v>
      </c>
      <c r="C56" s="13">
        <v>0.213812</v>
      </c>
      <c r="D56" s="14">
        <v>758.0</v>
      </c>
      <c r="E56" s="13">
        <v>0.017444</v>
      </c>
      <c r="F56" s="14">
        <v>53.0</v>
      </c>
      <c r="G56" s="13">
        <v>0.00122</v>
      </c>
      <c r="H56" s="14">
        <v>1483.0</v>
      </c>
      <c r="I56" s="13">
        <v>0.034128</v>
      </c>
      <c r="J56" s="14">
        <v>29.0</v>
      </c>
      <c r="K56" s="13">
        <v>6.67E-4</v>
      </c>
      <c r="L56" s="14">
        <v>78.0</v>
      </c>
      <c r="M56" s="13">
        <v>0.001795</v>
      </c>
      <c r="N56" s="14">
        <v>0.0</v>
      </c>
      <c r="O56" s="13"/>
      <c r="P56" s="14">
        <v>51.0</v>
      </c>
      <c r="Q56" s="13">
        <v>0.001174</v>
      </c>
      <c r="R56" s="14">
        <v>10.0</v>
      </c>
      <c r="S56" s="13">
        <v>2.3E-4</v>
      </c>
      <c r="T56" s="14">
        <v>0.0</v>
      </c>
      <c r="U56" s="13"/>
      <c r="V56" s="14">
        <v>1.0</v>
      </c>
      <c r="W56" s="13">
        <v>2.3E-5</v>
      </c>
      <c r="X56" s="14">
        <v>0.0</v>
      </c>
      <c r="Y56" s="13"/>
      <c r="Z56" s="14">
        <v>106.0</v>
      </c>
      <c r="AA56" s="13">
        <v>0.002439</v>
      </c>
      <c r="AB56" s="12">
        <v>0.0</v>
      </c>
      <c r="AC56" s="13"/>
    </row>
    <row r="57" ht="14.25" customHeight="1">
      <c r="A57" s="11" t="s">
        <v>70</v>
      </c>
      <c r="B57" s="14">
        <v>12299.0</v>
      </c>
      <c r="C57" s="13">
        <v>0.21141</v>
      </c>
      <c r="D57" s="14">
        <v>1017.0</v>
      </c>
      <c r="E57" s="13">
        <v>0.017481</v>
      </c>
      <c r="F57" s="14">
        <v>228.0</v>
      </c>
      <c r="G57" s="13">
        <v>0.003919</v>
      </c>
      <c r="H57" s="14">
        <v>3529.0</v>
      </c>
      <c r="I57" s="13">
        <v>0.060661</v>
      </c>
      <c r="J57" s="14">
        <v>73.0</v>
      </c>
      <c r="K57" s="13">
        <v>0.001255</v>
      </c>
      <c r="L57" s="14">
        <v>142.0</v>
      </c>
      <c r="M57" s="13">
        <v>0.002441</v>
      </c>
      <c r="N57" s="14">
        <v>0.0</v>
      </c>
      <c r="O57" s="13"/>
      <c r="P57" s="14">
        <v>95.0</v>
      </c>
      <c r="Q57" s="13">
        <v>0.001633</v>
      </c>
      <c r="R57" s="14">
        <v>7.0</v>
      </c>
      <c r="S57" s="13">
        <v>1.2E-4</v>
      </c>
      <c r="T57" s="14">
        <v>3.0</v>
      </c>
      <c r="U57" s="13">
        <v>5.2E-5</v>
      </c>
      <c r="V57" s="14">
        <v>5.0</v>
      </c>
      <c r="W57" s="13">
        <v>8.6E-5</v>
      </c>
      <c r="X57" s="14">
        <v>1.0</v>
      </c>
      <c r="Y57" s="13">
        <v>1.7E-5</v>
      </c>
      <c r="Z57" s="14">
        <v>85.0</v>
      </c>
      <c r="AA57" s="13">
        <v>0.001461</v>
      </c>
      <c r="AB57" s="12">
        <v>0.0</v>
      </c>
      <c r="AC57" s="13"/>
    </row>
    <row r="58" ht="14.25" customHeight="1">
      <c r="A58" s="11" t="s">
        <v>71</v>
      </c>
      <c r="B58" s="14">
        <v>16395.0</v>
      </c>
      <c r="C58" s="13">
        <v>0.254755</v>
      </c>
      <c r="D58" s="14">
        <v>1015.0</v>
      </c>
      <c r="E58" s="13">
        <v>0.015772</v>
      </c>
      <c r="F58" s="14">
        <v>149.0</v>
      </c>
      <c r="G58" s="13">
        <v>0.002315</v>
      </c>
      <c r="H58" s="14">
        <v>4487.0</v>
      </c>
      <c r="I58" s="13">
        <v>0.069722</v>
      </c>
      <c r="J58" s="14">
        <v>80.0</v>
      </c>
      <c r="K58" s="13">
        <v>0.001243</v>
      </c>
      <c r="L58" s="14">
        <v>155.0</v>
      </c>
      <c r="M58" s="13">
        <v>0.002408</v>
      </c>
      <c r="N58" s="14">
        <v>0.0</v>
      </c>
      <c r="O58" s="13"/>
      <c r="P58" s="14">
        <v>116.0</v>
      </c>
      <c r="Q58" s="13">
        <v>0.001802</v>
      </c>
      <c r="R58" s="14">
        <v>5.0</v>
      </c>
      <c r="S58" s="13">
        <v>7.8E-5</v>
      </c>
      <c r="T58" s="14">
        <v>0.0</v>
      </c>
      <c r="U58" s="13"/>
      <c r="V58" s="14">
        <v>28.0</v>
      </c>
      <c r="W58" s="13">
        <v>4.35E-4</v>
      </c>
      <c r="X58" s="14">
        <v>2.0</v>
      </c>
      <c r="Y58" s="13">
        <v>3.1E-5</v>
      </c>
      <c r="Z58" s="14">
        <v>69.0</v>
      </c>
      <c r="AA58" s="13">
        <v>0.001072</v>
      </c>
      <c r="AB58" s="12">
        <v>0.0</v>
      </c>
      <c r="AC58" s="13"/>
    </row>
    <row r="59" ht="14.25" customHeight="1">
      <c r="A59" s="11" t="s">
        <v>72</v>
      </c>
      <c r="B59" s="14">
        <v>17872.0</v>
      </c>
      <c r="C59" s="13">
        <v>0.289655</v>
      </c>
      <c r="D59" s="14">
        <v>958.0</v>
      </c>
      <c r="E59" s="13">
        <v>0.015526</v>
      </c>
      <c r="F59" s="14">
        <v>44.0</v>
      </c>
      <c r="G59" s="13">
        <v>7.13E-4</v>
      </c>
      <c r="H59" s="14">
        <v>3541.0</v>
      </c>
      <c r="I59" s="13">
        <v>0.05739</v>
      </c>
      <c r="J59" s="14">
        <v>86.0</v>
      </c>
      <c r="K59" s="13">
        <v>0.001394</v>
      </c>
      <c r="L59" s="14">
        <v>221.0</v>
      </c>
      <c r="M59" s="13">
        <v>0.003582</v>
      </c>
      <c r="N59" s="14">
        <v>0.0</v>
      </c>
      <c r="O59" s="13"/>
      <c r="P59" s="14">
        <v>160.0</v>
      </c>
      <c r="Q59" s="13">
        <v>0.002593</v>
      </c>
      <c r="R59" s="14">
        <v>5.0</v>
      </c>
      <c r="S59" s="13">
        <v>8.1E-5</v>
      </c>
      <c r="T59" s="14">
        <v>1.0</v>
      </c>
      <c r="U59" s="13">
        <v>1.6E-5</v>
      </c>
      <c r="V59" s="14">
        <v>26.0</v>
      </c>
      <c r="W59" s="13">
        <v>4.21E-4</v>
      </c>
      <c r="X59" s="14">
        <v>1.0</v>
      </c>
      <c r="Y59" s="13">
        <v>1.6E-5</v>
      </c>
      <c r="Z59" s="14">
        <v>45.0</v>
      </c>
      <c r="AA59" s="13">
        <v>7.29E-4</v>
      </c>
      <c r="AB59" s="12">
        <v>0.0</v>
      </c>
      <c r="AC59" s="13"/>
    </row>
    <row r="60" ht="14.25" customHeight="1">
      <c r="A60" s="11" t="s">
        <v>73</v>
      </c>
      <c r="B60" s="14">
        <v>27413.0</v>
      </c>
      <c r="C60" s="13">
        <v>0.392079</v>
      </c>
      <c r="D60" s="14">
        <v>1014.0</v>
      </c>
      <c r="E60" s="13">
        <v>0.014503</v>
      </c>
      <c r="F60" s="14">
        <v>80.0</v>
      </c>
      <c r="G60" s="13">
        <v>0.001144</v>
      </c>
      <c r="H60" s="14">
        <v>4295.0</v>
      </c>
      <c r="I60" s="13">
        <v>0.06143</v>
      </c>
      <c r="J60" s="14">
        <v>189.0</v>
      </c>
      <c r="K60" s="13">
        <v>0.002703</v>
      </c>
      <c r="L60" s="14">
        <v>249.0</v>
      </c>
      <c r="M60" s="13">
        <v>0.003561</v>
      </c>
      <c r="N60" s="14">
        <v>0.0</v>
      </c>
      <c r="O60" s="13"/>
      <c r="P60" s="14">
        <v>362.0</v>
      </c>
      <c r="Q60" s="13">
        <v>0.005178</v>
      </c>
      <c r="R60" s="14">
        <v>12.0</v>
      </c>
      <c r="S60" s="13">
        <v>1.72E-4</v>
      </c>
      <c r="T60" s="14">
        <v>0.0</v>
      </c>
      <c r="U60" s="13"/>
      <c r="V60" s="14">
        <v>37.0</v>
      </c>
      <c r="W60" s="13">
        <v>5.29E-4</v>
      </c>
      <c r="X60" s="14">
        <v>0.0</v>
      </c>
      <c r="Y60" s="13"/>
      <c r="Z60" s="14">
        <v>51.0</v>
      </c>
      <c r="AA60" s="13">
        <v>7.29E-4</v>
      </c>
      <c r="AB60" s="12">
        <v>0.0</v>
      </c>
      <c r="AC60" s="13"/>
    </row>
    <row r="61" ht="14.25" customHeight="1">
      <c r="A61" s="11" t="s">
        <v>74</v>
      </c>
      <c r="B61" s="14">
        <v>23391.0</v>
      </c>
      <c r="C61" s="13">
        <v>0.357912</v>
      </c>
      <c r="D61" s="14">
        <v>1076.0</v>
      </c>
      <c r="E61" s="13">
        <v>0.016464</v>
      </c>
      <c r="F61" s="14">
        <v>80.0</v>
      </c>
      <c r="G61" s="13">
        <v>0.001224</v>
      </c>
      <c r="H61" s="14">
        <v>6253.0</v>
      </c>
      <c r="I61" s="13">
        <v>0.095679</v>
      </c>
      <c r="J61" s="14">
        <v>262.0</v>
      </c>
      <c r="K61" s="13">
        <v>0.004009</v>
      </c>
      <c r="L61" s="14">
        <v>397.0</v>
      </c>
      <c r="M61" s="13">
        <v>0.006075</v>
      </c>
      <c r="N61" s="14">
        <v>0.0</v>
      </c>
      <c r="O61" s="13"/>
      <c r="P61" s="14">
        <v>502.0</v>
      </c>
      <c r="Q61" s="13">
        <v>0.007681</v>
      </c>
      <c r="R61" s="14">
        <v>39.0</v>
      </c>
      <c r="S61" s="13">
        <v>5.97E-4</v>
      </c>
      <c r="T61" s="14">
        <v>0.0</v>
      </c>
      <c r="U61" s="13"/>
      <c r="V61" s="14">
        <v>35.0</v>
      </c>
      <c r="W61" s="13">
        <v>5.36E-4</v>
      </c>
      <c r="X61" s="14">
        <v>1.0</v>
      </c>
      <c r="Y61" s="13">
        <v>1.5E-5</v>
      </c>
      <c r="Z61" s="14">
        <v>62.0</v>
      </c>
      <c r="AA61" s="13">
        <v>9.49E-4</v>
      </c>
      <c r="AB61" s="12">
        <v>4.0</v>
      </c>
      <c r="AC61" s="13">
        <v>6.1E-5</v>
      </c>
    </row>
    <row r="62" ht="14.25" customHeight="1">
      <c r="A62" s="11" t="s">
        <v>75</v>
      </c>
      <c r="B62" s="14">
        <v>29921.0</v>
      </c>
      <c r="C62" s="13">
        <v>0.415287</v>
      </c>
      <c r="D62" s="14">
        <v>1212.0</v>
      </c>
      <c r="E62" s="13">
        <v>0.016822</v>
      </c>
      <c r="F62" s="14">
        <v>295.0</v>
      </c>
      <c r="G62" s="13">
        <v>0.004094</v>
      </c>
      <c r="H62" s="14">
        <v>5743.0</v>
      </c>
      <c r="I62" s="13">
        <v>0.07971</v>
      </c>
      <c r="J62" s="14">
        <v>271.0</v>
      </c>
      <c r="K62" s="13">
        <v>0.003761</v>
      </c>
      <c r="L62" s="14">
        <v>663.0</v>
      </c>
      <c r="M62" s="13">
        <v>0.009202</v>
      </c>
      <c r="N62" s="14">
        <v>0.0</v>
      </c>
      <c r="O62" s="13"/>
      <c r="P62" s="14">
        <v>800.0</v>
      </c>
      <c r="Q62" s="13">
        <v>0.011104</v>
      </c>
      <c r="R62" s="14">
        <v>42.0</v>
      </c>
      <c r="S62" s="13">
        <v>5.83E-4</v>
      </c>
      <c r="T62" s="14">
        <v>1.0</v>
      </c>
      <c r="U62" s="13">
        <v>1.4E-5</v>
      </c>
      <c r="V62" s="14">
        <v>41.0</v>
      </c>
      <c r="W62" s="13">
        <v>5.69E-4</v>
      </c>
      <c r="X62" s="14">
        <v>0.0</v>
      </c>
      <c r="Y62" s="13"/>
      <c r="Z62" s="14">
        <v>32.0</v>
      </c>
      <c r="AA62" s="13">
        <v>4.44E-4</v>
      </c>
      <c r="AB62" s="12">
        <v>0.0</v>
      </c>
      <c r="AC62" s="13"/>
    </row>
    <row r="63" ht="14.25" customHeight="1">
      <c r="A63" s="11" t="s">
        <v>76</v>
      </c>
      <c r="B63" s="14">
        <v>35305.0</v>
      </c>
      <c r="C63" s="13">
        <v>0.485339</v>
      </c>
      <c r="D63" s="14">
        <v>1408.0</v>
      </c>
      <c r="E63" s="13">
        <v>0.019356</v>
      </c>
      <c r="F63" s="14">
        <v>49.0</v>
      </c>
      <c r="G63" s="13">
        <v>6.74E-4</v>
      </c>
      <c r="H63" s="14">
        <v>4350.0</v>
      </c>
      <c r="I63" s="13">
        <v>0.0598</v>
      </c>
      <c r="J63" s="14">
        <v>342.0</v>
      </c>
      <c r="K63" s="13">
        <v>0.004701</v>
      </c>
      <c r="L63" s="14">
        <v>788.0</v>
      </c>
      <c r="M63" s="13">
        <v>0.010833</v>
      </c>
      <c r="N63" s="14">
        <v>0.0</v>
      </c>
      <c r="O63" s="13"/>
      <c r="P63" s="14">
        <v>810.0</v>
      </c>
      <c r="Q63" s="13">
        <v>0.011135</v>
      </c>
      <c r="R63" s="14">
        <v>159.0</v>
      </c>
      <c r="S63" s="13">
        <v>0.002186</v>
      </c>
      <c r="T63" s="14">
        <v>0.0</v>
      </c>
      <c r="U63" s="13"/>
      <c r="V63" s="14">
        <v>61.0</v>
      </c>
      <c r="W63" s="13">
        <v>8.39E-4</v>
      </c>
      <c r="X63" s="14">
        <v>4.0</v>
      </c>
      <c r="Y63" s="13">
        <v>5.5E-5</v>
      </c>
      <c r="Z63" s="14">
        <v>64.0</v>
      </c>
      <c r="AA63" s="13">
        <v>8.8E-4</v>
      </c>
      <c r="AB63" s="12">
        <v>0.0</v>
      </c>
      <c r="AC63" s="13"/>
    </row>
    <row r="64" ht="14.25" customHeight="1">
      <c r="A64" s="11" t="s">
        <v>77</v>
      </c>
      <c r="B64" s="14">
        <v>41625.0</v>
      </c>
      <c r="C64" s="13">
        <v>0.530417</v>
      </c>
      <c r="D64" s="14">
        <v>1475.0</v>
      </c>
      <c r="E64" s="13">
        <v>0.018796</v>
      </c>
      <c r="F64" s="14">
        <v>49.0</v>
      </c>
      <c r="G64" s="13">
        <v>6.24E-4</v>
      </c>
      <c r="H64" s="14">
        <v>4282.0</v>
      </c>
      <c r="I64" s="13">
        <v>0.054564</v>
      </c>
      <c r="J64" s="14">
        <v>436.0</v>
      </c>
      <c r="K64" s="13">
        <v>0.005556</v>
      </c>
      <c r="L64" s="14">
        <v>1207.0</v>
      </c>
      <c r="M64" s="13">
        <v>0.01538</v>
      </c>
      <c r="N64" s="14">
        <v>0.0</v>
      </c>
      <c r="O64" s="13"/>
      <c r="P64" s="14">
        <v>1216.0</v>
      </c>
      <c r="Q64" s="13">
        <v>0.015495</v>
      </c>
      <c r="R64" s="14">
        <v>252.0</v>
      </c>
      <c r="S64" s="13">
        <v>0.003211</v>
      </c>
      <c r="T64" s="14">
        <v>0.0</v>
      </c>
      <c r="U64" s="13"/>
      <c r="V64" s="14">
        <v>98.0</v>
      </c>
      <c r="W64" s="13">
        <v>0.001249</v>
      </c>
      <c r="X64" s="14">
        <v>6.0</v>
      </c>
      <c r="Y64" s="13">
        <v>7.6E-5</v>
      </c>
      <c r="Z64" s="14">
        <v>10.0</v>
      </c>
      <c r="AA64" s="13">
        <v>1.27E-4</v>
      </c>
      <c r="AB64" s="12">
        <v>0.0</v>
      </c>
      <c r="AC64" s="13"/>
    </row>
    <row r="65" ht="14.25" customHeight="1">
      <c r="A65" s="11" t="s">
        <v>78</v>
      </c>
      <c r="B65" s="14">
        <v>47552.0</v>
      </c>
      <c r="C65" s="13">
        <v>0.561238</v>
      </c>
      <c r="D65" s="14">
        <v>1969.0</v>
      </c>
      <c r="E65" s="13">
        <v>0.023239</v>
      </c>
      <c r="F65" s="14">
        <v>187.0</v>
      </c>
      <c r="G65" s="13">
        <v>0.002207</v>
      </c>
      <c r="H65" s="14">
        <v>5186.0</v>
      </c>
      <c r="I65" s="13">
        <v>0.061208</v>
      </c>
      <c r="J65" s="14">
        <v>651.0</v>
      </c>
      <c r="K65" s="13">
        <v>0.007684</v>
      </c>
      <c r="L65" s="14">
        <v>1422.0</v>
      </c>
      <c r="M65" s="13">
        <v>0.016783</v>
      </c>
      <c r="N65" s="14">
        <v>0.0</v>
      </c>
      <c r="O65" s="13"/>
      <c r="P65" s="14">
        <v>1486.0</v>
      </c>
      <c r="Q65" s="13">
        <v>0.017539</v>
      </c>
      <c r="R65" s="14">
        <v>305.0</v>
      </c>
      <c r="S65" s="13">
        <v>0.0036</v>
      </c>
      <c r="T65" s="14">
        <v>0.0</v>
      </c>
      <c r="U65" s="13"/>
      <c r="V65" s="14">
        <v>143.0</v>
      </c>
      <c r="W65" s="13">
        <v>0.001688</v>
      </c>
      <c r="X65" s="14">
        <v>13.0</v>
      </c>
      <c r="Y65" s="13">
        <v>1.53E-4</v>
      </c>
      <c r="Z65" s="14">
        <v>20.0</v>
      </c>
      <c r="AA65" s="13">
        <v>2.36E-4</v>
      </c>
      <c r="AB65" s="12">
        <v>0.0</v>
      </c>
      <c r="AC65" s="13"/>
    </row>
    <row r="66" ht="14.25" customHeight="1">
      <c r="A66" s="11" t="s">
        <v>79</v>
      </c>
      <c r="B66" s="14">
        <v>60986.0</v>
      </c>
      <c r="C66" s="13">
        <v>0.626088</v>
      </c>
      <c r="D66" s="14">
        <v>2433.0</v>
      </c>
      <c r="E66" s="13">
        <v>0.024977</v>
      </c>
      <c r="F66" s="14">
        <v>616.0</v>
      </c>
      <c r="G66" s="13">
        <v>0.006324</v>
      </c>
      <c r="H66" s="14">
        <v>4573.0</v>
      </c>
      <c r="I66" s="13">
        <v>0.046947</v>
      </c>
      <c r="J66" s="14">
        <v>597.0</v>
      </c>
      <c r="K66" s="13">
        <v>0.006129</v>
      </c>
      <c r="L66" s="14">
        <v>1868.0</v>
      </c>
      <c r="M66" s="13">
        <v>0.019177</v>
      </c>
      <c r="N66" s="14">
        <v>0.0</v>
      </c>
      <c r="O66" s="13"/>
      <c r="P66" s="14">
        <v>2357.0</v>
      </c>
      <c r="Q66" s="13">
        <v>0.024197</v>
      </c>
      <c r="R66" s="14">
        <v>533.0</v>
      </c>
      <c r="S66" s="13">
        <v>0.005472</v>
      </c>
      <c r="T66" s="14">
        <v>0.0</v>
      </c>
      <c r="U66" s="13"/>
      <c r="V66" s="14">
        <v>206.0</v>
      </c>
      <c r="W66" s="13">
        <v>0.002115</v>
      </c>
      <c r="X66" s="14">
        <v>22.0</v>
      </c>
      <c r="Y66" s="13">
        <v>2.26E-4</v>
      </c>
      <c r="Z66" s="14">
        <v>30.0</v>
      </c>
      <c r="AA66" s="13">
        <v>3.08E-4</v>
      </c>
      <c r="AB66" s="12">
        <v>0.0</v>
      </c>
      <c r="AC66" s="13"/>
    </row>
    <row r="67" ht="14.25" customHeight="1">
      <c r="A67" s="11" t="s">
        <v>80</v>
      </c>
      <c r="B67" s="14">
        <v>69186.0</v>
      </c>
      <c r="C67" s="13">
        <v>0.658638</v>
      </c>
      <c r="D67" s="14">
        <v>2625.0</v>
      </c>
      <c r="E67" s="13">
        <v>0.02499</v>
      </c>
      <c r="F67" s="14">
        <v>553.0</v>
      </c>
      <c r="G67" s="13">
        <v>0.005264</v>
      </c>
      <c r="H67" s="14">
        <v>4807.0</v>
      </c>
      <c r="I67" s="13">
        <v>0.045762</v>
      </c>
      <c r="J67" s="14">
        <v>687.0</v>
      </c>
      <c r="K67" s="13">
        <v>0.00654</v>
      </c>
      <c r="L67" s="14">
        <v>2646.0</v>
      </c>
      <c r="M67" s="13">
        <v>0.025189</v>
      </c>
      <c r="N67" s="14">
        <v>0.0</v>
      </c>
      <c r="O67" s="13"/>
      <c r="P67" s="14">
        <v>2952.0</v>
      </c>
      <c r="Q67" s="13">
        <v>0.028103</v>
      </c>
      <c r="R67" s="14">
        <v>666.0</v>
      </c>
      <c r="S67" s="13">
        <v>0.00634</v>
      </c>
      <c r="T67" s="14">
        <v>0.0</v>
      </c>
      <c r="U67" s="13"/>
      <c r="V67" s="14">
        <v>191.0</v>
      </c>
      <c r="W67" s="13">
        <v>0.001818</v>
      </c>
      <c r="X67" s="14">
        <v>15.0</v>
      </c>
      <c r="Y67" s="13">
        <v>1.43E-4</v>
      </c>
      <c r="Z67" s="14">
        <v>10.0</v>
      </c>
      <c r="AA67" s="13">
        <v>9.5E-5</v>
      </c>
      <c r="AB67" s="12">
        <v>0.0</v>
      </c>
      <c r="AC67" s="13"/>
    </row>
    <row r="68" ht="14.25" customHeight="1">
      <c r="A68" s="11" t="s">
        <v>81</v>
      </c>
      <c r="B68" s="14">
        <v>73664.0</v>
      </c>
      <c r="C68" s="13">
        <v>0.686805</v>
      </c>
      <c r="D68" s="14">
        <v>2345.0</v>
      </c>
      <c r="E68" s="13">
        <v>0.021864</v>
      </c>
      <c r="F68" s="14">
        <v>439.0</v>
      </c>
      <c r="G68" s="13">
        <v>0.004093</v>
      </c>
      <c r="H68" s="14">
        <v>4188.0</v>
      </c>
      <c r="I68" s="13">
        <v>0.039047</v>
      </c>
      <c r="J68" s="14">
        <v>863.0</v>
      </c>
      <c r="K68" s="13">
        <v>0.008046</v>
      </c>
      <c r="L68" s="14">
        <v>3909.0</v>
      </c>
      <c r="M68" s="13">
        <v>0.036446</v>
      </c>
      <c r="N68" s="14">
        <v>0.0</v>
      </c>
      <c r="O68" s="13"/>
      <c r="P68" s="14">
        <v>3944.0</v>
      </c>
      <c r="Q68" s="13">
        <v>0.036772</v>
      </c>
      <c r="R68" s="14">
        <v>862.0</v>
      </c>
      <c r="S68" s="13">
        <v>0.008037</v>
      </c>
      <c r="T68" s="14">
        <v>0.0</v>
      </c>
      <c r="U68" s="13"/>
      <c r="V68" s="14">
        <v>223.0</v>
      </c>
      <c r="W68" s="13">
        <v>0.002079</v>
      </c>
      <c r="X68" s="14">
        <v>38.0</v>
      </c>
      <c r="Y68" s="13">
        <v>3.54E-4</v>
      </c>
      <c r="Z68" s="14">
        <v>8.0</v>
      </c>
      <c r="AA68" s="13">
        <v>7.5E-5</v>
      </c>
      <c r="AB68" s="12">
        <v>0.0</v>
      </c>
      <c r="AC68" s="13"/>
    </row>
    <row r="69" ht="14.25" customHeight="1">
      <c r="A69" s="11" t="s">
        <v>82</v>
      </c>
      <c r="B69" s="14">
        <v>72732.0</v>
      </c>
      <c r="C69" s="13">
        <v>0.677914</v>
      </c>
      <c r="D69" s="14">
        <v>2609.0</v>
      </c>
      <c r="E69" s="13">
        <v>0.024318</v>
      </c>
      <c r="F69" s="14">
        <v>1010.0</v>
      </c>
      <c r="G69" s="13">
        <v>0.009414</v>
      </c>
      <c r="H69" s="14">
        <v>3699.0</v>
      </c>
      <c r="I69" s="13">
        <v>0.034477</v>
      </c>
      <c r="J69" s="14">
        <v>899.0</v>
      </c>
      <c r="K69" s="13">
        <v>0.008379</v>
      </c>
      <c r="L69" s="14">
        <v>4605.0</v>
      </c>
      <c r="M69" s="13">
        <v>0.042922</v>
      </c>
      <c r="N69" s="14">
        <v>0.0</v>
      </c>
      <c r="O69" s="13"/>
      <c r="P69" s="14">
        <v>4382.0</v>
      </c>
      <c r="Q69" s="13">
        <v>0.040843</v>
      </c>
      <c r="R69" s="14">
        <v>932.0</v>
      </c>
      <c r="S69" s="13">
        <v>0.008687</v>
      </c>
      <c r="T69" s="14">
        <v>0.0</v>
      </c>
      <c r="U69" s="13"/>
      <c r="V69" s="14">
        <v>291.0</v>
      </c>
      <c r="W69" s="13">
        <v>0.002712</v>
      </c>
      <c r="X69" s="14">
        <v>90.0</v>
      </c>
      <c r="Y69" s="13">
        <v>8.39E-4</v>
      </c>
      <c r="Z69" s="14">
        <v>5.0</v>
      </c>
      <c r="AA69" s="13">
        <v>4.7E-5</v>
      </c>
      <c r="AB69" s="12">
        <v>0.0</v>
      </c>
      <c r="AC69" s="13"/>
    </row>
    <row r="70" ht="14.25" customHeight="1">
      <c r="A70" s="11" t="s">
        <v>83</v>
      </c>
      <c r="B70" s="14">
        <v>72839.0</v>
      </c>
      <c r="C70" s="13">
        <v>0.673207</v>
      </c>
      <c r="D70" s="14">
        <v>2057.0</v>
      </c>
      <c r="E70" s="13">
        <v>0.019012</v>
      </c>
      <c r="F70" s="14">
        <v>2321.0</v>
      </c>
      <c r="G70" s="13">
        <v>0.021452</v>
      </c>
      <c r="H70" s="14">
        <v>3122.0</v>
      </c>
      <c r="I70" s="13">
        <v>0.028855</v>
      </c>
      <c r="J70" s="14">
        <v>769.0</v>
      </c>
      <c r="K70" s="13">
        <v>0.007107</v>
      </c>
      <c r="L70" s="14">
        <v>6759.0</v>
      </c>
      <c r="M70" s="13">
        <v>0.062469</v>
      </c>
      <c r="N70" s="14">
        <v>0.0</v>
      </c>
      <c r="O70" s="13"/>
      <c r="P70" s="14">
        <v>4710.0</v>
      </c>
      <c r="Q70" s="13">
        <v>0.043532</v>
      </c>
      <c r="R70" s="14">
        <v>1177.0</v>
      </c>
      <c r="S70" s="13">
        <v>0.010878</v>
      </c>
      <c r="T70" s="14">
        <v>0.0</v>
      </c>
      <c r="U70" s="13"/>
      <c r="V70" s="14">
        <v>549.0</v>
      </c>
      <c r="W70" s="13">
        <v>0.005074</v>
      </c>
      <c r="X70" s="14">
        <v>250.0</v>
      </c>
      <c r="Y70" s="13">
        <v>0.002311</v>
      </c>
      <c r="Z70" s="14">
        <v>11.0</v>
      </c>
      <c r="AA70" s="13">
        <v>1.02E-4</v>
      </c>
      <c r="AB70" s="12">
        <v>0.0</v>
      </c>
      <c r="AC70" s="13"/>
    </row>
    <row r="71" ht="14.25" customHeight="1">
      <c r="A71" s="11" t="s">
        <v>84</v>
      </c>
      <c r="B71" s="14">
        <v>79485.0</v>
      </c>
      <c r="C71" s="13">
        <v>0.708871</v>
      </c>
      <c r="D71" s="14">
        <v>2112.0</v>
      </c>
      <c r="E71" s="13">
        <v>0.018835</v>
      </c>
      <c r="F71" s="14">
        <v>3218.0</v>
      </c>
      <c r="G71" s="13">
        <v>0.028699</v>
      </c>
      <c r="H71" s="14">
        <v>2369.0</v>
      </c>
      <c r="I71" s="13">
        <v>0.021127</v>
      </c>
      <c r="J71" s="14">
        <v>689.0</v>
      </c>
      <c r="K71" s="13">
        <v>0.006145</v>
      </c>
      <c r="L71" s="14">
        <v>6631.0</v>
      </c>
      <c r="M71" s="13">
        <v>0.059137</v>
      </c>
      <c r="N71" s="14">
        <v>0.0</v>
      </c>
      <c r="O71" s="13"/>
      <c r="P71" s="14">
        <v>4794.0</v>
      </c>
      <c r="Q71" s="13">
        <v>0.042754</v>
      </c>
      <c r="R71" s="14">
        <v>804.0</v>
      </c>
      <c r="S71" s="13">
        <v>0.00717</v>
      </c>
      <c r="T71" s="14">
        <v>0.0</v>
      </c>
      <c r="U71" s="13"/>
      <c r="V71" s="14">
        <v>455.0</v>
      </c>
      <c r="W71" s="13">
        <v>0.004058</v>
      </c>
      <c r="X71" s="14">
        <v>202.0</v>
      </c>
      <c r="Y71" s="13">
        <v>0.001801</v>
      </c>
      <c r="Z71" s="14">
        <v>7.0</v>
      </c>
      <c r="AA71" s="13">
        <v>6.2E-5</v>
      </c>
      <c r="AB71" s="12">
        <v>0.0</v>
      </c>
      <c r="AC71" s="13"/>
    </row>
    <row r="72" ht="14.25" customHeight="1">
      <c r="A72" s="11" t="s">
        <v>85</v>
      </c>
      <c r="B72" s="14">
        <v>77224.0</v>
      </c>
      <c r="C72" s="15">
        <v>0.72081</v>
      </c>
      <c r="D72" s="14">
        <v>1877.0</v>
      </c>
      <c r="E72" s="13">
        <v>0.01752</v>
      </c>
      <c r="F72" s="14">
        <v>4159.0</v>
      </c>
      <c r="G72" s="13">
        <v>0.03882</v>
      </c>
      <c r="H72" s="14">
        <v>1720.0</v>
      </c>
      <c r="I72" s="13">
        <v>0.016055</v>
      </c>
      <c r="J72" s="14">
        <v>558.0</v>
      </c>
      <c r="K72" s="13">
        <v>0.005208</v>
      </c>
      <c r="L72" s="14">
        <v>7166.0</v>
      </c>
      <c r="M72" s="13">
        <v>0.066888</v>
      </c>
      <c r="N72" s="14">
        <v>0.0</v>
      </c>
      <c r="O72" s="13"/>
      <c r="P72" s="14">
        <v>3918.0</v>
      </c>
      <c r="Q72" s="13">
        <v>0.036571</v>
      </c>
      <c r="R72" s="14">
        <v>524.0</v>
      </c>
      <c r="S72" s="13">
        <v>0.004891</v>
      </c>
      <c r="T72" s="14">
        <v>0.0</v>
      </c>
      <c r="U72" s="13"/>
      <c r="V72" s="14">
        <v>422.0</v>
      </c>
      <c r="W72" s="13">
        <v>0.003939</v>
      </c>
      <c r="X72" s="14">
        <v>252.0</v>
      </c>
      <c r="Y72" s="13">
        <v>0.002352</v>
      </c>
      <c r="Z72" s="14">
        <v>6.0</v>
      </c>
      <c r="AA72" s="13">
        <v>5.6E-5</v>
      </c>
      <c r="AB72" s="12">
        <v>0.0</v>
      </c>
      <c r="AC72" s="13"/>
    </row>
    <row r="73" ht="14.25" customHeight="1">
      <c r="A73" s="11" t="s">
        <v>86</v>
      </c>
      <c r="B73" s="14">
        <v>76184.0</v>
      </c>
      <c r="C73" s="13">
        <v>0.70527</v>
      </c>
      <c r="D73" s="14">
        <v>1787.0</v>
      </c>
      <c r="E73" s="13">
        <v>0.016543</v>
      </c>
      <c r="F73" s="14">
        <v>6904.0</v>
      </c>
      <c r="G73" s="13">
        <v>0.063913</v>
      </c>
      <c r="H73" s="14">
        <v>1333.0</v>
      </c>
      <c r="I73" s="13">
        <v>0.01234</v>
      </c>
      <c r="J73" s="14">
        <v>572.0</v>
      </c>
      <c r="K73" s="13">
        <v>0.005295</v>
      </c>
      <c r="L73" s="14">
        <v>7983.0</v>
      </c>
      <c r="M73" s="13">
        <v>0.073902</v>
      </c>
      <c r="N73" s="14">
        <v>0.0</v>
      </c>
      <c r="O73" s="13"/>
      <c r="P73" s="14">
        <v>3463.0</v>
      </c>
      <c r="Q73" s="13">
        <v>0.032059</v>
      </c>
      <c r="R73" s="14">
        <v>554.0</v>
      </c>
      <c r="S73" s="13">
        <v>0.005129</v>
      </c>
      <c r="T73" s="14">
        <v>0.0</v>
      </c>
      <c r="U73" s="13"/>
      <c r="V73" s="14">
        <v>502.0</v>
      </c>
      <c r="W73" s="13">
        <v>0.004647</v>
      </c>
      <c r="X73" s="14">
        <v>305.0</v>
      </c>
      <c r="Y73" s="13">
        <v>0.002824</v>
      </c>
      <c r="Z73" s="14">
        <v>19.0</v>
      </c>
      <c r="AA73" s="13">
        <v>1.76E-4</v>
      </c>
      <c r="AB73" s="12">
        <v>0.0</v>
      </c>
      <c r="AC73" s="13"/>
    </row>
    <row r="74" ht="14.25" customHeight="1">
      <c r="A74" s="11" t="s">
        <v>87</v>
      </c>
      <c r="B74" s="14">
        <v>69992.0</v>
      </c>
      <c r="C74" s="13">
        <v>0.703635</v>
      </c>
      <c r="D74" s="14">
        <v>1648.0</v>
      </c>
      <c r="E74" s="13">
        <v>0.016567</v>
      </c>
      <c r="F74" s="14">
        <v>8147.0</v>
      </c>
      <c r="G74" s="13">
        <v>0.081902</v>
      </c>
      <c r="H74" s="14">
        <v>941.0</v>
      </c>
      <c r="I74" s="13">
        <v>0.00946</v>
      </c>
      <c r="J74" s="14">
        <v>444.0</v>
      </c>
      <c r="K74" s="13">
        <v>0.004464</v>
      </c>
      <c r="L74" s="14">
        <v>7299.0</v>
      </c>
      <c r="M74" s="13">
        <v>0.073377</v>
      </c>
      <c r="N74" s="14">
        <v>0.0</v>
      </c>
      <c r="O74" s="13"/>
      <c r="P74" s="14">
        <v>2736.0</v>
      </c>
      <c r="Q74" s="13">
        <v>0.027505</v>
      </c>
      <c r="R74" s="14">
        <v>245.0</v>
      </c>
      <c r="S74" s="13">
        <v>0.002463</v>
      </c>
      <c r="T74" s="14">
        <v>0.0</v>
      </c>
      <c r="U74" s="13"/>
      <c r="V74" s="14">
        <v>467.0</v>
      </c>
      <c r="W74" s="13">
        <v>0.004695</v>
      </c>
      <c r="X74" s="14">
        <v>376.0</v>
      </c>
      <c r="Y74" s="13">
        <v>0.00378</v>
      </c>
      <c r="Z74" s="14">
        <v>40.0</v>
      </c>
      <c r="AA74" s="13">
        <v>4.02E-4</v>
      </c>
      <c r="AB74" s="12">
        <v>0.0</v>
      </c>
      <c r="AC74" s="13"/>
    </row>
    <row r="75" ht="14.25" customHeight="1">
      <c r="A75" s="11" t="s">
        <v>88</v>
      </c>
      <c r="B75" s="14">
        <v>59006.0</v>
      </c>
      <c r="C75" s="13">
        <v>0.69654</v>
      </c>
      <c r="D75" s="14">
        <v>1251.0</v>
      </c>
      <c r="E75" s="13">
        <v>0.014768</v>
      </c>
      <c r="F75" s="14">
        <v>8376.0</v>
      </c>
      <c r="G75" s="13">
        <v>0.098875</v>
      </c>
      <c r="H75" s="14">
        <v>533.0</v>
      </c>
      <c r="I75" s="13">
        <v>0.006292</v>
      </c>
      <c r="J75" s="14">
        <v>323.0</v>
      </c>
      <c r="K75" s="13">
        <v>0.003813</v>
      </c>
      <c r="L75" s="14">
        <v>6868.0</v>
      </c>
      <c r="M75" s="13">
        <v>0.081074</v>
      </c>
      <c r="N75" s="14">
        <v>0.0</v>
      </c>
      <c r="O75" s="13"/>
      <c r="P75" s="14">
        <v>2076.0</v>
      </c>
      <c r="Q75" s="13">
        <v>0.024506</v>
      </c>
      <c r="R75" s="14">
        <v>122.0</v>
      </c>
      <c r="S75" s="13">
        <v>0.00144</v>
      </c>
      <c r="T75" s="14">
        <v>0.0</v>
      </c>
      <c r="U75" s="13"/>
      <c r="V75" s="14">
        <v>476.0</v>
      </c>
      <c r="W75" s="13">
        <v>0.005619</v>
      </c>
      <c r="X75" s="14">
        <v>443.0</v>
      </c>
      <c r="Y75" s="13">
        <v>0.005229</v>
      </c>
      <c r="Z75" s="14">
        <v>31.0</v>
      </c>
      <c r="AA75" s="13">
        <v>3.66E-4</v>
      </c>
      <c r="AB75" s="12">
        <v>0.0</v>
      </c>
      <c r="AC75" s="13"/>
    </row>
    <row r="76" ht="14.25" customHeight="1">
      <c r="A76" s="11" t="s">
        <v>89</v>
      </c>
      <c r="B76" s="14">
        <v>50030.0</v>
      </c>
      <c r="C76" s="13">
        <v>0.642061</v>
      </c>
      <c r="D76" s="14">
        <v>1053.0</v>
      </c>
      <c r="E76" s="13">
        <v>0.013514</v>
      </c>
      <c r="F76" s="14">
        <v>12142.0</v>
      </c>
      <c r="G76" s="13">
        <v>0.155824</v>
      </c>
      <c r="H76" s="14">
        <v>294.0</v>
      </c>
      <c r="I76" s="13">
        <v>0.003773</v>
      </c>
      <c r="J76" s="14">
        <v>234.0</v>
      </c>
      <c r="K76" s="13">
        <v>0.003003</v>
      </c>
      <c r="L76" s="14">
        <v>7088.0</v>
      </c>
      <c r="M76" s="13">
        <v>0.090964</v>
      </c>
      <c r="N76" s="14">
        <v>0.0</v>
      </c>
      <c r="O76" s="13"/>
      <c r="P76" s="14">
        <v>1571.0</v>
      </c>
      <c r="Q76" s="13">
        <v>0.020161</v>
      </c>
      <c r="R76" s="14">
        <v>134.0</v>
      </c>
      <c r="S76" s="13">
        <v>0.00172</v>
      </c>
      <c r="T76" s="14">
        <v>0.0</v>
      </c>
      <c r="U76" s="13"/>
      <c r="V76" s="14">
        <v>413.0</v>
      </c>
      <c r="W76" s="13">
        <v>0.0053</v>
      </c>
      <c r="X76" s="14">
        <v>517.0</v>
      </c>
      <c r="Y76" s="13">
        <v>0.006635</v>
      </c>
      <c r="Z76" s="14">
        <v>17.0</v>
      </c>
      <c r="AA76" s="13">
        <v>2.18E-4</v>
      </c>
      <c r="AB76" s="12">
        <v>0.0</v>
      </c>
      <c r="AC76" s="13"/>
    </row>
    <row r="77" ht="14.25" customHeight="1">
      <c r="A77" s="11" t="s">
        <v>90</v>
      </c>
      <c r="B77" s="14">
        <v>38959.0</v>
      </c>
      <c r="C77" s="13">
        <v>0.560497</v>
      </c>
      <c r="D77" s="14">
        <v>1056.0</v>
      </c>
      <c r="E77" s="13">
        <v>0.015192</v>
      </c>
      <c r="F77" s="14">
        <v>17512.0</v>
      </c>
      <c r="G77" s="13">
        <v>0.251942</v>
      </c>
      <c r="H77" s="14">
        <v>179.0</v>
      </c>
      <c r="I77" s="13">
        <v>0.002575</v>
      </c>
      <c r="J77" s="14">
        <v>195.0</v>
      </c>
      <c r="K77" s="13">
        <v>0.002805</v>
      </c>
      <c r="L77" s="14">
        <v>6100.0</v>
      </c>
      <c r="M77" s="13">
        <v>0.08776</v>
      </c>
      <c r="N77" s="14">
        <v>0.0</v>
      </c>
      <c r="O77" s="13"/>
      <c r="P77" s="14">
        <v>911.0</v>
      </c>
      <c r="Q77" s="13">
        <v>0.013106</v>
      </c>
      <c r="R77" s="14">
        <v>133.0</v>
      </c>
      <c r="S77" s="13">
        <v>0.001913</v>
      </c>
      <c r="T77" s="14">
        <v>0.0</v>
      </c>
      <c r="U77" s="13"/>
      <c r="V77" s="14">
        <v>362.0</v>
      </c>
      <c r="W77" s="13">
        <v>0.005208</v>
      </c>
      <c r="X77" s="14">
        <v>485.0</v>
      </c>
      <c r="Y77" s="13">
        <v>0.006978</v>
      </c>
      <c r="Z77" s="14">
        <v>20.0</v>
      </c>
      <c r="AA77" s="13">
        <v>2.88E-4</v>
      </c>
      <c r="AB77" s="12">
        <v>0.0</v>
      </c>
      <c r="AC77" s="13"/>
    </row>
    <row r="78" ht="14.25" customHeight="1">
      <c r="A78" s="11" t="s">
        <v>91</v>
      </c>
      <c r="B78" s="14">
        <v>29849.0</v>
      </c>
      <c r="C78" s="13">
        <v>0.42187</v>
      </c>
      <c r="D78" s="14">
        <v>1010.0</v>
      </c>
      <c r="E78" s="13">
        <v>0.014275</v>
      </c>
      <c r="F78" s="14">
        <v>28063.0</v>
      </c>
      <c r="G78" s="13">
        <v>0.396628</v>
      </c>
      <c r="H78" s="14">
        <v>97.0</v>
      </c>
      <c r="I78" s="13">
        <v>0.001371</v>
      </c>
      <c r="J78" s="14">
        <v>159.0</v>
      </c>
      <c r="K78" s="13">
        <v>0.002247</v>
      </c>
      <c r="L78" s="14">
        <v>6443.0</v>
      </c>
      <c r="M78" s="13">
        <v>0.091062</v>
      </c>
      <c r="N78" s="14">
        <v>0.0</v>
      </c>
      <c r="O78" s="13"/>
      <c r="P78" s="14">
        <v>679.0</v>
      </c>
      <c r="Q78" s="13">
        <v>0.009597</v>
      </c>
      <c r="R78" s="14">
        <v>63.0</v>
      </c>
      <c r="S78" s="13">
        <v>8.9E-4</v>
      </c>
      <c r="T78" s="14">
        <v>0.0</v>
      </c>
      <c r="U78" s="13"/>
      <c r="V78" s="14">
        <v>625.0</v>
      </c>
      <c r="W78" s="13">
        <v>0.008833</v>
      </c>
      <c r="X78" s="14">
        <v>675.0</v>
      </c>
      <c r="Y78" s="13">
        <v>0.00954</v>
      </c>
      <c r="Z78" s="14">
        <v>6.0</v>
      </c>
      <c r="AA78" s="13">
        <v>8.5E-5</v>
      </c>
      <c r="AB78" s="12">
        <v>0.0</v>
      </c>
      <c r="AC78" s="13"/>
    </row>
    <row r="79" ht="14.25" customHeight="1">
      <c r="A79" s="11" t="s">
        <v>92</v>
      </c>
      <c r="B79" s="14">
        <v>25188.0</v>
      </c>
      <c r="C79" s="13">
        <v>0.398406</v>
      </c>
      <c r="D79" s="14">
        <v>819.0</v>
      </c>
      <c r="E79" s="13">
        <v>0.012954</v>
      </c>
      <c r="F79" s="14">
        <v>25769.0</v>
      </c>
      <c r="G79" s="13">
        <v>0.407595</v>
      </c>
      <c r="H79" s="14">
        <v>63.0</v>
      </c>
      <c r="I79" s="13">
        <v>9.96E-4</v>
      </c>
      <c r="J79" s="14">
        <v>176.0</v>
      </c>
      <c r="K79" s="13">
        <v>0.002784</v>
      </c>
      <c r="L79" s="14">
        <v>6560.0</v>
      </c>
      <c r="M79" s="13">
        <v>0.103761</v>
      </c>
      <c r="N79" s="14">
        <v>0.0</v>
      </c>
      <c r="O79" s="13"/>
      <c r="P79" s="14">
        <v>554.0</v>
      </c>
      <c r="Q79" s="13">
        <v>0.008763</v>
      </c>
      <c r="R79" s="14">
        <v>52.0</v>
      </c>
      <c r="S79" s="13">
        <v>8.22E-4</v>
      </c>
      <c r="T79" s="14">
        <v>0.0</v>
      </c>
      <c r="U79" s="13"/>
      <c r="V79" s="14">
        <v>609.0</v>
      </c>
      <c r="W79" s="13">
        <v>0.009633</v>
      </c>
      <c r="X79" s="14">
        <v>744.0</v>
      </c>
      <c r="Y79" s="13">
        <v>0.011768</v>
      </c>
      <c r="Z79" s="14">
        <v>8.0</v>
      </c>
      <c r="AA79" s="13">
        <v>1.27E-4</v>
      </c>
      <c r="AB79" s="12">
        <v>0.0</v>
      </c>
      <c r="AC79" s="13"/>
    </row>
    <row r="80" ht="14.25" customHeight="1">
      <c r="A80" s="11" t="s">
        <v>93</v>
      </c>
      <c r="B80" s="14">
        <v>17050.0</v>
      </c>
      <c r="C80" s="13">
        <v>0.279133</v>
      </c>
      <c r="D80" s="14">
        <v>671.0</v>
      </c>
      <c r="E80" s="13">
        <v>0.010985</v>
      </c>
      <c r="F80" s="14">
        <v>33790.0</v>
      </c>
      <c r="G80" s="13">
        <v>0.553191</v>
      </c>
      <c r="H80" s="14">
        <v>45.0</v>
      </c>
      <c r="I80" s="13">
        <v>7.37E-4</v>
      </c>
      <c r="J80" s="14">
        <v>139.0</v>
      </c>
      <c r="K80" s="13">
        <v>0.002276</v>
      </c>
      <c r="L80" s="14">
        <v>5161.0</v>
      </c>
      <c r="M80" s="13">
        <v>0.084493</v>
      </c>
      <c r="N80" s="14">
        <v>0.0</v>
      </c>
      <c r="O80" s="13"/>
      <c r="P80" s="14">
        <v>372.0</v>
      </c>
      <c r="Q80" s="13">
        <v>0.00609</v>
      </c>
      <c r="R80" s="14">
        <v>42.0</v>
      </c>
      <c r="S80" s="13">
        <v>6.88E-4</v>
      </c>
      <c r="T80" s="14">
        <v>0.0</v>
      </c>
      <c r="U80" s="13"/>
      <c r="V80" s="14">
        <v>475.0</v>
      </c>
      <c r="W80" s="13">
        <v>0.007776</v>
      </c>
      <c r="X80" s="14">
        <v>763.0</v>
      </c>
      <c r="Y80" s="13">
        <v>0.012491</v>
      </c>
      <c r="Z80" s="14">
        <v>13.0</v>
      </c>
      <c r="AA80" s="13">
        <v>2.13E-4</v>
      </c>
      <c r="AB80" s="12">
        <v>0.0</v>
      </c>
      <c r="AC80" s="13"/>
    </row>
    <row r="81" ht="14.25" customHeight="1">
      <c r="A81" s="11" t="s">
        <v>94</v>
      </c>
      <c r="B81" s="14">
        <v>13536.0</v>
      </c>
      <c r="C81" s="13">
        <v>0.186057</v>
      </c>
      <c r="D81" s="14">
        <v>887.0</v>
      </c>
      <c r="E81" s="13">
        <v>0.012192</v>
      </c>
      <c r="F81" s="14">
        <v>49122.0</v>
      </c>
      <c r="G81" s="13">
        <v>0.675198</v>
      </c>
      <c r="H81" s="14">
        <v>33.0</v>
      </c>
      <c r="I81" s="13">
        <v>4.54E-4</v>
      </c>
      <c r="J81" s="14">
        <v>109.0</v>
      </c>
      <c r="K81" s="13">
        <v>0.001498</v>
      </c>
      <c r="L81" s="14">
        <v>5237.0</v>
      </c>
      <c r="M81" s="13">
        <v>0.071984</v>
      </c>
      <c r="N81" s="14">
        <v>0.0</v>
      </c>
      <c r="O81" s="13"/>
      <c r="P81" s="14">
        <v>258.0</v>
      </c>
      <c r="Q81" s="13">
        <v>0.003546</v>
      </c>
      <c r="R81" s="14">
        <v>21.0</v>
      </c>
      <c r="S81" s="13">
        <v>2.89E-4</v>
      </c>
      <c r="T81" s="14">
        <v>0.0</v>
      </c>
      <c r="U81" s="13"/>
      <c r="V81" s="14">
        <v>455.0</v>
      </c>
      <c r="W81" s="13">
        <v>0.006254</v>
      </c>
      <c r="X81" s="14">
        <v>820.0</v>
      </c>
      <c r="Y81" s="13">
        <v>0.011271</v>
      </c>
      <c r="Z81" s="14">
        <v>26.0</v>
      </c>
      <c r="AA81" s="13">
        <v>3.57E-4</v>
      </c>
      <c r="AB81" s="12">
        <v>0.0</v>
      </c>
      <c r="AC81" s="13"/>
    </row>
    <row r="82" ht="14.25" customHeight="1">
      <c r="A82" s="11" t="s">
        <v>95</v>
      </c>
      <c r="B82" s="14">
        <v>10150.0</v>
      </c>
      <c r="C82" s="13">
        <v>0.115749</v>
      </c>
      <c r="D82" s="14">
        <v>1038.0</v>
      </c>
      <c r="E82" s="13">
        <v>0.011837</v>
      </c>
      <c r="F82" s="14">
        <v>66662.0</v>
      </c>
      <c r="G82" s="13">
        <v>0.760201</v>
      </c>
      <c r="H82" s="14">
        <v>14.0</v>
      </c>
      <c r="I82" s="13">
        <v>1.6E-4</v>
      </c>
      <c r="J82" s="14">
        <v>60.0</v>
      </c>
      <c r="K82" s="13">
        <v>6.84E-4</v>
      </c>
      <c r="L82" s="14">
        <v>5959.0</v>
      </c>
      <c r="M82" s="13">
        <v>0.067955</v>
      </c>
      <c r="N82" s="14">
        <v>0.0</v>
      </c>
      <c r="O82" s="13"/>
      <c r="P82" s="14">
        <v>213.0</v>
      </c>
      <c r="Q82" s="13">
        <v>0.002429</v>
      </c>
      <c r="R82" s="14">
        <v>21.0</v>
      </c>
      <c r="S82" s="13">
        <v>2.39E-4</v>
      </c>
      <c r="T82" s="14">
        <v>0.0</v>
      </c>
      <c r="U82" s="13"/>
      <c r="V82" s="14">
        <v>440.0</v>
      </c>
      <c r="W82" s="13">
        <v>0.005018</v>
      </c>
      <c r="X82" s="14">
        <v>1010.0</v>
      </c>
      <c r="Y82" s="13">
        <v>0.011518</v>
      </c>
      <c r="Z82" s="14">
        <v>19.0</v>
      </c>
      <c r="AA82" s="13">
        <v>2.17E-4</v>
      </c>
      <c r="AB82" s="12">
        <v>0.0</v>
      </c>
      <c r="AC82" s="13"/>
    </row>
    <row r="83" ht="14.25" customHeight="1">
      <c r="A83" s="11" t="s">
        <v>96</v>
      </c>
      <c r="B83" s="14">
        <v>8891.0</v>
      </c>
      <c r="C83" s="13">
        <v>0.087374</v>
      </c>
      <c r="D83" s="14">
        <v>945.0</v>
      </c>
      <c r="E83" s="13">
        <v>0.009287</v>
      </c>
      <c r="F83" s="14">
        <v>82835.0</v>
      </c>
      <c r="G83" s="13">
        <v>0.814039</v>
      </c>
      <c r="H83" s="14">
        <v>12.0</v>
      </c>
      <c r="I83" s="13">
        <v>1.18E-4</v>
      </c>
      <c r="J83" s="14">
        <v>37.0</v>
      </c>
      <c r="K83" s="13">
        <v>3.64E-4</v>
      </c>
      <c r="L83" s="14">
        <v>5086.0</v>
      </c>
      <c r="M83" s="13">
        <v>0.049981</v>
      </c>
      <c r="N83" s="14">
        <v>0.0</v>
      </c>
      <c r="O83" s="13"/>
      <c r="P83" s="14">
        <v>176.0</v>
      </c>
      <c r="Q83" s="13">
        <v>0.00173</v>
      </c>
      <c r="R83" s="14">
        <v>5.0</v>
      </c>
      <c r="S83" s="13">
        <v>4.9E-5</v>
      </c>
      <c r="T83" s="14">
        <v>0.0</v>
      </c>
      <c r="U83" s="13"/>
      <c r="V83" s="14">
        <v>556.0</v>
      </c>
      <c r="W83" s="13">
        <v>0.005464</v>
      </c>
      <c r="X83" s="14">
        <v>1208.0</v>
      </c>
      <c r="Y83" s="13">
        <v>0.011871</v>
      </c>
      <c r="Z83" s="14">
        <v>16.0</v>
      </c>
      <c r="AA83" s="13">
        <v>1.57E-4</v>
      </c>
      <c r="AB83" s="12">
        <v>0.0</v>
      </c>
      <c r="AC83" s="13"/>
    </row>
    <row r="84" ht="14.25" customHeight="1">
      <c r="A84" s="11" t="s">
        <v>97</v>
      </c>
      <c r="B84" s="14">
        <v>6615.0</v>
      </c>
      <c r="C84" s="13">
        <v>0.053641</v>
      </c>
      <c r="D84" s="14">
        <v>725.0</v>
      </c>
      <c r="E84" s="13">
        <v>0.005879</v>
      </c>
      <c r="F84" s="14">
        <v>105484.0</v>
      </c>
      <c r="G84" s="13">
        <v>0.855375</v>
      </c>
      <c r="H84" s="14">
        <v>3.0</v>
      </c>
      <c r="I84" s="13">
        <v>2.4E-5</v>
      </c>
      <c r="J84" s="14">
        <v>24.0</v>
      </c>
      <c r="K84" s="13">
        <v>1.95E-4</v>
      </c>
      <c r="L84" s="14">
        <v>5245.0</v>
      </c>
      <c r="M84" s="13">
        <v>0.042532</v>
      </c>
      <c r="N84" s="14">
        <v>1.0</v>
      </c>
      <c r="O84" s="13">
        <v>8.0E-6</v>
      </c>
      <c r="P84" s="14">
        <v>142.0</v>
      </c>
      <c r="Q84" s="13">
        <v>0.001151</v>
      </c>
      <c r="R84" s="14">
        <v>7.0</v>
      </c>
      <c r="S84" s="13">
        <v>5.7E-5</v>
      </c>
      <c r="T84" s="14">
        <v>13.0</v>
      </c>
      <c r="U84" s="13">
        <v>1.05E-4</v>
      </c>
      <c r="V84" s="14">
        <v>543.0</v>
      </c>
      <c r="W84" s="13">
        <v>0.004403</v>
      </c>
      <c r="X84" s="14">
        <v>1499.0</v>
      </c>
      <c r="Y84" s="13">
        <v>0.012155</v>
      </c>
      <c r="Z84" s="14">
        <v>438.0</v>
      </c>
      <c r="AA84" s="13">
        <v>0.003552</v>
      </c>
      <c r="AB84" s="12">
        <v>15.0</v>
      </c>
      <c r="AC84" s="13">
        <v>1.22E-4</v>
      </c>
    </row>
    <row r="85" ht="14.25" customHeight="1">
      <c r="A85" s="11" t="s">
        <v>98</v>
      </c>
      <c r="B85" s="14">
        <v>5292.0</v>
      </c>
      <c r="C85" s="13">
        <v>0.032322</v>
      </c>
      <c r="D85" s="14">
        <v>590.0</v>
      </c>
      <c r="E85" s="13">
        <v>0.003604</v>
      </c>
      <c r="F85" s="14">
        <v>150101.0</v>
      </c>
      <c r="G85" s="13">
        <v>0.916776</v>
      </c>
      <c r="H85" s="14">
        <v>25.0</v>
      </c>
      <c r="I85" s="13">
        <v>1.53E-4</v>
      </c>
      <c r="J85" s="14">
        <v>5.0</v>
      </c>
      <c r="K85" s="13">
        <v>3.1E-5</v>
      </c>
      <c r="L85" s="14">
        <v>4433.0</v>
      </c>
      <c r="M85" s="13">
        <v>0.027076</v>
      </c>
      <c r="N85" s="14">
        <v>0.0</v>
      </c>
      <c r="O85" s="13"/>
      <c r="P85" s="14">
        <v>72.0</v>
      </c>
      <c r="Q85" s="13">
        <v>4.4E-4</v>
      </c>
      <c r="R85" s="14">
        <v>3.0</v>
      </c>
      <c r="S85" s="13">
        <v>1.8E-5</v>
      </c>
      <c r="T85" s="14">
        <v>0.0</v>
      </c>
      <c r="U85" s="13"/>
      <c r="V85" s="14">
        <v>435.0</v>
      </c>
      <c r="W85" s="13">
        <v>0.002657</v>
      </c>
      <c r="X85" s="14">
        <v>1432.0</v>
      </c>
      <c r="Y85" s="13">
        <v>0.008746</v>
      </c>
      <c r="Z85" s="14">
        <v>5.0</v>
      </c>
      <c r="AA85" s="13">
        <v>3.1E-5</v>
      </c>
      <c r="AB85" s="12">
        <v>0.0</v>
      </c>
      <c r="AC85" s="13"/>
    </row>
    <row r="86" ht="14.25" customHeight="1">
      <c r="A86" s="11" t="s">
        <v>99</v>
      </c>
      <c r="B86" s="14">
        <v>4331.0</v>
      </c>
      <c r="C86" s="13">
        <v>0.024013</v>
      </c>
      <c r="D86" s="14">
        <v>326.0</v>
      </c>
      <c r="E86" s="13">
        <v>0.001808</v>
      </c>
      <c r="F86" s="14">
        <v>168806.0</v>
      </c>
      <c r="G86" s="13">
        <v>0.935955</v>
      </c>
      <c r="H86" s="14">
        <v>6.0</v>
      </c>
      <c r="I86" s="13">
        <v>3.3E-5</v>
      </c>
      <c r="J86" s="14">
        <v>30.0</v>
      </c>
      <c r="K86" s="13">
        <v>1.66E-4</v>
      </c>
      <c r="L86" s="14">
        <v>3630.0</v>
      </c>
      <c r="M86" s="13">
        <v>0.020127</v>
      </c>
      <c r="N86" s="14">
        <v>0.0</v>
      </c>
      <c r="O86" s="13"/>
      <c r="P86" s="14">
        <v>49.0</v>
      </c>
      <c r="Q86" s="13">
        <v>2.72E-4</v>
      </c>
      <c r="R86" s="14">
        <v>1.0</v>
      </c>
      <c r="S86" s="13">
        <v>6.0E-6</v>
      </c>
      <c r="T86" s="14">
        <v>0.0</v>
      </c>
      <c r="U86" s="13"/>
      <c r="V86" s="14">
        <v>332.0</v>
      </c>
      <c r="W86" s="13">
        <v>0.001841</v>
      </c>
      <c r="X86" s="14">
        <v>1201.0</v>
      </c>
      <c r="Y86" s="13">
        <v>0.006659</v>
      </c>
      <c r="Z86" s="14">
        <v>7.0</v>
      </c>
      <c r="AA86" s="13">
        <v>3.9E-5</v>
      </c>
      <c r="AB86" s="12">
        <v>0.0</v>
      </c>
      <c r="AC86" s="13"/>
    </row>
    <row r="87" ht="14.25" customHeight="1">
      <c r="A87" s="11" t="s">
        <v>100</v>
      </c>
      <c r="B87" s="14">
        <v>3141.0</v>
      </c>
      <c r="C87" s="13">
        <v>0.015751</v>
      </c>
      <c r="D87" s="14">
        <v>252.0</v>
      </c>
      <c r="E87" s="13">
        <v>0.001264</v>
      </c>
      <c r="F87" s="14">
        <v>183812.0</v>
      </c>
      <c r="G87" s="13">
        <v>0.921779</v>
      </c>
      <c r="H87" s="14">
        <v>2.0</v>
      </c>
      <c r="I87" s="13">
        <v>1.0E-5</v>
      </c>
      <c r="J87" s="14">
        <v>16.0</v>
      </c>
      <c r="K87" s="13">
        <v>8.0E-5</v>
      </c>
      <c r="L87" s="14">
        <v>3804.0</v>
      </c>
      <c r="M87" s="13">
        <v>0.019076</v>
      </c>
      <c r="N87" s="14">
        <v>0.0</v>
      </c>
      <c r="O87" s="13"/>
      <c r="P87" s="14">
        <v>46.0</v>
      </c>
      <c r="Q87" s="13">
        <v>2.31E-4</v>
      </c>
      <c r="R87" s="14">
        <v>3.0</v>
      </c>
      <c r="S87" s="13">
        <v>1.5E-5</v>
      </c>
      <c r="T87" s="14">
        <v>0.0</v>
      </c>
      <c r="U87" s="13"/>
      <c r="V87" s="14">
        <v>422.0</v>
      </c>
      <c r="W87" s="13">
        <v>0.002116</v>
      </c>
      <c r="X87" s="14">
        <v>1197.0</v>
      </c>
      <c r="Y87" s="13">
        <v>0.006003</v>
      </c>
      <c r="Z87" s="14">
        <v>73.0</v>
      </c>
      <c r="AA87" s="13">
        <v>3.66E-4</v>
      </c>
      <c r="AB87" s="12">
        <v>0.0</v>
      </c>
      <c r="AC87" s="13"/>
    </row>
    <row r="88" ht="14.25" customHeight="1">
      <c r="A88" s="11" t="s">
        <v>101</v>
      </c>
      <c r="B88" s="14">
        <v>2053.0</v>
      </c>
      <c r="C88" s="13">
        <v>0.010704</v>
      </c>
      <c r="D88" s="14">
        <v>158.0</v>
      </c>
      <c r="E88" s="13">
        <v>8.24E-4</v>
      </c>
      <c r="F88" s="14">
        <v>185253.0</v>
      </c>
      <c r="G88" s="13">
        <v>0.965865</v>
      </c>
      <c r="H88" s="14">
        <v>0.0</v>
      </c>
      <c r="I88" s="13"/>
      <c r="J88" s="14">
        <v>8.0</v>
      </c>
      <c r="K88" s="13">
        <v>4.2E-5</v>
      </c>
      <c r="L88" s="14">
        <v>2556.0</v>
      </c>
      <c r="M88" s="13">
        <v>0.013326</v>
      </c>
      <c r="N88" s="14">
        <v>0.0</v>
      </c>
      <c r="O88" s="13"/>
      <c r="P88" s="14">
        <v>20.0</v>
      </c>
      <c r="Q88" s="13">
        <v>1.04E-4</v>
      </c>
      <c r="R88" s="14">
        <v>4.0</v>
      </c>
      <c r="S88" s="13">
        <v>2.1E-5</v>
      </c>
      <c r="T88" s="14">
        <v>0.0</v>
      </c>
      <c r="U88" s="13"/>
      <c r="V88" s="14">
        <v>373.0</v>
      </c>
      <c r="W88" s="13">
        <v>0.001945</v>
      </c>
      <c r="X88" s="14">
        <v>684.0</v>
      </c>
      <c r="Y88" s="13">
        <v>0.003566</v>
      </c>
      <c r="Z88" s="14">
        <v>24.0</v>
      </c>
      <c r="AA88" s="13">
        <v>1.25E-4</v>
      </c>
      <c r="AB88" s="12">
        <v>0.0</v>
      </c>
      <c r="AC88" s="13"/>
    </row>
    <row r="89" ht="14.25" customHeight="1">
      <c r="A89" s="11" t="s">
        <v>102</v>
      </c>
      <c r="B89" s="14">
        <v>1095.0</v>
      </c>
      <c r="C89" s="13">
        <v>0.005025</v>
      </c>
      <c r="D89" s="14">
        <v>93.0</v>
      </c>
      <c r="E89" s="13">
        <v>4.27E-4</v>
      </c>
      <c r="F89" s="14">
        <v>208134.0</v>
      </c>
      <c r="G89" s="13">
        <v>0.955072</v>
      </c>
      <c r="H89" s="14">
        <v>79.0</v>
      </c>
      <c r="I89" s="13">
        <v>3.63E-4</v>
      </c>
      <c r="J89" s="14">
        <v>7.0</v>
      </c>
      <c r="K89" s="13">
        <v>3.2E-5</v>
      </c>
      <c r="L89" s="14">
        <v>1968.0</v>
      </c>
      <c r="M89" s="13">
        <v>0.009031</v>
      </c>
      <c r="N89" s="14">
        <v>0.0</v>
      </c>
      <c r="O89" s="13"/>
      <c r="P89" s="14">
        <v>22.0</v>
      </c>
      <c r="Q89" s="13">
        <v>1.01E-4</v>
      </c>
      <c r="R89" s="14">
        <v>3.0</v>
      </c>
      <c r="S89" s="13">
        <v>1.4E-5</v>
      </c>
      <c r="T89" s="14">
        <v>0.0</v>
      </c>
      <c r="U89" s="13"/>
      <c r="V89" s="14">
        <v>274.0</v>
      </c>
      <c r="W89" s="13">
        <v>0.001257</v>
      </c>
      <c r="X89" s="14">
        <v>632.0</v>
      </c>
      <c r="Y89" s="13">
        <v>0.0029</v>
      </c>
      <c r="Z89" s="14">
        <v>10.0</v>
      </c>
      <c r="AA89" s="13">
        <v>4.6E-5</v>
      </c>
      <c r="AB89" s="12">
        <v>0.0</v>
      </c>
      <c r="AC89" s="13"/>
    </row>
    <row r="90" ht="14.25" customHeight="1">
      <c r="A90" s="11" t="s">
        <v>103</v>
      </c>
      <c r="B90" s="14">
        <v>650.0</v>
      </c>
      <c r="C90" s="13">
        <v>0.003274</v>
      </c>
      <c r="D90" s="14">
        <v>56.0</v>
      </c>
      <c r="E90" s="13">
        <v>2.82E-4</v>
      </c>
      <c r="F90" s="14">
        <v>194568.0</v>
      </c>
      <c r="G90" s="13">
        <v>0.980172</v>
      </c>
      <c r="H90" s="14">
        <v>3.0</v>
      </c>
      <c r="I90" s="13">
        <v>1.5E-5</v>
      </c>
      <c r="J90" s="14">
        <v>25.0</v>
      </c>
      <c r="K90" s="13">
        <v>1.26E-4</v>
      </c>
      <c r="L90" s="14">
        <v>1580.0</v>
      </c>
      <c r="M90" s="13">
        <v>0.00796</v>
      </c>
      <c r="N90" s="14">
        <v>0.0</v>
      </c>
      <c r="O90" s="13"/>
      <c r="P90" s="14">
        <v>10.0</v>
      </c>
      <c r="Q90" s="13">
        <v>5.0E-5</v>
      </c>
      <c r="R90" s="14">
        <v>5.0</v>
      </c>
      <c r="S90" s="13">
        <v>2.5E-5</v>
      </c>
      <c r="T90" s="14">
        <v>0.0</v>
      </c>
      <c r="U90" s="13"/>
      <c r="V90" s="14">
        <v>216.0</v>
      </c>
      <c r="W90" s="13">
        <v>0.001088</v>
      </c>
      <c r="X90" s="14">
        <v>591.0</v>
      </c>
      <c r="Y90" s="13">
        <v>0.002977</v>
      </c>
      <c r="Z90" s="14">
        <v>16.0</v>
      </c>
      <c r="AA90" s="13">
        <v>8.1E-5</v>
      </c>
      <c r="AB90" s="12">
        <v>0.0</v>
      </c>
      <c r="AC90" s="13"/>
    </row>
    <row r="91" ht="14.25" customHeight="1">
      <c r="A91" s="11" t="s">
        <v>104</v>
      </c>
      <c r="B91" s="14">
        <v>378.0</v>
      </c>
      <c r="C91" s="13">
        <v>0.001905</v>
      </c>
      <c r="D91" s="14">
        <v>40.0</v>
      </c>
      <c r="E91" s="13">
        <v>2.02E-4</v>
      </c>
      <c r="F91" s="14">
        <v>195651.0</v>
      </c>
      <c r="G91" s="13">
        <v>0.985781</v>
      </c>
      <c r="H91" s="14">
        <v>2.0</v>
      </c>
      <c r="I91" s="13">
        <v>1.0E-5</v>
      </c>
      <c r="J91" s="14">
        <v>3.0</v>
      </c>
      <c r="K91" s="13">
        <v>1.5E-5</v>
      </c>
      <c r="L91" s="14">
        <v>1251.0</v>
      </c>
      <c r="M91" s="13">
        <v>0.006303</v>
      </c>
      <c r="N91" s="14">
        <v>0.0</v>
      </c>
      <c r="O91" s="13"/>
      <c r="P91" s="14">
        <v>5.0</v>
      </c>
      <c r="Q91" s="13">
        <v>2.5E-5</v>
      </c>
      <c r="R91" s="14">
        <v>1.0</v>
      </c>
      <c r="S91" s="13">
        <v>5.0E-6</v>
      </c>
      <c r="T91" s="14">
        <v>0.0</v>
      </c>
      <c r="U91" s="13"/>
      <c r="V91" s="14">
        <v>162.0</v>
      </c>
      <c r="W91" s="13">
        <v>8.16E-4</v>
      </c>
      <c r="X91" s="14">
        <v>425.0</v>
      </c>
      <c r="Y91" s="13">
        <v>0.002141</v>
      </c>
      <c r="Z91" s="14">
        <v>11.0</v>
      </c>
      <c r="AA91" s="13">
        <v>5.5E-5</v>
      </c>
      <c r="AB91" s="12">
        <v>0.0</v>
      </c>
      <c r="AC91" s="13"/>
    </row>
    <row r="92" ht="14.25" customHeight="1">
      <c r="A92" s="11" t="s">
        <v>105</v>
      </c>
      <c r="B92" s="14">
        <v>213.0</v>
      </c>
      <c r="C92" s="13">
        <v>0.001123</v>
      </c>
      <c r="D92" s="14">
        <v>24.0</v>
      </c>
      <c r="E92" s="13">
        <v>1.27E-4</v>
      </c>
      <c r="F92" s="14">
        <v>187366.0</v>
      </c>
      <c r="G92" s="13">
        <v>0.988275</v>
      </c>
      <c r="H92" s="14">
        <v>0.0</v>
      </c>
      <c r="I92" s="13"/>
      <c r="J92" s="14">
        <v>7.0</v>
      </c>
      <c r="K92" s="13">
        <v>3.7E-5</v>
      </c>
      <c r="L92" s="14">
        <v>851.0</v>
      </c>
      <c r="M92" s="13">
        <v>0.004489</v>
      </c>
      <c r="N92" s="14">
        <v>0.0</v>
      </c>
      <c r="O92" s="13"/>
      <c r="P92" s="14">
        <v>5.0</v>
      </c>
      <c r="Q92" s="13">
        <v>2.6E-5</v>
      </c>
      <c r="R92" s="14">
        <v>5.0</v>
      </c>
      <c r="S92" s="13">
        <v>2.6E-5</v>
      </c>
      <c r="T92" s="14">
        <v>1.0</v>
      </c>
      <c r="U92" s="13">
        <v>5.0E-6</v>
      </c>
      <c r="V92" s="14">
        <v>156.0</v>
      </c>
      <c r="W92" s="13">
        <v>8.23E-4</v>
      </c>
      <c r="X92" s="14">
        <v>305.0</v>
      </c>
      <c r="Y92" s="13">
        <v>0.001609</v>
      </c>
      <c r="Z92" s="14">
        <v>10.0</v>
      </c>
      <c r="AA92" s="13">
        <v>5.3E-5</v>
      </c>
      <c r="AB92" s="12">
        <v>0.0</v>
      </c>
      <c r="AC92" s="13"/>
    </row>
    <row r="93" ht="14.25" customHeight="1">
      <c r="A93" s="11" t="s">
        <v>106</v>
      </c>
      <c r="B93" s="14">
        <v>138.0</v>
      </c>
      <c r="C93" s="13">
        <v>8.24E-4</v>
      </c>
      <c r="D93" s="14">
        <v>13.0</v>
      </c>
      <c r="E93" s="13">
        <v>7.8E-5</v>
      </c>
      <c r="F93" s="14">
        <v>165719.0</v>
      </c>
      <c r="G93" s="13">
        <v>0.989674</v>
      </c>
      <c r="H93" s="14">
        <v>84.0</v>
      </c>
      <c r="I93" s="13">
        <v>5.02E-4</v>
      </c>
      <c r="J93" s="14">
        <v>5.0</v>
      </c>
      <c r="K93" s="13">
        <v>3.0E-5</v>
      </c>
      <c r="L93" s="14">
        <v>640.0</v>
      </c>
      <c r="M93" s="13">
        <v>0.003822</v>
      </c>
      <c r="N93" s="14">
        <v>0.0</v>
      </c>
      <c r="O93" s="13"/>
      <c r="P93" s="14">
        <v>7.0</v>
      </c>
      <c r="Q93" s="13">
        <v>4.2E-5</v>
      </c>
      <c r="R93" s="14">
        <v>3.0</v>
      </c>
      <c r="S93" s="13">
        <v>1.8E-5</v>
      </c>
      <c r="T93" s="14">
        <v>0.0</v>
      </c>
      <c r="U93" s="13"/>
      <c r="V93" s="14">
        <v>95.0</v>
      </c>
      <c r="W93" s="13">
        <v>5.67E-4</v>
      </c>
      <c r="X93" s="14">
        <v>332.0</v>
      </c>
      <c r="Y93" s="13">
        <v>0.001983</v>
      </c>
      <c r="Z93" s="14">
        <v>8.0</v>
      </c>
      <c r="AA93" s="13">
        <v>4.8E-5</v>
      </c>
      <c r="AB93" s="12">
        <v>1.0</v>
      </c>
      <c r="AC93" s="13">
        <v>6.0E-6</v>
      </c>
    </row>
    <row r="94" ht="14.25" customHeight="1">
      <c r="A94" s="11" t="s">
        <v>107</v>
      </c>
      <c r="B94" s="14">
        <v>98.0</v>
      </c>
      <c r="C94" s="13">
        <v>6.47E-4</v>
      </c>
      <c r="D94" s="14">
        <v>17.0</v>
      </c>
      <c r="E94" s="13">
        <v>1.12E-4</v>
      </c>
      <c r="F94" s="14">
        <v>150181.0</v>
      </c>
      <c r="G94" s="13">
        <v>0.990842</v>
      </c>
      <c r="H94" s="14">
        <v>5.0</v>
      </c>
      <c r="I94" s="13">
        <v>3.3E-5</v>
      </c>
      <c r="J94" s="14">
        <v>5.0</v>
      </c>
      <c r="K94" s="13">
        <v>3.3E-5</v>
      </c>
      <c r="L94" s="14">
        <v>398.0</v>
      </c>
      <c r="M94" s="13">
        <v>0.002626</v>
      </c>
      <c r="N94" s="14">
        <v>0.0</v>
      </c>
      <c r="O94" s="13"/>
      <c r="P94" s="14">
        <v>1.0</v>
      </c>
      <c r="Q94" s="13">
        <v>7.0E-6</v>
      </c>
      <c r="R94" s="14">
        <v>1.0</v>
      </c>
      <c r="S94" s="13">
        <v>7.0E-6</v>
      </c>
      <c r="T94" s="14">
        <v>1.0</v>
      </c>
      <c r="U94" s="13">
        <v>7.0E-6</v>
      </c>
      <c r="V94" s="14">
        <v>81.0</v>
      </c>
      <c r="W94" s="13">
        <v>5.34E-4</v>
      </c>
      <c r="X94" s="14">
        <v>326.0</v>
      </c>
      <c r="Y94" s="13">
        <v>0.002151</v>
      </c>
      <c r="Z94" s="14">
        <v>18.0</v>
      </c>
      <c r="AA94" s="13">
        <v>1.19E-4</v>
      </c>
      <c r="AB94" s="12">
        <v>1.0</v>
      </c>
      <c r="AC94" s="13">
        <v>7.0E-6</v>
      </c>
    </row>
    <row r="95" ht="14.25" customHeight="1">
      <c r="A95" s="11" t="s">
        <v>108</v>
      </c>
      <c r="B95" s="14">
        <v>53.0</v>
      </c>
      <c r="C95" s="13">
        <v>3.43E-4</v>
      </c>
      <c r="D95" s="14">
        <v>4.0</v>
      </c>
      <c r="E95" s="13">
        <v>2.6E-5</v>
      </c>
      <c r="F95" s="14">
        <v>153450.0</v>
      </c>
      <c r="G95" s="13">
        <v>0.993069</v>
      </c>
      <c r="H95" s="14">
        <v>0.0</v>
      </c>
      <c r="I95" s="13"/>
      <c r="J95" s="14">
        <v>0.0</v>
      </c>
      <c r="K95" s="13"/>
      <c r="L95" s="14">
        <v>301.0</v>
      </c>
      <c r="M95" s="13">
        <v>0.001948</v>
      </c>
      <c r="N95" s="14">
        <v>0.0</v>
      </c>
      <c r="O95" s="13"/>
      <c r="P95" s="14">
        <v>3.0</v>
      </c>
      <c r="Q95" s="13">
        <v>1.9E-5</v>
      </c>
      <c r="R95" s="14">
        <v>6.0</v>
      </c>
      <c r="S95" s="13">
        <v>3.9E-5</v>
      </c>
      <c r="T95" s="14">
        <v>0.0</v>
      </c>
      <c r="U95" s="13"/>
      <c r="V95" s="14">
        <v>58.0</v>
      </c>
      <c r="W95" s="13">
        <v>3.75E-4</v>
      </c>
      <c r="X95" s="14">
        <v>237.0</v>
      </c>
      <c r="Y95" s="13">
        <v>0.001534</v>
      </c>
      <c r="Z95" s="14">
        <v>32.0</v>
      </c>
      <c r="AA95" s="13">
        <v>2.07E-4</v>
      </c>
      <c r="AB95" s="12">
        <v>0.0</v>
      </c>
      <c r="AC95" s="13"/>
    </row>
    <row r="96" ht="14.25" customHeight="1">
      <c r="A96" s="11" t="s">
        <v>109</v>
      </c>
      <c r="B96" s="14">
        <v>62.0</v>
      </c>
      <c r="C96" s="13">
        <v>3.95E-4</v>
      </c>
      <c r="D96" s="14">
        <v>56.0</v>
      </c>
      <c r="E96" s="13">
        <v>3.56E-4</v>
      </c>
      <c r="F96" s="14">
        <v>156144.0</v>
      </c>
      <c r="G96" s="13">
        <v>0.993738</v>
      </c>
      <c r="H96" s="14">
        <v>0.0</v>
      </c>
      <c r="I96" s="13"/>
      <c r="J96" s="14">
        <v>1.0</v>
      </c>
      <c r="K96" s="13">
        <v>6.0E-6</v>
      </c>
      <c r="L96" s="14">
        <v>239.0</v>
      </c>
      <c r="M96" s="13">
        <v>0.001521</v>
      </c>
      <c r="N96" s="14">
        <v>0.0</v>
      </c>
      <c r="O96" s="13"/>
      <c r="P96" s="14">
        <v>2.0</v>
      </c>
      <c r="Q96" s="13">
        <v>1.3E-5</v>
      </c>
      <c r="R96" s="14">
        <v>17.0</v>
      </c>
      <c r="S96" s="13">
        <v>1.08E-4</v>
      </c>
      <c r="T96" s="14">
        <v>2.0</v>
      </c>
      <c r="U96" s="13">
        <v>1.3E-5</v>
      </c>
      <c r="V96" s="14">
        <v>61.0</v>
      </c>
      <c r="W96" s="13">
        <v>3.88E-4</v>
      </c>
      <c r="X96" s="14">
        <v>130.0</v>
      </c>
      <c r="Y96" s="13">
        <v>8.27E-4</v>
      </c>
      <c r="Z96" s="14">
        <v>16.0</v>
      </c>
      <c r="AA96" s="13">
        <v>1.02E-4</v>
      </c>
      <c r="AB96" s="12">
        <v>0.0</v>
      </c>
      <c r="AC96" s="13"/>
    </row>
    <row r="97" ht="14.25" customHeight="1">
      <c r="A97" s="11" t="s">
        <v>110</v>
      </c>
      <c r="B97" s="14">
        <v>88.0</v>
      </c>
      <c r="C97" s="13">
        <v>5.96E-4</v>
      </c>
      <c r="D97" s="14">
        <v>9.0</v>
      </c>
      <c r="E97" s="13">
        <v>6.1E-5</v>
      </c>
      <c r="F97" s="14">
        <v>146804.0</v>
      </c>
      <c r="G97" s="13">
        <v>0.994533</v>
      </c>
      <c r="H97" s="14">
        <v>3.0</v>
      </c>
      <c r="I97" s="13">
        <v>2.0E-5</v>
      </c>
      <c r="J97" s="14">
        <v>0.0</v>
      </c>
      <c r="K97" s="13"/>
      <c r="L97" s="14">
        <v>165.0</v>
      </c>
      <c r="M97" s="13">
        <v>0.001118</v>
      </c>
      <c r="N97" s="14">
        <v>0.0</v>
      </c>
      <c r="O97" s="13"/>
      <c r="P97" s="14">
        <v>1.0</v>
      </c>
      <c r="Q97" s="13">
        <v>7.0E-6</v>
      </c>
      <c r="R97" s="14">
        <v>0.0</v>
      </c>
      <c r="S97" s="13"/>
      <c r="T97" s="14">
        <v>0.0</v>
      </c>
      <c r="U97" s="13"/>
      <c r="V97" s="14">
        <v>69.0</v>
      </c>
      <c r="W97" s="13">
        <v>4.67E-4</v>
      </c>
      <c r="X97" s="14">
        <v>87.0</v>
      </c>
      <c r="Y97" s="13">
        <v>5.89E-4</v>
      </c>
      <c r="Z97" s="14">
        <v>22.0</v>
      </c>
      <c r="AA97" s="13">
        <v>1.49E-4</v>
      </c>
      <c r="AB97" s="12">
        <v>0.0</v>
      </c>
      <c r="AC97" s="13"/>
    </row>
    <row r="98" ht="14.25" customHeight="1">
      <c r="A98" s="11" t="s">
        <v>111</v>
      </c>
      <c r="B98" s="14">
        <v>30.0</v>
      </c>
      <c r="C98" s="13">
        <v>1.84E-4</v>
      </c>
      <c r="D98" s="14">
        <v>7.0</v>
      </c>
      <c r="E98" s="13">
        <v>4.3E-5</v>
      </c>
      <c r="F98" s="14">
        <v>162480.0</v>
      </c>
      <c r="G98" s="13">
        <v>0.995783</v>
      </c>
      <c r="H98" s="14">
        <v>0.0</v>
      </c>
      <c r="I98" s="13"/>
      <c r="J98" s="14">
        <v>1.0</v>
      </c>
      <c r="K98" s="13">
        <v>6.0E-6</v>
      </c>
      <c r="L98" s="14">
        <v>135.0</v>
      </c>
      <c r="M98" s="13">
        <v>8.27E-4</v>
      </c>
      <c r="N98" s="14">
        <v>0.0</v>
      </c>
      <c r="O98" s="13"/>
      <c r="P98" s="14">
        <v>0.0</v>
      </c>
      <c r="Q98" s="13"/>
      <c r="R98" s="14">
        <v>1.0</v>
      </c>
      <c r="S98" s="13">
        <v>6.0E-6</v>
      </c>
      <c r="T98" s="14">
        <v>0.0</v>
      </c>
      <c r="U98" s="13"/>
      <c r="V98" s="14">
        <v>52.0</v>
      </c>
      <c r="W98" s="13">
        <v>3.19E-4</v>
      </c>
      <c r="X98" s="14">
        <v>73.0</v>
      </c>
      <c r="Y98" s="13">
        <v>4.47E-4</v>
      </c>
      <c r="Z98" s="14">
        <v>15.0</v>
      </c>
      <c r="AA98" s="13">
        <v>9.2E-5</v>
      </c>
      <c r="AB98" s="12">
        <v>1.0</v>
      </c>
      <c r="AC98" s="13">
        <v>6.0E-6</v>
      </c>
    </row>
    <row r="99" ht="14.25" customHeight="1">
      <c r="A99" s="11" t="s">
        <v>112</v>
      </c>
      <c r="B99" s="14">
        <v>22.0</v>
      </c>
      <c r="C99" s="13">
        <v>1.29E-4</v>
      </c>
      <c r="D99" s="14">
        <v>8.0</v>
      </c>
      <c r="E99" s="13">
        <v>4.7E-5</v>
      </c>
      <c r="F99" s="14">
        <v>169622.0</v>
      </c>
      <c r="G99" s="13">
        <v>0.996206</v>
      </c>
      <c r="H99" s="14">
        <v>0.0</v>
      </c>
      <c r="I99" s="13"/>
      <c r="J99" s="14">
        <v>2.0</v>
      </c>
      <c r="K99" s="13">
        <v>1.2E-5</v>
      </c>
      <c r="L99" s="14">
        <v>102.0</v>
      </c>
      <c r="M99" s="13">
        <v>5.99E-4</v>
      </c>
      <c r="N99" s="14">
        <v>0.0</v>
      </c>
      <c r="O99" s="13"/>
      <c r="P99" s="14">
        <v>1.0</v>
      </c>
      <c r="Q99" s="13">
        <v>6.0E-6</v>
      </c>
      <c r="R99" s="14">
        <v>1.0</v>
      </c>
      <c r="S99" s="13">
        <v>6.0E-6</v>
      </c>
      <c r="T99" s="14">
        <v>0.0</v>
      </c>
      <c r="U99" s="13"/>
      <c r="V99" s="14">
        <v>44.0</v>
      </c>
      <c r="W99" s="13">
        <v>2.58E-4</v>
      </c>
      <c r="X99" s="14">
        <v>61.0</v>
      </c>
      <c r="Y99" s="13">
        <v>3.58E-4</v>
      </c>
      <c r="Z99" s="14">
        <v>36.0</v>
      </c>
      <c r="AA99" s="13">
        <v>2.11E-4</v>
      </c>
      <c r="AB99" s="12">
        <v>0.0</v>
      </c>
      <c r="AC99" s="13"/>
    </row>
    <row r="100" ht="14.25" customHeight="1">
      <c r="A100" s="11" t="s">
        <v>113</v>
      </c>
      <c r="B100" s="14">
        <v>28.0</v>
      </c>
      <c r="C100" s="13">
        <v>1.54E-4</v>
      </c>
      <c r="D100" s="14">
        <v>4.0</v>
      </c>
      <c r="E100" s="13">
        <v>2.2E-5</v>
      </c>
      <c r="F100" s="14">
        <v>181162.0</v>
      </c>
      <c r="G100" s="13">
        <v>0.995954</v>
      </c>
      <c r="H100" s="14">
        <v>1.0</v>
      </c>
      <c r="I100" s="13">
        <v>5.0E-6</v>
      </c>
      <c r="J100" s="14">
        <v>1.0</v>
      </c>
      <c r="K100" s="13">
        <v>5.0E-6</v>
      </c>
      <c r="L100" s="14">
        <v>71.0</v>
      </c>
      <c r="M100" s="13">
        <v>3.9E-4</v>
      </c>
      <c r="N100" s="14">
        <v>0.0</v>
      </c>
      <c r="O100" s="13"/>
      <c r="P100" s="14">
        <v>0.0</v>
      </c>
      <c r="Q100" s="13"/>
      <c r="R100" s="14">
        <v>0.0</v>
      </c>
      <c r="S100" s="13"/>
      <c r="T100" s="14">
        <v>0.0</v>
      </c>
      <c r="U100" s="13"/>
      <c r="V100" s="14">
        <v>45.0</v>
      </c>
      <c r="W100" s="13">
        <v>2.47E-4</v>
      </c>
      <c r="X100" s="14">
        <v>50.0</v>
      </c>
      <c r="Y100" s="13">
        <v>2.75E-4</v>
      </c>
      <c r="Z100" s="14">
        <v>43.0</v>
      </c>
      <c r="AA100" s="13">
        <v>2.36E-4</v>
      </c>
      <c r="AB100" s="12">
        <v>0.0</v>
      </c>
      <c r="AC100" s="13"/>
    </row>
    <row r="101" ht="14.25" customHeight="1">
      <c r="A101" s="11" t="s">
        <v>114</v>
      </c>
      <c r="B101" s="14">
        <v>17.0</v>
      </c>
      <c r="C101" s="13">
        <v>8.9E-5</v>
      </c>
      <c r="D101" s="14">
        <v>6.0</v>
      </c>
      <c r="E101" s="13">
        <v>3.1E-5</v>
      </c>
      <c r="F101" s="14">
        <v>191033.0</v>
      </c>
      <c r="G101" s="13">
        <v>0.995767</v>
      </c>
      <c r="H101" s="14">
        <v>6.0</v>
      </c>
      <c r="I101" s="13">
        <v>3.1E-5</v>
      </c>
      <c r="J101" s="14">
        <v>1.0</v>
      </c>
      <c r="K101" s="13">
        <v>5.0E-6</v>
      </c>
      <c r="L101" s="14">
        <v>35.0</v>
      </c>
      <c r="M101" s="13">
        <v>1.82E-4</v>
      </c>
      <c r="N101" s="14">
        <v>0.0</v>
      </c>
      <c r="O101" s="13"/>
      <c r="P101" s="14">
        <v>1.0</v>
      </c>
      <c r="Q101" s="13">
        <v>5.0E-6</v>
      </c>
      <c r="R101" s="14">
        <v>0.0</v>
      </c>
      <c r="S101" s="13"/>
      <c r="T101" s="14">
        <v>0.0</v>
      </c>
      <c r="U101" s="13"/>
      <c r="V101" s="14">
        <v>36.0</v>
      </c>
      <c r="W101" s="13">
        <v>1.88E-4</v>
      </c>
      <c r="X101" s="14">
        <v>47.0</v>
      </c>
      <c r="Y101" s="13">
        <v>2.45E-4</v>
      </c>
      <c r="Z101" s="14">
        <v>89.0</v>
      </c>
      <c r="AA101" s="13">
        <v>4.64E-4</v>
      </c>
      <c r="AB101" s="12">
        <v>0.0</v>
      </c>
      <c r="AC101" s="13"/>
    </row>
    <row r="102" ht="14.25" customHeight="1">
      <c r="A102" s="11" t="s">
        <v>115</v>
      </c>
      <c r="B102" s="14">
        <v>8.0</v>
      </c>
      <c r="C102" s="13">
        <v>4.1E-5</v>
      </c>
      <c r="D102" s="14">
        <v>1.0</v>
      </c>
      <c r="E102" s="13">
        <v>5.0E-6</v>
      </c>
      <c r="F102" s="14">
        <v>194500.0</v>
      </c>
      <c r="G102" s="13">
        <v>0.993411</v>
      </c>
      <c r="H102" s="14">
        <v>0.0</v>
      </c>
      <c r="I102" s="13"/>
      <c r="J102" s="14">
        <v>1.0</v>
      </c>
      <c r="K102" s="13">
        <v>5.0E-6</v>
      </c>
      <c r="L102" s="14">
        <v>32.0</v>
      </c>
      <c r="M102" s="13">
        <v>1.63E-4</v>
      </c>
      <c r="N102" s="14">
        <v>0.0</v>
      </c>
      <c r="O102" s="13"/>
      <c r="P102" s="14">
        <v>0.0</v>
      </c>
      <c r="Q102" s="13"/>
      <c r="R102" s="14">
        <v>5.0</v>
      </c>
      <c r="S102" s="13">
        <v>2.6E-5</v>
      </c>
      <c r="T102" s="14">
        <v>0.0</v>
      </c>
      <c r="U102" s="13"/>
      <c r="V102" s="14">
        <v>22.0</v>
      </c>
      <c r="W102" s="13">
        <v>1.12E-4</v>
      </c>
      <c r="X102" s="14">
        <v>31.0</v>
      </c>
      <c r="Y102" s="13">
        <v>1.58E-4</v>
      </c>
      <c r="Z102" s="14">
        <v>481.0</v>
      </c>
      <c r="AA102" s="13">
        <v>0.002457</v>
      </c>
      <c r="AB102" s="12">
        <v>0.0</v>
      </c>
      <c r="AC102" s="13"/>
    </row>
    <row r="103" ht="14.25" customHeight="1">
      <c r="A103" s="11" t="s">
        <v>116</v>
      </c>
      <c r="B103" s="14">
        <v>15.0</v>
      </c>
      <c r="C103" s="13">
        <v>8.0E-5</v>
      </c>
      <c r="D103" s="14">
        <v>2.0</v>
      </c>
      <c r="E103" s="13">
        <v>1.1E-5</v>
      </c>
      <c r="F103" s="14">
        <v>184523.0</v>
      </c>
      <c r="G103" s="13">
        <v>0.9888</v>
      </c>
      <c r="H103" s="14">
        <v>0.0</v>
      </c>
      <c r="I103" s="13"/>
      <c r="J103" s="14">
        <v>0.0</v>
      </c>
      <c r="K103" s="13"/>
      <c r="L103" s="14">
        <v>23.0</v>
      </c>
      <c r="M103" s="13">
        <v>1.23E-4</v>
      </c>
      <c r="N103" s="14">
        <v>0.0</v>
      </c>
      <c r="O103" s="13"/>
      <c r="P103" s="14">
        <v>2.0</v>
      </c>
      <c r="Q103" s="13">
        <v>1.1E-5</v>
      </c>
      <c r="R103" s="14">
        <v>0.0</v>
      </c>
      <c r="S103" s="13"/>
      <c r="T103" s="14">
        <v>1.0</v>
      </c>
      <c r="U103" s="13">
        <v>5.0E-6</v>
      </c>
      <c r="V103" s="14">
        <v>5.0</v>
      </c>
      <c r="W103" s="13">
        <v>2.7E-5</v>
      </c>
      <c r="X103" s="14">
        <v>17.0</v>
      </c>
      <c r="Y103" s="13">
        <v>9.1E-5</v>
      </c>
      <c r="Z103" s="14">
        <v>1594.0</v>
      </c>
      <c r="AA103" s="13">
        <v>0.008542</v>
      </c>
      <c r="AB103" s="12">
        <v>0.0</v>
      </c>
      <c r="AC103" s="13"/>
    </row>
    <row r="104" ht="14.25" customHeight="1">
      <c r="A104" s="11" t="s">
        <v>117</v>
      </c>
      <c r="B104" s="14">
        <v>33.0</v>
      </c>
      <c r="C104" s="13">
        <v>1.4E-4</v>
      </c>
      <c r="D104" s="14">
        <v>5.0</v>
      </c>
      <c r="E104" s="13">
        <v>2.1E-5</v>
      </c>
      <c r="F104" s="14">
        <v>229402.0</v>
      </c>
      <c r="G104" s="13">
        <v>0.971367</v>
      </c>
      <c r="H104" s="14">
        <v>2.0</v>
      </c>
      <c r="I104" s="13">
        <v>8.0E-6</v>
      </c>
      <c r="J104" s="14">
        <v>1.0</v>
      </c>
      <c r="K104" s="13">
        <v>4.0E-6</v>
      </c>
      <c r="L104" s="14">
        <v>28.0</v>
      </c>
      <c r="M104" s="13">
        <v>1.19E-4</v>
      </c>
      <c r="N104" s="14">
        <v>0.0</v>
      </c>
      <c r="O104" s="13"/>
      <c r="P104" s="14">
        <v>3.0</v>
      </c>
      <c r="Q104" s="13">
        <v>1.3E-5</v>
      </c>
      <c r="R104" s="14">
        <v>2.0</v>
      </c>
      <c r="S104" s="13">
        <v>8.0E-6</v>
      </c>
      <c r="T104" s="14">
        <v>0.0</v>
      </c>
      <c r="U104" s="13"/>
      <c r="V104" s="14">
        <v>4.0</v>
      </c>
      <c r="W104" s="13">
        <v>1.7E-5</v>
      </c>
      <c r="X104" s="14">
        <v>8.0</v>
      </c>
      <c r="Y104" s="13">
        <v>3.4E-5</v>
      </c>
      <c r="Z104" s="14">
        <v>6053.0</v>
      </c>
      <c r="AA104" s="13">
        <v>0.02563</v>
      </c>
      <c r="AB104" s="12">
        <v>0.0</v>
      </c>
      <c r="AC104" s="13"/>
    </row>
    <row r="105" ht="14.25" customHeight="1">
      <c r="A105" s="11" t="s">
        <v>118</v>
      </c>
      <c r="B105" s="14">
        <v>23.0</v>
      </c>
      <c r="C105" s="13">
        <v>1.01E-4</v>
      </c>
      <c r="D105" s="14">
        <v>1.0</v>
      </c>
      <c r="E105" s="13">
        <v>4.0E-6</v>
      </c>
      <c r="F105" s="14">
        <v>200145.0</v>
      </c>
      <c r="G105" s="13">
        <v>0.87924</v>
      </c>
      <c r="H105" s="14">
        <v>2.0</v>
      </c>
      <c r="I105" s="13">
        <v>9.0E-6</v>
      </c>
      <c r="J105" s="14">
        <v>0.0</v>
      </c>
      <c r="K105" s="13"/>
      <c r="L105" s="14">
        <v>13.0</v>
      </c>
      <c r="M105" s="13">
        <v>5.7E-5</v>
      </c>
      <c r="N105" s="14">
        <v>0.0</v>
      </c>
      <c r="O105" s="13"/>
      <c r="P105" s="14">
        <v>2.0</v>
      </c>
      <c r="Q105" s="13">
        <v>9.0E-6</v>
      </c>
      <c r="R105" s="14">
        <v>2.0</v>
      </c>
      <c r="S105" s="13">
        <v>9.0E-6</v>
      </c>
      <c r="T105" s="14">
        <v>0.0</v>
      </c>
      <c r="U105" s="13"/>
      <c r="V105" s="14">
        <v>8.0</v>
      </c>
      <c r="W105" s="13">
        <v>3.5E-5</v>
      </c>
      <c r="X105" s="14">
        <v>14.0</v>
      </c>
      <c r="Y105" s="13">
        <v>6.2E-5</v>
      </c>
      <c r="Z105" s="14">
        <v>26766.0</v>
      </c>
      <c r="AA105" s="13">
        <v>0.117583</v>
      </c>
      <c r="AB105" s="12">
        <v>0.0</v>
      </c>
      <c r="AC105" s="13"/>
    </row>
    <row r="106" ht="14.25" customHeight="1">
      <c r="A106" s="11" t="s">
        <v>119</v>
      </c>
      <c r="B106" s="14">
        <v>29.0</v>
      </c>
      <c r="C106" s="13">
        <v>1.18E-4</v>
      </c>
      <c r="D106" s="14">
        <v>1.0</v>
      </c>
      <c r="E106" s="13">
        <v>4.0E-6</v>
      </c>
      <c r="F106" s="14">
        <v>138407.0</v>
      </c>
      <c r="G106" s="13">
        <v>0.562038</v>
      </c>
      <c r="H106" s="14">
        <v>2.0</v>
      </c>
      <c r="I106" s="13">
        <v>8.0E-6</v>
      </c>
      <c r="J106" s="14">
        <v>0.0</v>
      </c>
      <c r="K106" s="13"/>
      <c r="L106" s="14">
        <v>18.0</v>
      </c>
      <c r="M106" s="13">
        <v>7.3E-5</v>
      </c>
      <c r="N106" s="14">
        <v>0.0</v>
      </c>
      <c r="O106" s="13"/>
      <c r="P106" s="14">
        <v>2.0</v>
      </c>
      <c r="Q106" s="13">
        <v>8.0E-6</v>
      </c>
      <c r="R106" s="14">
        <v>2.0</v>
      </c>
      <c r="S106" s="13">
        <v>8.0E-6</v>
      </c>
      <c r="T106" s="14">
        <v>1.0</v>
      </c>
      <c r="U106" s="13">
        <v>4.0E-6</v>
      </c>
      <c r="V106" s="14">
        <v>5.0</v>
      </c>
      <c r="W106" s="13">
        <v>2.0E-5</v>
      </c>
      <c r="X106" s="14">
        <v>16.0</v>
      </c>
      <c r="Y106" s="13">
        <v>6.5E-5</v>
      </c>
      <c r="Z106" s="14">
        <v>106956.0</v>
      </c>
      <c r="AA106" s="13">
        <v>0.434323</v>
      </c>
      <c r="AB106" s="12">
        <v>0.0</v>
      </c>
      <c r="AC106" s="13"/>
    </row>
    <row r="107" ht="14.25" customHeight="1">
      <c r="A107" s="11" t="s">
        <v>120</v>
      </c>
      <c r="B107" s="14">
        <v>7.0</v>
      </c>
      <c r="C107" s="13">
        <v>2.9E-5</v>
      </c>
      <c r="D107" s="14">
        <v>0.0</v>
      </c>
      <c r="E107" s="13"/>
      <c r="F107" s="14">
        <v>73644.0</v>
      </c>
      <c r="G107" s="13">
        <v>0.309706</v>
      </c>
      <c r="H107" s="14">
        <v>0.0</v>
      </c>
      <c r="I107" s="13"/>
      <c r="J107" s="14">
        <v>0.0</v>
      </c>
      <c r="K107" s="13"/>
      <c r="L107" s="14">
        <v>12.0</v>
      </c>
      <c r="M107" s="13">
        <v>5.0E-5</v>
      </c>
      <c r="N107" s="14">
        <v>0.0</v>
      </c>
      <c r="O107" s="13"/>
      <c r="P107" s="14">
        <v>1.0</v>
      </c>
      <c r="Q107" s="13">
        <v>4.0E-6</v>
      </c>
      <c r="R107" s="14">
        <v>0.0</v>
      </c>
      <c r="S107" s="13"/>
      <c r="T107" s="14">
        <v>0.0</v>
      </c>
      <c r="U107" s="13"/>
      <c r="V107" s="14">
        <v>1.0</v>
      </c>
      <c r="W107" s="13">
        <v>4.0E-6</v>
      </c>
      <c r="X107" s="14">
        <v>3.0</v>
      </c>
      <c r="Y107" s="13">
        <v>1.3E-5</v>
      </c>
      <c r="Z107" s="14">
        <v>163398.0</v>
      </c>
      <c r="AA107" s="13">
        <v>0.687161</v>
      </c>
      <c r="AB107" s="12">
        <v>0.0</v>
      </c>
      <c r="AC107" s="13"/>
    </row>
    <row r="108" ht="14.25" customHeight="1">
      <c r="A108" s="11" t="s">
        <v>121</v>
      </c>
      <c r="B108" s="14">
        <v>21.0</v>
      </c>
      <c r="C108" s="13">
        <v>6.9E-5</v>
      </c>
      <c r="D108" s="14">
        <v>4.0</v>
      </c>
      <c r="E108" s="13">
        <v>1.3E-5</v>
      </c>
      <c r="F108" s="14">
        <v>46044.0</v>
      </c>
      <c r="G108" s="13">
        <v>0.15065</v>
      </c>
      <c r="H108" s="14">
        <v>0.0</v>
      </c>
      <c r="I108" s="13"/>
      <c r="J108" s="14">
        <v>0.0</v>
      </c>
      <c r="K108" s="13"/>
      <c r="L108" s="14">
        <v>30.0</v>
      </c>
      <c r="M108" s="13">
        <v>9.8E-5</v>
      </c>
      <c r="N108" s="14">
        <v>0.0</v>
      </c>
      <c r="O108" s="13"/>
      <c r="P108" s="14">
        <v>2.0</v>
      </c>
      <c r="Q108" s="13">
        <v>7.0E-6</v>
      </c>
      <c r="R108" s="14">
        <v>0.0</v>
      </c>
      <c r="S108" s="13"/>
      <c r="T108" s="14">
        <v>0.0</v>
      </c>
      <c r="U108" s="13"/>
      <c r="V108" s="14">
        <v>1.0</v>
      </c>
      <c r="W108" s="13">
        <v>3.0E-6</v>
      </c>
      <c r="X108" s="14">
        <v>1.0</v>
      </c>
      <c r="Y108" s="13">
        <v>3.0E-6</v>
      </c>
      <c r="Z108" s="14">
        <v>258417.0</v>
      </c>
      <c r="AA108" s="13">
        <v>0.845509</v>
      </c>
      <c r="AB108" s="12">
        <v>0.0</v>
      </c>
      <c r="AC108" s="13"/>
    </row>
    <row r="109" ht="14.25" customHeight="1">
      <c r="A109" s="11" t="s">
        <v>122</v>
      </c>
      <c r="B109" s="14">
        <v>25.0</v>
      </c>
      <c r="C109" s="13">
        <v>7.4E-5</v>
      </c>
      <c r="D109" s="14">
        <v>1.0</v>
      </c>
      <c r="E109" s="13">
        <v>3.0E-6</v>
      </c>
      <c r="F109" s="14">
        <v>26263.0</v>
      </c>
      <c r="G109" s="13">
        <v>0.077746</v>
      </c>
      <c r="H109" s="14">
        <v>1.0</v>
      </c>
      <c r="I109" s="13">
        <v>3.0E-6</v>
      </c>
      <c r="J109" s="14">
        <v>1.0</v>
      </c>
      <c r="K109" s="13">
        <v>3.0E-6</v>
      </c>
      <c r="L109" s="14">
        <v>1.0</v>
      </c>
      <c r="M109" s="13">
        <v>3.0E-6</v>
      </c>
      <c r="N109" s="14">
        <v>0.0</v>
      </c>
      <c r="O109" s="13"/>
      <c r="P109" s="14">
        <v>2.0</v>
      </c>
      <c r="Q109" s="13">
        <v>6.0E-6</v>
      </c>
      <c r="R109" s="14">
        <v>0.0</v>
      </c>
      <c r="S109" s="13"/>
      <c r="T109" s="14">
        <v>11.0</v>
      </c>
      <c r="U109" s="13">
        <v>3.3E-5</v>
      </c>
      <c r="V109" s="14">
        <v>0.0</v>
      </c>
      <c r="W109" s="13"/>
      <c r="X109" s="14">
        <v>0.0</v>
      </c>
      <c r="Y109" s="13"/>
      <c r="Z109" s="14">
        <v>310556.0</v>
      </c>
      <c r="AA109" s="13">
        <v>0.919341</v>
      </c>
      <c r="AB109" s="12">
        <v>0.0</v>
      </c>
      <c r="AC109" s="13"/>
    </row>
    <row r="110" ht="14.25" customHeight="1">
      <c r="A110" s="11" t="s">
        <v>123</v>
      </c>
      <c r="B110" s="12">
        <v>4.0</v>
      </c>
      <c r="C110" s="13">
        <v>1.3E-5</v>
      </c>
      <c r="D110" s="12">
        <v>2.0</v>
      </c>
      <c r="E110" s="13">
        <v>6.0E-6</v>
      </c>
      <c r="F110" s="12">
        <v>12432.0</v>
      </c>
      <c r="G110" s="13">
        <v>0.039719</v>
      </c>
      <c r="H110" s="12">
        <v>0.0</v>
      </c>
      <c r="I110" s="13"/>
      <c r="J110" s="12">
        <v>0.0</v>
      </c>
      <c r="K110" s="13"/>
      <c r="L110" s="12">
        <v>1.0</v>
      </c>
      <c r="M110" s="13">
        <v>3.0E-6</v>
      </c>
      <c r="N110" s="12">
        <v>0.0</v>
      </c>
      <c r="O110" s="13"/>
      <c r="P110" s="12">
        <v>0.0</v>
      </c>
      <c r="Q110" s="13"/>
      <c r="R110" s="12">
        <v>0.0</v>
      </c>
      <c r="S110" s="13"/>
      <c r="T110" s="12">
        <v>0.0</v>
      </c>
      <c r="U110" s="13"/>
      <c r="V110" s="12">
        <v>1.0</v>
      </c>
      <c r="W110" s="13">
        <v>3.0E-6</v>
      </c>
      <c r="X110" s="12">
        <v>1.0</v>
      </c>
      <c r="Y110" s="13">
        <v>3.0E-6</v>
      </c>
      <c r="Z110" s="12">
        <v>299982.0</v>
      </c>
      <c r="AA110" s="13">
        <v>0.958415</v>
      </c>
      <c r="AB110" s="12">
        <v>1.0</v>
      </c>
      <c r="AC110" s="13">
        <v>3.0E-6</v>
      </c>
    </row>
    <row r="111" ht="14.25" customHeight="1">
      <c r="A111" s="11" t="s">
        <v>124</v>
      </c>
      <c r="B111" s="12">
        <v>6.0</v>
      </c>
      <c r="C111" s="13">
        <v>1.9E-5</v>
      </c>
      <c r="D111" s="12">
        <v>0.0</v>
      </c>
      <c r="E111" s="13"/>
      <c r="F111" s="12">
        <v>5490.0</v>
      </c>
      <c r="G111" s="13">
        <v>0.017359</v>
      </c>
      <c r="H111" s="12">
        <v>0.0</v>
      </c>
      <c r="I111" s="13"/>
      <c r="J111" s="12">
        <v>0.0</v>
      </c>
      <c r="K111" s="13"/>
      <c r="L111" s="12">
        <v>0.0</v>
      </c>
      <c r="M111" s="13"/>
      <c r="N111" s="12">
        <v>0.0</v>
      </c>
      <c r="O111" s="13"/>
      <c r="P111" s="12">
        <v>2.0</v>
      </c>
      <c r="Q111" s="13">
        <v>6.0E-6</v>
      </c>
      <c r="R111" s="12">
        <v>1.0</v>
      </c>
      <c r="S111" s="13">
        <v>3.0E-6</v>
      </c>
      <c r="T111" s="12">
        <v>2.0</v>
      </c>
      <c r="U111" s="13">
        <v>6.0E-6</v>
      </c>
      <c r="V111" s="12">
        <v>0.0</v>
      </c>
      <c r="W111" s="13"/>
      <c r="X111" s="12">
        <v>0.0</v>
      </c>
      <c r="Y111" s="13"/>
      <c r="Z111" s="12">
        <v>310230.0</v>
      </c>
      <c r="AA111" s="13">
        <v>0.980933</v>
      </c>
      <c r="AB111" s="12">
        <v>0.0</v>
      </c>
      <c r="AC111" s="13"/>
    </row>
    <row r="112" ht="14.25" customHeight="1">
      <c r="A112" s="11" t="s">
        <v>125</v>
      </c>
      <c r="B112" s="12">
        <v>8.0</v>
      </c>
      <c r="C112" s="13">
        <v>2.9E-5</v>
      </c>
      <c r="D112" s="12">
        <v>1.0</v>
      </c>
      <c r="E112" s="13">
        <v>4.0E-6</v>
      </c>
      <c r="F112" s="12">
        <v>2468.0</v>
      </c>
      <c r="G112" s="13">
        <v>0.00892</v>
      </c>
      <c r="H112" s="12">
        <v>0.0</v>
      </c>
      <c r="I112" s="13"/>
      <c r="J112" s="12">
        <v>0.0</v>
      </c>
      <c r="K112" s="13"/>
      <c r="L112" s="12">
        <v>0.0</v>
      </c>
      <c r="M112" s="13"/>
      <c r="N112" s="12">
        <v>0.0</v>
      </c>
      <c r="O112" s="13"/>
      <c r="P112" s="12">
        <v>1.0</v>
      </c>
      <c r="Q112" s="13">
        <v>4.0E-6</v>
      </c>
      <c r="R112" s="12">
        <v>0.0</v>
      </c>
      <c r="S112" s="13"/>
      <c r="T112" s="12">
        <v>3.0</v>
      </c>
      <c r="U112" s="13">
        <v>1.1E-5</v>
      </c>
      <c r="V112" s="12">
        <v>1.0</v>
      </c>
      <c r="W112" s="13">
        <v>4.0E-6</v>
      </c>
      <c r="X112" s="12">
        <v>1.0</v>
      </c>
      <c r="Y112" s="13">
        <v>4.0E-6</v>
      </c>
      <c r="Z112" s="12">
        <v>273906.0</v>
      </c>
      <c r="AA112" s="13">
        <v>0.989917</v>
      </c>
      <c r="AB112" s="12">
        <v>2.0</v>
      </c>
      <c r="AC112" s="13">
        <v>7.0E-6</v>
      </c>
    </row>
    <row r="113" ht="14.25" customHeight="1">
      <c r="A113" s="11" t="s">
        <v>126</v>
      </c>
      <c r="B113" s="12">
        <v>16.0</v>
      </c>
      <c r="C113" s="13">
        <v>5.7E-5</v>
      </c>
      <c r="D113" s="12">
        <v>1.0</v>
      </c>
      <c r="E113" s="13">
        <v>4.0E-6</v>
      </c>
      <c r="F113" s="12">
        <v>1284.0</v>
      </c>
      <c r="G113" s="13">
        <v>0.004554</v>
      </c>
      <c r="H113" s="12">
        <v>0.0</v>
      </c>
      <c r="I113" s="13"/>
      <c r="J113" s="12">
        <v>0.0</v>
      </c>
      <c r="K113" s="13"/>
      <c r="L113" s="12">
        <v>2.0</v>
      </c>
      <c r="M113" s="13">
        <v>7.0E-6</v>
      </c>
      <c r="N113" s="12">
        <v>0.0</v>
      </c>
      <c r="O113" s="13"/>
      <c r="P113" s="12">
        <v>0.0</v>
      </c>
      <c r="Q113" s="13"/>
      <c r="R113" s="12">
        <v>2.0</v>
      </c>
      <c r="S113" s="13">
        <v>7.0E-6</v>
      </c>
      <c r="T113" s="12">
        <v>1.0</v>
      </c>
      <c r="U113" s="13">
        <v>4.0E-6</v>
      </c>
      <c r="V113" s="12">
        <v>0.0</v>
      </c>
      <c r="W113" s="13"/>
      <c r="X113" s="12">
        <v>0.0</v>
      </c>
      <c r="Y113" s="13"/>
      <c r="Z113" s="12">
        <v>280144.0</v>
      </c>
      <c r="AA113" s="13">
        <v>0.993655</v>
      </c>
      <c r="AB113" s="12">
        <v>0.0</v>
      </c>
      <c r="AC113" s="13"/>
    </row>
    <row r="114" ht="14.25" customHeight="1">
      <c r="A114" s="11" t="s">
        <v>127</v>
      </c>
      <c r="B114" s="12">
        <v>9.0</v>
      </c>
      <c r="C114" s="13">
        <v>3.5E-5</v>
      </c>
      <c r="D114" s="12">
        <v>0.0</v>
      </c>
      <c r="E114" s="13"/>
      <c r="F114" s="12">
        <v>751.0</v>
      </c>
      <c r="G114" s="13">
        <v>0.002884</v>
      </c>
      <c r="H114" s="12">
        <v>2.0</v>
      </c>
      <c r="I114" s="13">
        <v>8.0E-6</v>
      </c>
      <c r="J114" s="12">
        <v>0.0</v>
      </c>
      <c r="K114" s="13"/>
      <c r="L114" s="12">
        <v>0.0</v>
      </c>
      <c r="M114" s="13"/>
      <c r="N114" s="12">
        <v>0.0</v>
      </c>
      <c r="O114" s="13"/>
      <c r="P114" s="12">
        <v>0.0</v>
      </c>
      <c r="Q114" s="13"/>
      <c r="R114" s="12">
        <v>1.0</v>
      </c>
      <c r="S114" s="13">
        <v>4.0E-6</v>
      </c>
      <c r="T114" s="12">
        <v>3.0</v>
      </c>
      <c r="U114" s="13">
        <v>1.2E-5</v>
      </c>
      <c r="V114" s="12">
        <v>0.0</v>
      </c>
      <c r="W114" s="13"/>
      <c r="X114" s="12">
        <v>1.0</v>
      </c>
      <c r="Y114" s="13">
        <v>4.0E-6</v>
      </c>
      <c r="Z114" s="12">
        <v>259117.0</v>
      </c>
      <c r="AA114" s="13">
        <v>0.995195</v>
      </c>
      <c r="AB114" s="12">
        <v>0.0</v>
      </c>
      <c r="AC114" s="13"/>
    </row>
    <row r="115" ht="14.25" customHeight="1">
      <c r="A115" s="11" t="s">
        <v>128</v>
      </c>
      <c r="B115" s="12">
        <v>5.0</v>
      </c>
      <c r="C115" s="13">
        <v>2.1E-5</v>
      </c>
      <c r="D115" s="12">
        <v>0.0</v>
      </c>
      <c r="E115" s="13"/>
      <c r="F115" s="12">
        <v>429.0</v>
      </c>
      <c r="G115" s="13">
        <v>0.001833</v>
      </c>
      <c r="H115" s="12">
        <v>0.0</v>
      </c>
      <c r="I115" s="13"/>
      <c r="J115" s="12">
        <v>0.0</v>
      </c>
      <c r="K115" s="13"/>
      <c r="L115" s="12">
        <v>3.0</v>
      </c>
      <c r="M115" s="13">
        <v>1.3E-5</v>
      </c>
      <c r="N115" s="12">
        <v>0.0</v>
      </c>
      <c r="O115" s="13"/>
      <c r="P115" s="12">
        <v>0.0</v>
      </c>
      <c r="Q115" s="13"/>
      <c r="R115" s="12">
        <v>1.0</v>
      </c>
      <c r="S115" s="13">
        <v>4.0E-6</v>
      </c>
      <c r="T115" s="12">
        <v>2.0</v>
      </c>
      <c r="U115" s="13">
        <v>9.0E-6</v>
      </c>
      <c r="V115" s="12">
        <v>0.0</v>
      </c>
      <c r="W115" s="13"/>
      <c r="X115" s="12">
        <v>0.0</v>
      </c>
      <c r="Y115" s="13"/>
      <c r="Z115" s="12">
        <v>232981.0</v>
      </c>
      <c r="AA115" s="13">
        <v>0.995479</v>
      </c>
      <c r="AB115" s="12">
        <v>0.0</v>
      </c>
      <c r="AC115" s="13"/>
    </row>
    <row r="116" ht="14.25" customHeight="1">
      <c r="A116" s="11" t="s">
        <v>129</v>
      </c>
      <c r="B116" s="12">
        <v>2.0</v>
      </c>
      <c r="C116" s="13">
        <v>1.0E-5</v>
      </c>
      <c r="D116" s="12">
        <v>0.0</v>
      </c>
      <c r="E116" s="13"/>
      <c r="F116" s="12">
        <v>252.0</v>
      </c>
      <c r="G116" s="13">
        <v>0.001298</v>
      </c>
      <c r="H116" s="12">
        <v>0.0</v>
      </c>
      <c r="I116" s="13"/>
      <c r="J116" s="12">
        <v>0.0</v>
      </c>
      <c r="K116" s="13"/>
      <c r="L116" s="12">
        <v>0.0</v>
      </c>
      <c r="M116" s="13"/>
      <c r="N116" s="12">
        <v>0.0</v>
      </c>
      <c r="O116" s="13"/>
      <c r="P116" s="12">
        <v>0.0</v>
      </c>
      <c r="Q116" s="13"/>
      <c r="R116" s="12">
        <v>0.0</v>
      </c>
      <c r="S116" s="13"/>
      <c r="T116" s="12">
        <v>5.0</v>
      </c>
      <c r="U116" s="13">
        <v>2.6E-5</v>
      </c>
      <c r="V116" s="12">
        <v>0.0</v>
      </c>
      <c r="W116" s="13"/>
      <c r="X116" s="12">
        <v>0.0</v>
      </c>
      <c r="Y116" s="13"/>
      <c r="Z116" s="12">
        <v>193277.0</v>
      </c>
      <c r="AA116" s="13">
        <v>0.995411</v>
      </c>
      <c r="AB116" s="12">
        <v>0.0</v>
      </c>
      <c r="AC116" s="13"/>
    </row>
    <row r="117" ht="14.25" customHeight="1">
      <c r="A117" s="11" t="s">
        <v>130</v>
      </c>
      <c r="B117" s="12">
        <v>2.0</v>
      </c>
      <c r="C117" s="13">
        <v>1.1E-5</v>
      </c>
      <c r="D117" s="12">
        <v>2.0</v>
      </c>
      <c r="E117" s="13">
        <v>1.1E-5</v>
      </c>
      <c r="F117" s="12">
        <v>160.0</v>
      </c>
      <c r="G117" s="13">
        <v>8.87E-4</v>
      </c>
      <c r="H117" s="12">
        <v>0.0</v>
      </c>
      <c r="I117" s="13"/>
      <c r="J117" s="12">
        <v>1.0</v>
      </c>
      <c r="K117" s="13">
        <v>6.0E-6</v>
      </c>
      <c r="L117" s="12">
        <v>0.0</v>
      </c>
      <c r="M117" s="13"/>
      <c r="N117" s="12">
        <v>0.0</v>
      </c>
      <c r="O117" s="13"/>
      <c r="P117" s="12">
        <v>0.0</v>
      </c>
      <c r="Q117" s="13"/>
      <c r="R117" s="12">
        <v>0.0</v>
      </c>
      <c r="S117" s="13"/>
      <c r="T117" s="12">
        <v>2.0</v>
      </c>
      <c r="U117" s="13">
        <v>1.1E-5</v>
      </c>
      <c r="V117" s="12">
        <v>0.0</v>
      </c>
      <c r="W117" s="13"/>
      <c r="X117" s="12">
        <v>0.0</v>
      </c>
      <c r="Y117" s="13"/>
      <c r="Z117" s="12">
        <v>179363.0</v>
      </c>
      <c r="AA117" s="13">
        <v>0.99445</v>
      </c>
      <c r="AB117" s="12">
        <v>1.0</v>
      </c>
      <c r="AC117" s="13">
        <v>6.0E-6</v>
      </c>
    </row>
    <row r="118" ht="14.25" customHeight="1">
      <c r="A118" s="11" t="s">
        <v>131</v>
      </c>
      <c r="B118" s="12">
        <v>5.0</v>
      </c>
      <c r="C118" s="13">
        <v>2.6E-5</v>
      </c>
      <c r="D118" s="12">
        <v>0.0</v>
      </c>
      <c r="E118" s="13"/>
      <c r="F118" s="12">
        <v>138.0</v>
      </c>
      <c r="G118" s="13">
        <v>7.24E-4</v>
      </c>
      <c r="H118" s="12">
        <v>0.0</v>
      </c>
      <c r="I118" s="13"/>
      <c r="J118" s="12">
        <v>0.0</v>
      </c>
      <c r="K118" s="13"/>
      <c r="L118" s="12">
        <v>0.0</v>
      </c>
      <c r="M118" s="13"/>
      <c r="N118" s="12">
        <v>0.0</v>
      </c>
      <c r="O118" s="13"/>
      <c r="P118" s="12">
        <v>0.0</v>
      </c>
      <c r="Q118" s="13"/>
      <c r="R118" s="12">
        <v>0.0</v>
      </c>
      <c r="S118" s="13"/>
      <c r="T118" s="12">
        <v>1.0</v>
      </c>
      <c r="U118" s="13">
        <v>5.0E-6</v>
      </c>
      <c r="V118" s="12">
        <v>0.0</v>
      </c>
      <c r="W118" s="13"/>
      <c r="X118" s="12">
        <v>0.0</v>
      </c>
      <c r="Y118" s="13"/>
      <c r="Z118" s="12">
        <v>189330.0</v>
      </c>
      <c r="AA118" s="13">
        <v>0.993723</v>
      </c>
      <c r="AB118" s="12">
        <v>2.0</v>
      </c>
      <c r="AC118" s="13">
        <v>1.0E-5</v>
      </c>
    </row>
    <row r="119" ht="14.25" customHeight="1">
      <c r="A119" s="11" t="s">
        <v>132</v>
      </c>
      <c r="B119" s="12">
        <v>4.0</v>
      </c>
      <c r="C119" s="13">
        <v>2.1E-5</v>
      </c>
      <c r="D119" s="12">
        <v>3.0</v>
      </c>
      <c r="E119" s="13">
        <v>1.6E-5</v>
      </c>
      <c r="F119" s="12">
        <v>141.0</v>
      </c>
      <c r="G119" s="13">
        <v>7.29E-4</v>
      </c>
      <c r="H119" s="12">
        <v>4.0</v>
      </c>
      <c r="I119" s="13">
        <v>2.1E-5</v>
      </c>
      <c r="J119" s="12">
        <v>0.0</v>
      </c>
      <c r="K119" s="13"/>
      <c r="L119" s="12">
        <v>0.0</v>
      </c>
      <c r="M119" s="13"/>
      <c r="N119" s="12">
        <v>0.0</v>
      </c>
      <c r="O119" s="13"/>
      <c r="P119" s="12">
        <v>0.0</v>
      </c>
      <c r="Q119" s="13"/>
      <c r="R119" s="12">
        <v>4.0</v>
      </c>
      <c r="S119" s="13">
        <v>2.1E-5</v>
      </c>
      <c r="T119" s="12">
        <v>2.0</v>
      </c>
      <c r="U119" s="13">
        <v>1.0E-5</v>
      </c>
      <c r="V119" s="12">
        <v>0.0</v>
      </c>
      <c r="W119" s="13"/>
      <c r="X119" s="12">
        <v>0.0</v>
      </c>
      <c r="Y119" s="13"/>
      <c r="Z119" s="12">
        <v>192121.0</v>
      </c>
      <c r="AA119" s="13">
        <v>0.99386</v>
      </c>
      <c r="AB119" s="12">
        <v>0.0</v>
      </c>
      <c r="AC119" s="13"/>
    </row>
    <row r="120" ht="14.25" customHeight="1">
      <c r="A120" s="11" t="s">
        <v>133</v>
      </c>
      <c r="B120" s="12">
        <v>3.0</v>
      </c>
      <c r="C120" s="13">
        <v>1.6E-5</v>
      </c>
      <c r="D120" s="12">
        <v>1.0</v>
      </c>
      <c r="E120" s="13">
        <v>5.0E-6</v>
      </c>
      <c r="F120" s="12">
        <v>88.0</v>
      </c>
      <c r="G120" s="13">
        <v>4.75E-4</v>
      </c>
      <c r="H120" s="12">
        <v>4.0</v>
      </c>
      <c r="I120" s="13">
        <v>2.2E-5</v>
      </c>
      <c r="J120" s="12">
        <v>0.0</v>
      </c>
      <c r="K120" s="13"/>
      <c r="L120" s="12">
        <v>0.0</v>
      </c>
      <c r="M120" s="13"/>
      <c r="N120" s="12">
        <v>0.0</v>
      </c>
      <c r="O120" s="13"/>
      <c r="P120" s="12">
        <v>0.0</v>
      </c>
      <c r="Q120" s="13"/>
      <c r="R120" s="12">
        <v>0.0</v>
      </c>
      <c r="S120" s="13"/>
      <c r="T120" s="12">
        <v>15.0</v>
      </c>
      <c r="U120" s="13">
        <v>8.1E-5</v>
      </c>
      <c r="V120" s="12">
        <v>0.0</v>
      </c>
      <c r="W120" s="13"/>
      <c r="X120" s="12">
        <v>0.0</v>
      </c>
      <c r="Y120" s="13"/>
      <c r="Z120" s="12">
        <v>183985.0</v>
      </c>
      <c r="AA120" s="13">
        <v>0.993804</v>
      </c>
      <c r="AB120" s="12">
        <v>0.0</v>
      </c>
      <c r="AC120" s="13"/>
    </row>
    <row r="121" ht="14.25" customHeight="1">
      <c r="A121" s="11" t="s">
        <v>134</v>
      </c>
      <c r="B121" s="12">
        <v>1.0</v>
      </c>
      <c r="C121" s="13">
        <v>7.0E-6</v>
      </c>
      <c r="D121" s="12">
        <v>0.0</v>
      </c>
      <c r="E121" s="13"/>
      <c r="F121" s="12">
        <v>71.0</v>
      </c>
      <c r="G121" s="13">
        <v>4.72E-4</v>
      </c>
      <c r="H121" s="12">
        <v>4.0</v>
      </c>
      <c r="I121" s="13">
        <v>2.7E-5</v>
      </c>
      <c r="J121" s="12">
        <v>0.0</v>
      </c>
      <c r="K121" s="13"/>
      <c r="L121" s="12">
        <v>0.0</v>
      </c>
      <c r="M121" s="13"/>
      <c r="N121" s="12">
        <v>0.0</v>
      </c>
      <c r="O121" s="13"/>
      <c r="P121" s="12">
        <v>0.0</v>
      </c>
      <c r="Q121" s="13"/>
      <c r="R121" s="12">
        <v>3.0</v>
      </c>
      <c r="S121" s="13">
        <v>2.0E-5</v>
      </c>
      <c r="T121" s="12">
        <v>2.0</v>
      </c>
      <c r="U121" s="13">
        <v>1.3E-5</v>
      </c>
      <c r="V121" s="12">
        <v>0.0</v>
      </c>
      <c r="W121" s="13"/>
      <c r="X121" s="12">
        <v>0.0</v>
      </c>
      <c r="Y121" s="13"/>
      <c r="Z121" s="12">
        <v>149588.0</v>
      </c>
      <c r="AA121" s="13">
        <v>0.993689</v>
      </c>
      <c r="AB121" s="12">
        <v>0.0</v>
      </c>
      <c r="AC121" s="13"/>
    </row>
    <row r="122" ht="14.25" customHeight="1">
      <c r="A122" s="11" t="s">
        <v>135</v>
      </c>
      <c r="B122" s="12">
        <v>0.0</v>
      </c>
      <c r="C122" s="13"/>
      <c r="D122" s="12">
        <v>0.0</v>
      </c>
      <c r="E122" s="13"/>
      <c r="F122" s="12">
        <v>38.0</v>
      </c>
      <c r="G122" s="13">
        <v>2.74E-4</v>
      </c>
      <c r="H122" s="12">
        <v>2.0</v>
      </c>
      <c r="I122" s="13">
        <v>1.4E-5</v>
      </c>
      <c r="J122" s="12">
        <v>0.0</v>
      </c>
      <c r="K122" s="13"/>
      <c r="L122" s="12">
        <v>0.0</v>
      </c>
      <c r="M122" s="13"/>
      <c r="N122" s="12">
        <v>0.0</v>
      </c>
      <c r="O122" s="13"/>
      <c r="P122" s="12">
        <v>0.0</v>
      </c>
      <c r="Q122" s="13"/>
      <c r="R122" s="12">
        <v>2.0</v>
      </c>
      <c r="S122" s="13">
        <v>1.4E-5</v>
      </c>
      <c r="T122" s="12">
        <v>1.0</v>
      </c>
      <c r="U122" s="13">
        <v>7.0E-6</v>
      </c>
      <c r="V122" s="12">
        <v>0.0</v>
      </c>
      <c r="W122" s="13"/>
      <c r="X122" s="12">
        <v>0.0</v>
      </c>
      <c r="Y122" s="13"/>
      <c r="Z122" s="12">
        <v>137634.0</v>
      </c>
      <c r="AA122" s="13">
        <v>0.994085</v>
      </c>
      <c r="AB122" s="12">
        <v>0.0</v>
      </c>
      <c r="AC122" s="13"/>
    </row>
    <row r="123" ht="14.25" customHeight="1">
      <c r="A123" s="11" t="s">
        <v>136</v>
      </c>
      <c r="B123" s="12">
        <v>0.0</v>
      </c>
      <c r="C123" s="13"/>
      <c r="D123" s="12">
        <v>0.0</v>
      </c>
      <c r="E123" s="13"/>
      <c r="F123" s="12">
        <v>40.0</v>
      </c>
      <c r="G123" s="13">
        <v>3.14E-4</v>
      </c>
      <c r="H123" s="12">
        <v>4.0</v>
      </c>
      <c r="I123" s="13">
        <v>3.1E-5</v>
      </c>
      <c r="J123" s="12">
        <v>0.0</v>
      </c>
      <c r="K123" s="13"/>
      <c r="L123" s="12">
        <v>1.0</v>
      </c>
      <c r="M123" s="13">
        <v>8.0E-6</v>
      </c>
      <c r="N123" s="12">
        <v>0.0</v>
      </c>
      <c r="O123" s="13"/>
      <c r="P123" s="12">
        <v>0.0</v>
      </c>
      <c r="Q123" s="13"/>
      <c r="R123" s="12">
        <v>1.0</v>
      </c>
      <c r="S123" s="13">
        <v>8.0E-6</v>
      </c>
      <c r="T123" s="12">
        <v>3.0</v>
      </c>
      <c r="U123" s="13">
        <v>2.4E-5</v>
      </c>
      <c r="V123" s="12">
        <v>2.0</v>
      </c>
      <c r="W123" s="13">
        <v>1.6E-5</v>
      </c>
      <c r="X123" s="12">
        <v>0.0</v>
      </c>
      <c r="Y123" s="13"/>
      <c r="Z123" s="12">
        <v>126657.0</v>
      </c>
      <c r="AA123" s="13">
        <v>0.993599</v>
      </c>
      <c r="AB123" s="12">
        <v>0.0</v>
      </c>
      <c r="AC123" s="13"/>
    </row>
    <row r="124" ht="14.25" customHeight="1">
      <c r="A124" s="11" t="s">
        <v>137</v>
      </c>
      <c r="B124" s="12">
        <v>4.0</v>
      </c>
      <c r="C124" s="13">
        <v>3.1E-5</v>
      </c>
      <c r="D124" s="12">
        <v>0.0</v>
      </c>
      <c r="E124" s="13"/>
      <c r="F124" s="12">
        <v>28.0</v>
      </c>
      <c r="G124" s="13">
        <v>2.14E-4</v>
      </c>
      <c r="H124" s="12">
        <v>1.0</v>
      </c>
      <c r="I124" s="13">
        <v>8.0E-6</v>
      </c>
      <c r="J124" s="12">
        <v>0.0</v>
      </c>
      <c r="K124" s="13"/>
      <c r="L124" s="12">
        <v>0.0</v>
      </c>
      <c r="M124" s="13"/>
      <c r="N124" s="12">
        <v>0.0</v>
      </c>
      <c r="O124" s="13"/>
      <c r="P124" s="12">
        <v>0.0</v>
      </c>
      <c r="Q124" s="13"/>
      <c r="R124" s="12">
        <v>0.0</v>
      </c>
      <c r="S124" s="13"/>
      <c r="T124" s="12">
        <v>2.0</v>
      </c>
      <c r="U124" s="13">
        <v>1.5E-5</v>
      </c>
      <c r="V124" s="12">
        <v>0.0</v>
      </c>
      <c r="W124" s="13"/>
      <c r="X124" s="12">
        <v>0.0</v>
      </c>
      <c r="Y124" s="13"/>
      <c r="Z124" s="12">
        <v>129930.0</v>
      </c>
      <c r="AA124" s="13">
        <v>0.992453</v>
      </c>
      <c r="AB124" s="12">
        <v>0.0</v>
      </c>
      <c r="AC124" s="13"/>
    </row>
    <row r="125" ht="14.25" customHeight="1">
      <c r="A125" s="11" t="s">
        <v>138</v>
      </c>
      <c r="B125" s="12">
        <v>1.0</v>
      </c>
      <c r="C125" s="13">
        <v>9.0E-6</v>
      </c>
      <c r="D125" s="12">
        <v>0.0</v>
      </c>
      <c r="E125" s="13"/>
      <c r="F125" s="12">
        <v>36.0</v>
      </c>
      <c r="G125" s="13">
        <v>3.14E-4</v>
      </c>
      <c r="H125" s="12">
        <v>3.0</v>
      </c>
      <c r="I125" s="13">
        <v>2.6E-5</v>
      </c>
      <c r="J125" s="12">
        <v>0.0</v>
      </c>
      <c r="K125" s="13"/>
      <c r="L125" s="12">
        <v>0.0</v>
      </c>
      <c r="M125" s="13"/>
      <c r="N125" s="12">
        <v>0.0</v>
      </c>
      <c r="O125" s="13"/>
      <c r="P125" s="12">
        <v>0.0</v>
      </c>
      <c r="Q125" s="13"/>
      <c r="R125" s="12">
        <v>0.0</v>
      </c>
      <c r="S125" s="13"/>
      <c r="T125" s="12">
        <v>0.0</v>
      </c>
      <c r="U125" s="13"/>
      <c r="V125" s="12">
        <v>0.0</v>
      </c>
      <c r="W125" s="13"/>
      <c r="X125" s="12">
        <v>0.0</v>
      </c>
      <c r="Y125" s="13"/>
      <c r="Z125" s="12">
        <v>113706.0</v>
      </c>
      <c r="AA125" s="13">
        <v>0.99245</v>
      </c>
      <c r="AB125" s="12">
        <v>0.0</v>
      </c>
      <c r="AC125" s="13"/>
    </row>
    <row r="126" ht="14.25" customHeight="1">
      <c r="A126" s="11" t="s">
        <v>139</v>
      </c>
      <c r="B126" s="12">
        <v>13.0</v>
      </c>
      <c r="C126" s="13">
        <v>1.17E-4</v>
      </c>
      <c r="D126" s="12">
        <v>0.0</v>
      </c>
      <c r="E126" s="13"/>
      <c r="F126" s="12">
        <v>18.0</v>
      </c>
      <c r="G126" s="13">
        <v>1.61E-4</v>
      </c>
      <c r="H126" s="12">
        <v>0.0</v>
      </c>
      <c r="I126" s="13"/>
      <c r="J126" s="12">
        <v>0.0</v>
      </c>
      <c r="K126" s="13"/>
      <c r="L126" s="12">
        <v>1.0</v>
      </c>
      <c r="M126" s="13">
        <v>9.0E-6</v>
      </c>
      <c r="N126" s="12">
        <v>0.0</v>
      </c>
      <c r="O126" s="13"/>
      <c r="P126" s="12">
        <v>0.0</v>
      </c>
      <c r="Q126" s="13"/>
      <c r="R126" s="12">
        <v>2.0</v>
      </c>
      <c r="S126" s="13">
        <v>1.8E-5</v>
      </c>
      <c r="T126" s="12">
        <v>0.0</v>
      </c>
      <c r="U126" s="13"/>
      <c r="V126" s="12">
        <v>0.0</v>
      </c>
      <c r="W126" s="13"/>
      <c r="X126" s="12">
        <v>0.0</v>
      </c>
      <c r="Y126" s="13"/>
      <c r="Z126" s="12">
        <v>110679.0</v>
      </c>
      <c r="AA126" s="13">
        <v>0.99253</v>
      </c>
      <c r="AB126" s="12">
        <v>0.0</v>
      </c>
      <c r="AC126" s="13"/>
    </row>
    <row r="127" ht="14.25" customHeight="1">
      <c r="A127" s="11" t="s">
        <v>140</v>
      </c>
      <c r="B127" s="12">
        <v>2.0</v>
      </c>
      <c r="C127" s="13">
        <v>1.7E-5</v>
      </c>
      <c r="D127" s="12">
        <v>0.0</v>
      </c>
      <c r="E127" s="13"/>
      <c r="F127" s="12">
        <v>40.0</v>
      </c>
      <c r="G127" s="13">
        <v>3.48E-4</v>
      </c>
      <c r="H127" s="12">
        <v>2.0</v>
      </c>
      <c r="I127" s="13">
        <v>1.7E-5</v>
      </c>
      <c r="J127" s="12">
        <v>0.0</v>
      </c>
      <c r="K127" s="13"/>
      <c r="L127" s="12">
        <v>0.0</v>
      </c>
      <c r="M127" s="13"/>
      <c r="N127" s="12">
        <v>0.0</v>
      </c>
      <c r="O127" s="13"/>
      <c r="P127" s="12">
        <v>0.0</v>
      </c>
      <c r="Q127" s="13"/>
      <c r="R127" s="12">
        <v>0.0</v>
      </c>
      <c r="S127" s="13"/>
      <c r="T127" s="12">
        <v>2.0</v>
      </c>
      <c r="U127" s="13">
        <v>1.7E-5</v>
      </c>
      <c r="V127" s="12">
        <v>0.0</v>
      </c>
      <c r="W127" s="13"/>
      <c r="X127" s="12">
        <v>0.0</v>
      </c>
      <c r="Y127" s="13"/>
      <c r="Z127" s="12">
        <v>114091.0</v>
      </c>
      <c r="AA127" s="13">
        <v>0.991613</v>
      </c>
      <c r="AB127" s="12">
        <v>0.0</v>
      </c>
      <c r="AC127" s="13"/>
    </row>
    <row r="128" ht="14.25" customHeight="1">
      <c r="A128" s="11" t="s">
        <v>141</v>
      </c>
      <c r="B128" s="12">
        <v>10.0</v>
      </c>
      <c r="C128" s="13">
        <v>9.4E-5</v>
      </c>
      <c r="D128" s="12">
        <v>0.0</v>
      </c>
      <c r="E128" s="13"/>
      <c r="F128" s="12">
        <v>65.0</v>
      </c>
      <c r="G128" s="13">
        <v>6.14E-4</v>
      </c>
      <c r="H128" s="12">
        <v>0.0</v>
      </c>
      <c r="I128" s="13"/>
      <c r="J128" s="12">
        <v>0.0</v>
      </c>
      <c r="K128" s="13"/>
      <c r="L128" s="12">
        <v>5.0</v>
      </c>
      <c r="M128" s="13">
        <v>4.7E-5</v>
      </c>
      <c r="N128" s="12">
        <v>0.0</v>
      </c>
      <c r="O128" s="13"/>
      <c r="P128" s="12">
        <v>3.0</v>
      </c>
      <c r="Q128" s="13">
        <v>2.8E-5</v>
      </c>
      <c r="R128" s="12">
        <v>0.0</v>
      </c>
      <c r="S128" s="13"/>
      <c r="T128" s="12">
        <v>1.0</v>
      </c>
      <c r="U128" s="13">
        <v>9.0E-6</v>
      </c>
      <c r="V128" s="12">
        <v>5.0</v>
      </c>
      <c r="W128" s="13">
        <v>4.7E-5</v>
      </c>
      <c r="X128" s="12">
        <v>32.0</v>
      </c>
      <c r="Y128" s="13">
        <v>3.02E-4</v>
      </c>
      <c r="Z128" s="12">
        <v>104828.0</v>
      </c>
      <c r="AA128" s="13">
        <v>0.989887</v>
      </c>
      <c r="AB128" s="12">
        <v>0.0</v>
      </c>
      <c r="AC128" s="13"/>
    </row>
    <row r="129" ht="14.25" customHeight="1">
      <c r="A129" s="11" t="s">
        <v>142</v>
      </c>
      <c r="B129" s="12">
        <v>16.0</v>
      </c>
      <c r="C129" s="13">
        <v>1.61E-4</v>
      </c>
      <c r="D129" s="12">
        <v>0.0</v>
      </c>
      <c r="E129" s="13"/>
      <c r="F129" s="12">
        <v>78.0</v>
      </c>
      <c r="G129" s="13">
        <v>7.84E-4</v>
      </c>
      <c r="H129" s="12">
        <v>2.0</v>
      </c>
      <c r="I129" s="13">
        <v>2.0E-5</v>
      </c>
      <c r="J129" s="12">
        <v>0.0</v>
      </c>
      <c r="K129" s="13"/>
      <c r="L129" s="12">
        <v>5.0</v>
      </c>
      <c r="M129" s="13">
        <v>5.0E-5</v>
      </c>
      <c r="N129" s="12">
        <v>0.0</v>
      </c>
      <c r="O129" s="13"/>
      <c r="P129" s="12">
        <v>0.0</v>
      </c>
      <c r="Q129" s="13"/>
      <c r="R129" s="12">
        <v>0.0</v>
      </c>
      <c r="S129" s="13"/>
      <c r="T129" s="12">
        <v>0.0</v>
      </c>
      <c r="U129" s="13"/>
      <c r="V129" s="12">
        <v>4.0</v>
      </c>
      <c r="W129" s="13">
        <v>4.0E-5</v>
      </c>
      <c r="X129" s="12">
        <v>8.0</v>
      </c>
      <c r="Y129" s="13">
        <v>8.0E-5</v>
      </c>
      <c r="Z129" s="12">
        <v>98620.0</v>
      </c>
      <c r="AA129" s="13">
        <v>0.990977</v>
      </c>
      <c r="AB129" s="12">
        <v>0.0</v>
      </c>
      <c r="AC129" s="13"/>
    </row>
    <row r="130" ht="14.25" customHeight="1">
      <c r="A130" s="11" t="s">
        <v>143</v>
      </c>
      <c r="B130" s="12">
        <v>2.0</v>
      </c>
      <c r="C130" s="13">
        <v>1.9E-5</v>
      </c>
      <c r="D130" s="12">
        <v>0.0</v>
      </c>
      <c r="E130" s="13"/>
      <c r="F130" s="12">
        <v>18.0</v>
      </c>
      <c r="G130" s="13">
        <v>1.75E-4</v>
      </c>
      <c r="H130" s="12">
        <v>1.0</v>
      </c>
      <c r="I130" s="13">
        <v>1.0E-5</v>
      </c>
      <c r="J130" s="12">
        <v>0.0</v>
      </c>
      <c r="K130" s="13"/>
      <c r="L130" s="12">
        <v>9.0</v>
      </c>
      <c r="M130" s="13">
        <v>8.7E-5</v>
      </c>
      <c r="N130" s="12">
        <v>0.0</v>
      </c>
      <c r="O130" s="13"/>
      <c r="P130" s="12">
        <v>0.0</v>
      </c>
      <c r="Q130" s="13"/>
      <c r="R130" s="12">
        <v>0.0</v>
      </c>
      <c r="S130" s="13"/>
      <c r="T130" s="12">
        <v>1.0</v>
      </c>
      <c r="U130" s="13">
        <v>1.0E-5</v>
      </c>
      <c r="V130" s="12">
        <v>1.0</v>
      </c>
      <c r="W130" s="13">
        <v>1.0E-5</v>
      </c>
      <c r="X130" s="12">
        <v>0.0</v>
      </c>
      <c r="Y130" s="13"/>
      <c r="Z130" s="12">
        <v>102221.0</v>
      </c>
      <c r="AA130" s="13">
        <v>0.992842</v>
      </c>
      <c r="AB130" s="12">
        <v>0.0</v>
      </c>
      <c r="AC130" s="13"/>
    </row>
    <row r="131" ht="14.25" customHeight="1">
      <c r="A131" s="11" t="s">
        <v>144</v>
      </c>
      <c r="B131" s="12">
        <v>1.0</v>
      </c>
      <c r="C131" s="13">
        <v>9.0E-6</v>
      </c>
      <c r="D131" s="12">
        <v>0.0</v>
      </c>
      <c r="E131" s="13"/>
      <c r="F131" s="12">
        <v>13.0</v>
      </c>
      <c r="G131" s="13">
        <v>1.13E-4</v>
      </c>
      <c r="H131" s="12">
        <v>3.0</v>
      </c>
      <c r="I131" s="13">
        <v>2.6E-5</v>
      </c>
      <c r="J131" s="12">
        <v>0.0</v>
      </c>
      <c r="K131" s="13"/>
      <c r="L131" s="12">
        <v>4.0</v>
      </c>
      <c r="M131" s="13">
        <v>3.5E-5</v>
      </c>
      <c r="N131" s="12">
        <v>0.0</v>
      </c>
      <c r="O131" s="13"/>
      <c r="P131" s="12">
        <v>0.0</v>
      </c>
      <c r="Q131" s="13"/>
      <c r="R131" s="12">
        <v>0.0</v>
      </c>
      <c r="S131" s="13"/>
      <c r="T131" s="12">
        <v>0.0</v>
      </c>
      <c r="U131" s="13"/>
      <c r="V131" s="12">
        <v>0.0</v>
      </c>
      <c r="W131" s="13"/>
      <c r="X131" s="12">
        <v>0.0</v>
      </c>
      <c r="Y131" s="13"/>
      <c r="Z131" s="12">
        <v>113854.0</v>
      </c>
      <c r="AA131" s="13">
        <v>0.993612</v>
      </c>
      <c r="AB131" s="12">
        <v>0.0</v>
      </c>
      <c r="AC131" s="13"/>
    </row>
    <row r="132" ht="14.25" customHeight="1">
      <c r="A132" s="11" t="s">
        <v>145</v>
      </c>
      <c r="B132" s="12">
        <v>2.0</v>
      </c>
      <c r="C132" s="13">
        <v>1.7E-5</v>
      </c>
      <c r="D132" s="12">
        <v>0.0</v>
      </c>
      <c r="E132" s="13"/>
      <c r="F132" s="12">
        <v>22.0</v>
      </c>
      <c r="G132" s="13">
        <v>1.89E-4</v>
      </c>
      <c r="H132" s="12">
        <v>0.0</v>
      </c>
      <c r="I132" s="13"/>
      <c r="J132" s="12">
        <v>0.0</v>
      </c>
      <c r="K132" s="13"/>
      <c r="L132" s="12">
        <v>0.0</v>
      </c>
      <c r="M132" s="13"/>
      <c r="N132" s="12">
        <v>0.0</v>
      </c>
      <c r="O132" s="13"/>
      <c r="P132" s="12">
        <v>0.0</v>
      </c>
      <c r="Q132" s="13"/>
      <c r="R132" s="12">
        <v>0.0</v>
      </c>
      <c r="S132" s="13"/>
      <c r="T132" s="12">
        <v>0.0</v>
      </c>
      <c r="U132" s="13"/>
      <c r="V132" s="12">
        <v>0.0</v>
      </c>
      <c r="W132" s="13"/>
      <c r="X132" s="12">
        <v>0.0</v>
      </c>
      <c r="Y132" s="13"/>
      <c r="Z132" s="12">
        <v>115676.0</v>
      </c>
      <c r="AA132" s="13">
        <v>0.994498</v>
      </c>
      <c r="AB132" s="12">
        <v>0.0</v>
      </c>
      <c r="AC132" s="13"/>
    </row>
    <row r="133" ht="14.25" customHeight="1">
      <c r="A133" s="11" t="s">
        <v>146</v>
      </c>
      <c r="B133" s="12">
        <v>2.0</v>
      </c>
      <c r="C133" s="13">
        <v>1.6E-5</v>
      </c>
      <c r="D133" s="12">
        <v>0.0</v>
      </c>
      <c r="E133" s="13"/>
      <c r="F133" s="12">
        <v>46.0</v>
      </c>
      <c r="G133" s="13">
        <v>3.58E-4</v>
      </c>
      <c r="H133" s="12">
        <v>0.0</v>
      </c>
      <c r="I133" s="13"/>
      <c r="J133" s="12">
        <v>0.0</v>
      </c>
      <c r="K133" s="13"/>
      <c r="L133" s="12">
        <v>4.0</v>
      </c>
      <c r="M133" s="13">
        <v>3.1E-5</v>
      </c>
      <c r="N133" s="12">
        <v>0.0</v>
      </c>
      <c r="O133" s="13"/>
      <c r="P133" s="12">
        <v>0.0</v>
      </c>
      <c r="Q133" s="13"/>
      <c r="R133" s="12">
        <v>0.0</v>
      </c>
      <c r="S133" s="13"/>
      <c r="T133" s="12">
        <v>0.0</v>
      </c>
      <c r="U133" s="13"/>
      <c r="V133" s="12">
        <v>0.0</v>
      </c>
      <c r="W133" s="13"/>
      <c r="X133" s="12">
        <v>0.0</v>
      </c>
      <c r="Y133" s="13"/>
      <c r="Z133" s="12">
        <v>127820.0</v>
      </c>
      <c r="AA133" s="13">
        <v>0.995212</v>
      </c>
      <c r="AB133" s="12">
        <v>0.0</v>
      </c>
      <c r="AC133" s="13"/>
    </row>
    <row r="134" ht="14.25" customHeight="1">
      <c r="A134" s="11" t="s">
        <v>147</v>
      </c>
      <c r="B134" s="12">
        <v>4.0</v>
      </c>
      <c r="C134" s="13">
        <v>2.9E-5</v>
      </c>
      <c r="D134" s="12">
        <v>0.0</v>
      </c>
      <c r="E134" s="13"/>
      <c r="F134" s="12">
        <v>28.0</v>
      </c>
      <c r="G134" s="13">
        <v>2.0E-4</v>
      </c>
      <c r="H134" s="12">
        <v>0.0</v>
      </c>
      <c r="I134" s="13"/>
      <c r="J134" s="12">
        <v>0.0</v>
      </c>
      <c r="K134" s="13"/>
      <c r="L134" s="12">
        <v>2.0</v>
      </c>
      <c r="M134" s="13">
        <v>1.4E-5</v>
      </c>
      <c r="N134" s="12">
        <v>0.0</v>
      </c>
      <c r="O134" s="13"/>
      <c r="P134" s="12">
        <v>0.0</v>
      </c>
      <c r="Q134" s="13"/>
      <c r="R134" s="12">
        <v>0.0</v>
      </c>
      <c r="S134" s="13"/>
      <c r="T134" s="12">
        <v>1.0</v>
      </c>
      <c r="U134" s="13">
        <v>7.0E-6</v>
      </c>
      <c r="V134" s="12">
        <v>0.0</v>
      </c>
      <c r="W134" s="13"/>
      <c r="X134" s="12">
        <v>0.0</v>
      </c>
      <c r="Y134" s="13"/>
      <c r="Z134" s="12">
        <v>139379.0</v>
      </c>
      <c r="AA134" s="13">
        <v>0.995493</v>
      </c>
      <c r="AB134" s="12">
        <v>0.0</v>
      </c>
      <c r="AC134" s="13"/>
    </row>
    <row r="135" ht="14.25" customHeight="1">
      <c r="A135" s="11" t="s">
        <v>148</v>
      </c>
      <c r="B135" s="12">
        <v>7.0</v>
      </c>
      <c r="C135" s="13">
        <v>4.9E-5</v>
      </c>
      <c r="D135" s="12">
        <v>0.0</v>
      </c>
      <c r="E135" s="13"/>
      <c r="F135" s="12">
        <v>11.0</v>
      </c>
      <c r="G135" s="13">
        <v>7.6E-5</v>
      </c>
      <c r="H135" s="12">
        <v>0.0</v>
      </c>
      <c r="I135" s="13"/>
      <c r="J135" s="12">
        <v>0.0</v>
      </c>
      <c r="K135" s="13"/>
      <c r="L135" s="12">
        <v>0.0</v>
      </c>
      <c r="M135" s="13"/>
      <c r="N135" s="12">
        <v>0.0</v>
      </c>
      <c r="O135" s="13"/>
      <c r="P135" s="12">
        <v>0.0</v>
      </c>
      <c r="Q135" s="13"/>
      <c r="R135" s="12">
        <v>0.0</v>
      </c>
      <c r="S135" s="13"/>
      <c r="T135" s="12">
        <v>1.0</v>
      </c>
      <c r="U135" s="13">
        <v>7.0E-6</v>
      </c>
      <c r="V135" s="12">
        <v>0.0</v>
      </c>
      <c r="W135" s="13"/>
      <c r="X135" s="12">
        <v>0.0</v>
      </c>
      <c r="Y135" s="13"/>
      <c r="Z135" s="12">
        <v>143453.0</v>
      </c>
      <c r="AA135" s="13">
        <v>0.996651</v>
      </c>
      <c r="AB135" s="12">
        <v>0.0</v>
      </c>
      <c r="AC135" s="13"/>
    </row>
    <row r="136" ht="14.25" customHeight="1">
      <c r="A136" s="11" t="s">
        <v>149</v>
      </c>
      <c r="B136" s="12">
        <v>4.0</v>
      </c>
      <c r="C136" s="13">
        <v>2.7E-5</v>
      </c>
      <c r="D136" s="12">
        <v>0.0</v>
      </c>
      <c r="E136" s="13"/>
      <c r="F136" s="12">
        <v>11.0</v>
      </c>
      <c r="G136" s="13">
        <v>7.5E-5</v>
      </c>
      <c r="H136" s="12">
        <v>0.0</v>
      </c>
      <c r="I136" s="13"/>
      <c r="J136" s="12">
        <v>0.0</v>
      </c>
      <c r="K136" s="13"/>
      <c r="L136" s="12">
        <v>0.0</v>
      </c>
      <c r="M136" s="13"/>
      <c r="N136" s="12">
        <v>0.0</v>
      </c>
      <c r="O136" s="13"/>
      <c r="P136" s="12">
        <v>0.0</v>
      </c>
      <c r="Q136" s="13"/>
      <c r="R136" s="12">
        <v>0.0</v>
      </c>
      <c r="S136" s="13"/>
      <c r="T136" s="12">
        <v>8.0</v>
      </c>
      <c r="U136" s="13">
        <v>5.5E-5</v>
      </c>
      <c r="V136" s="12">
        <v>0.0</v>
      </c>
      <c r="W136" s="13"/>
      <c r="X136" s="12">
        <v>0.0</v>
      </c>
      <c r="Y136" s="13"/>
      <c r="Z136" s="12">
        <v>145515.0</v>
      </c>
      <c r="AA136" s="13">
        <v>0.996623</v>
      </c>
      <c r="AB136" s="12">
        <v>0.0</v>
      </c>
      <c r="AC136" s="13"/>
    </row>
    <row r="137" ht="14.25" customHeight="1">
      <c r="A137" s="11" t="s">
        <v>150</v>
      </c>
      <c r="B137" s="12">
        <v>2.0</v>
      </c>
      <c r="C137" s="13">
        <v>1.5E-5</v>
      </c>
      <c r="D137" s="12">
        <v>0.0</v>
      </c>
      <c r="E137" s="13"/>
      <c r="F137" s="12">
        <v>18.0</v>
      </c>
      <c r="G137" s="13">
        <v>1.33E-4</v>
      </c>
      <c r="H137" s="12">
        <v>0.0</v>
      </c>
      <c r="I137" s="13"/>
      <c r="J137" s="12">
        <v>0.0</v>
      </c>
      <c r="K137" s="13"/>
      <c r="L137" s="12">
        <v>2.0</v>
      </c>
      <c r="M137" s="13">
        <v>1.5E-5</v>
      </c>
      <c r="N137" s="12">
        <v>0.0</v>
      </c>
      <c r="O137" s="13"/>
      <c r="P137" s="12">
        <v>0.0</v>
      </c>
      <c r="Q137" s="13"/>
      <c r="R137" s="12">
        <v>0.0</v>
      </c>
      <c r="S137" s="13"/>
      <c r="T137" s="12">
        <v>4.0</v>
      </c>
      <c r="U137" s="13">
        <v>3.0E-5</v>
      </c>
      <c r="V137" s="12">
        <v>0.0</v>
      </c>
      <c r="W137" s="13"/>
      <c r="X137" s="12">
        <v>0.0</v>
      </c>
      <c r="Y137" s="13"/>
      <c r="Z137" s="12">
        <v>135058.0</v>
      </c>
      <c r="AA137" s="13">
        <v>0.996775</v>
      </c>
      <c r="AB137" s="12">
        <v>0.0</v>
      </c>
      <c r="AC137" s="13"/>
    </row>
    <row r="138" ht="14.25" customHeight="1">
      <c r="A138" s="11" t="s">
        <v>151</v>
      </c>
      <c r="B138" s="12">
        <v>5.0</v>
      </c>
      <c r="C138" s="13">
        <v>4.2E-5</v>
      </c>
      <c r="D138" s="12">
        <v>0.0</v>
      </c>
      <c r="E138" s="13"/>
      <c r="F138" s="12">
        <v>12.0</v>
      </c>
      <c r="G138" s="13">
        <v>1.02E-4</v>
      </c>
      <c r="H138" s="12">
        <v>0.0</v>
      </c>
      <c r="I138" s="13"/>
      <c r="J138" s="12">
        <v>0.0</v>
      </c>
      <c r="K138" s="13"/>
      <c r="L138" s="12">
        <v>0.0</v>
      </c>
      <c r="M138" s="13"/>
      <c r="N138" s="12">
        <v>0.0</v>
      </c>
      <c r="O138" s="13"/>
      <c r="P138" s="12">
        <v>0.0</v>
      </c>
      <c r="Q138" s="13"/>
      <c r="R138" s="12">
        <v>0.0</v>
      </c>
      <c r="S138" s="13"/>
      <c r="T138" s="12">
        <v>1.0</v>
      </c>
      <c r="U138" s="13">
        <v>8.0E-6</v>
      </c>
      <c r="V138" s="12">
        <v>0.0</v>
      </c>
      <c r="W138" s="13"/>
      <c r="X138" s="12">
        <v>0.0</v>
      </c>
      <c r="Y138" s="13"/>
      <c r="Z138" s="12">
        <v>117358.0</v>
      </c>
      <c r="AA138" s="13">
        <v>0.996451</v>
      </c>
      <c r="AB138" s="12">
        <v>0.0</v>
      </c>
      <c r="AC138" s="13"/>
    </row>
    <row r="139" ht="14.25" customHeight="1">
      <c r="A139" s="11" t="s">
        <v>152</v>
      </c>
      <c r="B139" s="12">
        <v>1.0</v>
      </c>
      <c r="C139" s="13">
        <v>9.0E-6</v>
      </c>
      <c r="D139" s="12">
        <v>0.0</v>
      </c>
      <c r="E139" s="13"/>
      <c r="F139" s="12">
        <v>11.0</v>
      </c>
      <c r="G139" s="13">
        <v>1.02E-4</v>
      </c>
      <c r="H139" s="12">
        <v>0.0</v>
      </c>
      <c r="I139" s="13"/>
      <c r="J139" s="12">
        <v>0.0</v>
      </c>
      <c r="K139" s="13"/>
      <c r="L139" s="12">
        <v>0.0</v>
      </c>
      <c r="M139" s="13"/>
      <c r="N139" s="12">
        <v>0.0</v>
      </c>
      <c r="O139" s="13"/>
      <c r="P139" s="12">
        <v>0.0</v>
      </c>
      <c r="Q139" s="13"/>
      <c r="R139" s="12">
        <v>0.0</v>
      </c>
      <c r="S139" s="13"/>
      <c r="T139" s="12">
        <v>6.0</v>
      </c>
      <c r="U139" s="13">
        <v>5.6E-5</v>
      </c>
      <c r="V139" s="12">
        <v>0.0</v>
      </c>
      <c r="W139" s="13"/>
      <c r="X139" s="12">
        <v>0.0</v>
      </c>
      <c r="Y139" s="13"/>
      <c r="Z139" s="12">
        <v>107591.0</v>
      </c>
      <c r="AA139" s="13">
        <v>0.996748</v>
      </c>
      <c r="AB139" s="12">
        <v>0.0</v>
      </c>
      <c r="AC139" s="13"/>
    </row>
    <row r="140" ht="14.25" customHeight="1">
      <c r="A140" s="11" t="s">
        <v>153</v>
      </c>
      <c r="B140" s="12">
        <v>4.0</v>
      </c>
      <c r="C140" s="13">
        <v>4.2E-5</v>
      </c>
      <c r="D140" s="12">
        <v>1.0</v>
      </c>
      <c r="E140" s="13">
        <v>1.0E-5</v>
      </c>
      <c r="F140" s="12">
        <v>5.0</v>
      </c>
      <c r="G140" s="13">
        <v>5.2E-5</v>
      </c>
      <c r="H140" s="12">
        <v>0.0</v>
      </c>
      <c r="I140" s="13"/>
      <c r="J140" s="12">
        <v>0.0</v>
      </c>
      <c r="K140" s="13"/>
      <c r="L140" s="12">
        <v>0.0</v>
      </c>
      <c r="M140" s="13"/>
      <c r="N140" s="12">
        <v>0.0</v>
      </c>
      <c r="O140" s="13"/>
      <c r="P140" s="12">
        <v>0.0</v>
      </c>
      <c r="Q140" s="13"/>
      <c r="R140" s="12">
        <v>0.0</v>
      </c>
      <c r="S140" s="13"/>
      <c r="T140" s="12">
        <v>0.0</v>
      </c>
      <c r="U140" s="13"/>
      <c r="V140" s="12">
        <v>0.0</v>
      </c>
      <c r="W140" s="13"/>
      <c r="X140" s="12">
        <v>0.0</v>
      </c>
      <c r="Y140" s="13"/>
      <c r="Z140" s="12">
        <v>96090.0</v>
      </c>
      <c r="AA140" s="13">
        <v>0.996939</v>
      </c>
      <c r="AB140" s="12">
        <v>0.0</v>
      </c>
      <c r="AC140" s="13"/>
    </row>
    <row r="141" ht="14.25" customHeight="1">
      <c r="A141" s="11" t="s">
        <v>154</v>
      </c>
      <c r="B141" s="12">
        <v>4.0</v>
      </c>
      <c r="C141" s="13">
        <v>4.3E-5</v>
      </c>
      <c r="D141" s="12">
        <v>0.0</v>
      </c>
      <c r="E141" s="13"/>
      <c r="F141" s="12">
        <v>6.0</v>
      </c>
      <c r="G141" s="13">
        <v>6.4E-5</v>
      </c>
      <c r="H141" s="12">
        <v>0.0</v>
      </c>
      <c r="I141" s="13"/>
      <c r="J141" s="12">
        <v>0.0</v>
      </c>
      <c r="K141" s="13"/>
      <c r="L141" s="12">
        <v>1.0</v>
      </c>
      <c r="M141" s="13">
        <v>1.1E-5</v>
      </c>
      <c r="N141" s="12">
        <v>0.0</v>
      </c>
      <c r="O141" s="13"/>
      <c r="P141" s="12">
        <v>0.0</v>
      </c>
      <c r="Q141" s="13"/>
      <c r="R141" s="12">
        <v>0.0</v>
      </c>
      <c r="S141" s="13"/>
      <c r="T141" s="12">
        <v>0.0</v>
      </c>
      <c r="U141" s="13"/>
      <c r="V141" s="12">
        <v>0.0</v>
      </c>
      <c r="W141" s="13"/>
      <c r="X141" s="12">
        <v>0.0</v>
      </c>
      <c r="Y141" s="13"/>
      <c r="Z141" s="12">
        <v>92957.0</v>
      </c>
      <c r="AA141" s="13">
        <v>0.99674</v>
      </c>
      <c r="AB141" s="12">
        <v>0.0</v>
      </c>
      <c r="AC141" s="13"/>
    </row>
    <row r="142" ht="14.25" customHeight="1">
      <c r="A142" s="11" t="s">
        <v>155</v>
      </c>
      <c r="B142" s="12">
        <v>0.0</v>
      </c>
      <c r="C142" s="13"/>
      <c r="D142" s="12">
        <v>0.0</v>
      </c>
      <c r="E142" s="13"/>
      <c r="F142" s="12">
        <v>4.0</v>
      </c>
      <c r="G142" s="13">
        <v>4.6E-5</v>
      </c>
      <c r="H142" s="12">
        <v>1.0</v>
      </c>
      <c r="I142" s="13">
        <v>1.2E-5</v>
      </c>
      <c r="J142" s="12">
        <v>0.0</v>
      </c>
      <c r="K142" s="13"/>
      <c r="L142" s="12">
        <v>0.0</v>
      </c>
      <c r="M142" s="13"/>
      <c r="N142" s="12">
        <v>0.0</v>
      </c>
      <c r="O142" s="13"/>
      <c r="P142" s="12">
        <v>0.0</v>
      </c>
      <c r="Q142" s="13"/>
      <c r="R142" s="12">
        <v>0.0</v>
      </c>
      <c r="S142" s="13"/>
      <c r="T142" s="12">
        <v>1.0</v>
      </c>
      <c r="U142" s="13">
        <v>1.2E-5</v>
      </c>
      <c r="V142" s="12">
        <v>0.0</v>
      </c>
      <c r="W142" s="13"/>
      <c r="X142" s="12">
        <v>0.0</v>
      </c>
      <c r="Y142" s="13"/>
      <c r="Z142" s="12">
        <v>86625.0</v>
      </c>
      <c r="AA142" s="13">
        <v>0.996835</v>
      </c>
      <c r="AB142" s="12">
        <v>1.0</v>
      </c>
      <c r="AC142" s="13">
        <v>1.2E-5</v>
      </c>
    </row>
    <row r="143" ht="14.25" customHeight="1">
      <c r="A143" s="11" t="s">
        <v>156</v>
      </c>
      <c r="B143" s="12">
        <v>0.0</v>
      </c>
      <c r="C143" s="13"/>
      <c r="D143" s="12">
        <v>0.0</v>
      </c>
      <c r="E143" s="13"/>
      <c r="F143" s="12">
        <v>7.0</v>
      </c>
      <c r="G143" s="13">
        <v>8.7E-5</v>
      </c>
      <c r="H143" s="12">
        <v>1.0</v>
      </c>
      <c r="I143" s="13">
        <v>1.2E-5</v>
      </c>
      <c r="J143" s="12">
        <v>0.0</v>
      </c>
      <c r="K143" s="13"/>
      <c r="L143" s="12">
        <v>0.0</v>
      </c>
      <c r="M143" s="13"/>
      <c r="N143" s="12">
        <v>0.0</v>
      </c>
      <c r="O143" s="13"/>
      <c r="P143" s="12">
        <v>0.0</v>
      </c>
      <c r="Q143" s="13"/>
      <c r="R143" s="12">
        <v>0.0</v>
      </c>
      <c r="S143" s="13"/>
      <c r="T143" s="12">
        <v>0.0</v>
      </c>
      <c r="U143" s="13"/>
      <c r="V143" s="12">
        <v>0.0</v>
      </c>
      <c r="W143" s="13"/>
      <c r="X143" s="12">
        <v>0.0</v>
      </c>
      <c r="Y143" s="13"/>
      <c r="Z143" s="12">
        <v>80570.0</v>
      </c>
      <c r="AA143" s="13">
        <v>0.996364</v>
      </c>
      <c r="AB143" s="12">
        <v>1.0</v>
      </c>
      <c r="AC143" s="13">
        <v>1.2E-5</v>
      </c>
    </row>
    <row r="144" ht="14.25" customHeight="1">
      <c r="A144" s="11" t="s">
        <v>157</v>
      </c>
      <c r="B144" s="12">
        <v>1.0</v>
      </c>
      <c r="C144" s="13">
        <v>1.3E-5</v>
      </c>
      <c r="D144" s="12">
        <v>1.0</v>
      </c>
      <c r="E144" s="13">
        <v>1.3E-5</v>
      </c>
      <c r="F144" s="12">
        <v>7.0</v>
      </c>
      <c r="G144" s="13">
        <v>9.2E-5</v>
      </c>
      <c r="H144" s="12">
        <v>2.0</v>
      </c>
      <c r="I144" s="13">
        <v>2.6E-5</v>
      </c>
      <c r="J144" s="12">
        <v>0.0</v>
      </c>
      <c r="K144" s="13"/>
      <c r="L144" s="12">
        <v>0.0</v>
      </c>
      <c r="M144" s="13"/>
      <c r="N144" s="12">
        <v>0.0</v>
      </c>
      <c r="O144" s="13"/>
      <c r="P144" s="12">
        <v>0.0</v>
      </c>
      <c r="Q144" s="13"/>
      <c r="R144" s="12">
        <v>0.0</v>
      </c>
      <c r="S144" s="13"/>
      <c r="T144" s="12">
        <v>0.0</v>
      </c>
      <c r="U144" s="13"/>
      <c r="V144" s="12">
        <v>0.0</v>
      </c>
      <c r="W144" s="13"/>
      <c r="X144" s="12">
        <v>0.0</v>
      </c>
      <c r="Y144" s="13"/>
      <c r="Z144" s="12">
        <v>75874.0</v>
      </c>
      <c r="AA144" s="13">
        <v>0.995121</v>
      </c>
      <c r="AB144" s="12">
        <v>0.0</v>
      </c>
      <c r="AC144" s="13"/>
    </row>
    <row r="145" ht="14.25" customHeight="1">
      <c r="A145" s="11" t="s">
        <v>158</v>
      </c>
      <c r="B145" s="12">
        <v>0.0</v>
      </c>
      <c r="C145" s="13"/>
      <c r="D145" s="12">
        <v>0.0</v>
      </c>
      <c r="E145" s="13"/>
      <c r="F145" s="12">
        <v>9.0</v>
      </c>
      <c r="G145" s="13">
        <v>1.12E-4</v>
      </c>
      <c r="H145" s="12">
        <v>4.0</v>
      </c>
      <c r="I145" s="13">
        <v>5.0E-5</v>
      </c>
      <c r="J145" s="12">
        <v>0.0</v>
      </c>
      <c r="K145" s="13"/>
      <c r="L145" s="12">
        <v>0.0</v>
      </c>
      <c r="M145" s="13"/>
      <c r="N145" s="12">
        <v>0.0</v>
      </c>
      <c r="O145" s="13"/>
      <c r="P145" s="12">
        <v>0.0</v>
      </c>
      <c r="Q145" s="13"/>
      <c r="R145" s="12">
        <v>0.0</v>
      </c>
      <c r="S145" s="13"/>
      <c r="T145" s="12">
        <v>0.0</v>
      </c>
      <c r="U145" s="13"/>
      <c r="V145" s="12">
        <v>0.0</v>
      </c>
      <c r="W145" s="13"/>
      <c r="X145" s="12">
        <v>0.0</v>
      </c>
      <c r="Y145" s="13"/>
      <c r="Z145" s="12">
        <v>79587.0</v>
      </c>
      <c r="AA145" s="13">
        <v>0.993943</v>
      </c>
      <c r="AB145" s="12">
        <v>0.0</v>
      </c>
      <c r="AC145" s="13"/>
    </row>
    <row r="146" ht="14.25" customHeight="1">
      <c r="A146" s="11" t="s">
        <v>159</v>
      </c>
      <c r="B146" s="12">
        <v>2.0</v>
      </c>
      <c r="C146" s="13">
        <v>2.6E-5</v>
      </c>
      <c r="D146" s="12">
        <v>0.0</v>
      </c>
      <c r="E146" s="13"/>
      <c r="F146" s="12">
        <v>8.0</v>
      </c>
      <c r="G146" s="13">
        <v>1.05E-4</v>
      </c>
      <c r="H146" s="12">
        <v>0.0</v>
      </c>
      <c r="I146" s="13"/>
      <c r="J146" s="12">
        <v>0.0</v>
      </c>
      <c r="K146" s="13"/>
      <c r="L146" s="12">
        <v>0.0</v>
      </c>
      <c r="M146" s="13"/>
      <c r="N146" s="12">
        <v>0.0</v>
      </c>
      <c r="O146" s="13"/>
      <c r="P146" s="12">
        <v>0.0</v>
      </c>
      <c r="Q146" s="13"/>
      <c r="R146" s="12">
        <v>0.0</v>
      </c>
      <c r="S146" s="13"/>
      <c r="T146" s="12">
        <v>0.0</v>
      </c>
      <c r="U146" s="13"/>
      <c r="V146" s="12">
        <v>0.0</v>
      </c>
      <c r="W146" s="13"/>
      <c r="X146" s="12">
        <v>0.0</v>
      </c>
      <c r="Y146" s="13"/>
      <c r="Z146" s="12">
        <v>75851.0</v>
      </c>
      <c r="AA146" s="13">
        <v>0.991464</v>
      </c>
      <c r="AB146" s="12">
        <v>0.0</v>
      </c>
      <c r="AC146" s="13"/>
    </row>
    <row r="147" ht="14.25" customHeight="1">
      <c r="A147" s="11" t="s">
        <v>160</v>
      </c>
      <c r="B147" s="12">
        <v>2.0</v>
      </c>
      <c r="C147" s="13">
        <v>2.8E-5</v>
      </c>
      <c r="D147" s="12">
        <v>1.0</v>
      </c>
      <c r="E147" s="13">
        <v>1.4E-5</v>
      </c>
      <c r="F147" s="12">
        <v>18.0</v>
      </c>
      <c r="G147" s="13">
        <v>2.51E-4</v>
      </c>
      <c r="H147" s="12">
        <v>2.0</v>
      </c>
      <c r="I147" s="13">
        <v>2.8E-5</v>
      </c>
      <c r="J147" s="12">
        <v>0.0</v>
      </c>
      <c r="K147" s="13"/>
      <c r="L147" s="12">
        <v>0.0</v>
      </c>
      <c r="M147" s="13"/>
      <c r="N147" s="12">
        <v>0.0</v>
      </c>
      <c r="O147" s="13"/>
      <c r="P147" s="12">
        <v>0.0</v>
      </c>
      <c r="Q147" s="13"/>
      <c r="R147" s="12">
        <v>0.0</v>
      </c>
      <c r="S147" s="13"/>
      <c r="T147" s="12">
        <v>1.0</v>
      </c>
      <c r="U147" s="13">
        <v>1.4E-5</v>
      </c>
      <c r="V147" s="12">
        <v>0.0</v>
      </c>
      <c r="W147" s="13"/>
      <c r="X147" s="12">
        <v>0.0</v>
      </c>
      <c r="Y147" s="13"/>
      <c r="Z147" s="12">
        <v>40612.0</v>
      </c>
      <c r="AA147" s="13">
        <v>0.989475</v>
      </c>
      <c r="AB147" s="12">
        <v>0.0</v>
      </c>
      <c r="AC147" s="13"/>
    </row>
    <row r="148" ht="14.25" customHeight="1">
      <c r="A148" s="11" t="s">
        <v>161</v>
      </c>
      <c r="B148" s="12">
        <v>13.0</v>
      </c>
      <c r="C148" s="13">
        <v>1.79E-4</v>
      </c>
      <c r="D148" s="12">
        <v>0.0</v>
      </c>
      <c r="E148" s="13"/>
      <c r="F148" s="12">
        <v>3.0</v>
      </c>
      <c r="G148" s="13">
        <v>4.1E-5</v>
      </c>
      <c r="H148" s="12">
        <v>1.0</v>
      </c>
      <c r="I148" s="13">
        <v>1.4E-5</v>
      </c>
      <c r="J148" s="12">
        <v>0.0</v>
      </c>
      <c r="K148" s="13"/>
      <c r="L148" s="12">
        <v>0.0</v>
      </c>
      <c r="M148" s="13"/>
      <c r="N148" s="12">
        <v>0.0</v>
      </c>
      <c r="O148" s="13"/>
      <c r="P148" s="12">
        <v>0.0</v>
      </c>
      <c r="Q148" s="13"/>
      <c r="R148" s="12">
        <v>0.0</v>
      </c>
      <c r="S148" s="13"/>
      <c r="T148" s="12">
        <v>0.0</v>
      </c>
      <c r="U148" s="13"/>
      <c r="V148" s="12">
        <v>0.0</v>
      </c>
      <c r="W148" s="13"/>
      <c r="X148" s="12">
        <v>0.0</v>
      </c>
      <c r="Y148" s="13"/>
      <c r="AA148" s="13"/>
      <c r="AB148" s="12">
        <v>0.0</v>
      </c>
      <c r="AC148" s="13"/>
    </row>
    <row r="149" ht="14.25" customHeight="1">
      <c r="A149" s="11" t="s">
        <v>162</v>
      </c>
      <c r="B149" s="12">
        <v>1.0</v>
      </c>
      <c r="C149" s="13">
        <v>1.3E-5</v>
      </c>
      <c r="D149" s="12">
        <v>0.0</v>
      </c>
      <c r="E149" s="13"/>
      <c r="F149" s="12">
        <v>5.0</v>
      </c>
      <c r="G149" s="13">
        <v>6.7E-5</v>
      </c>
      <c r="H149" s="12">
        <v>0.0</v>
      </c>
      <c r="I149" s="13"/>
      <c r="J149" s="12">
        <v>0.0</v>
      </c>
      <c r="K149" s="13"/>
      <c r="L149" s="12">
        <v>0.0</v>
      </c>
      <c r="M149" s="13"/>
      <c r="N149" s="12">
        <v>1.0</v>
      </c>
      <c r="O149" s="13">
        <v>1.3E-5</v>
      </c>
      <c r="P149" s="12">
        <v>1.0</v>
      </c>
      <c r="Q149" s="13">
        <v>1.3E-5</v>
      </c>
      <c r="R149" s="12">
        <v>0.0</v>
      </c>
      <c r="S149" s="13"/>
      <c r="T149" s="12">
        <v>1.0</v>
      </c>
      <c r="U149" s="13">
        <v>1.3E-5</v>
      </c>
      <c r="V149" s="12">
        <v>0.0</v>
      </c>
      <c r="W149" s="13"/>
      <c r="X149" s="12">
        <v>0.0</v>
      </c>
      <c r="Y149" s="13"/>
      <c r="AA149" s="13"/>
      <c r="AB149" s="12">
        <v>0.0</v>
      </c>
      <c r="AC149" s="13"/>
    </row>
    <row r="150" ht="14.25" customHeight="1">
      <c r="A150" s="11" t="s">
        <v>163</v>
      </c>
      <c r="B150" s="12">
        <v>0.0</v>
      </c>
      <c r="C150" s="13"/>
      <c r="D150" s="12">
        <v>0.0</v>
      </c>
      <c r="E150" s="13"/>
      <c r="F150" s="12">
        <v>6.0</v>
      </c>
      <c r="G150" s="13">
        <v>8.7E-5</v>
      </c>
      <c r="H150" s="12">
        <v>0.0</v>
      </c>
      <c r="I150" s="13"/>
      <c r="J150" s="12">
        <v>0.0</v>
      </c>
      <c r="K150" s="13"/>
      <c r="L150" s="12">
        <v>0.0</v>
      </c>
      <c r="M150" s="13"/>
      <c r="N150" s="12">
        <v>2.0</v>
      </c>
      <c r="O150" s="13">
        <v>2.9E-5</v>
      </c>
      <c r="P150" s="12">
        <v>0.0</v>
      </c>
      <c r="Q150" s="13"/>
      <c r="R150" s="12">
        <v>0.0</v>
      </c>
      <c r="S150" s="13"/>
      <c r="T150" s="12">
        <v>46.0</v>
      </c>
      <c r="U150" s="13">
        <v>6.68E-4</v>
      </c>
      <c r="V150" s="12">
        <v>0.0</v>
      </c>
      <c r="W150" s="13"/>
      <c r="X150" s="12">
        <v>0.0</v>
      </c>
      <c r="Y150" s="13"/>
      <c r="AA150" s="13"/>
      <c r="AB150" s="12">
        <v>23.0</v>
      </c>
      <c r="AC150" s="13">
        <v>3.34E-4</v>
      </c>
    </row>
    <row r="151" ht="14.25" customHeight="1">
      <c r="A151" s="11" t="s">
        <v>164</v>
      </c>
      <c r="B151" s="12">
        <v>0.0</v>
      </c>
      <c r="C151" s="13"/>
      <c r="D151" s="12">
        <v>0.0</v>
      </c>
      <c r="E151" s="13"/>
      <c r="F151" s="12">
        <v>2.0</v>
      </c>
      <c r="G151" s="13">
        <v>2.9E-5</v>
      </c>
      <c r="H151" s="12">
        <v>0.0</v>
      </c>
      <c r="I151" s="13"/>
      <c r="J151" s="12">
        <v>0.0</v>
      </c>
      <c r="K151" s="13"/>
      <c r="L151" s="12">
        <v>0.0</v>
      </c>
      <c r="M151" s="13"/>
      <c r="N151" s="12">
        <v>0.0</v>
      </c>
      <c r="O151" s="13"/>
      <c r="P151" s="12">
        <v>0.0</v>
      </c>
      <c r="Q151" s="13"/>
      <c r="R151" s="12">
        <v>0.0</v>
      </c>
      <c r="S151" s="13"/>
      <c r="T151" s="12">
        <v>7.0</v>
      </c>
      <c r="U151" s="13">
        <v>1.01E-4</v>
      </c>
      <c r="V151" s="12">
        <v>0.0</v>
      </c>
      <c r="W151" s="13"/>
      <c r="X151" s="12">
        <v>0.0</v>
      </c>
      <c r="Y151" s="13"/>
      <c r="AA151" s="13"/>
      <c r="AB151" s="12">
        <v>0.0</v>
      </c>
      <c r="AC151" s="13"/>
    </row>
    <row r="152" ht="14.25" customHeight="1">
      <c r="A152" s="11" t="s">
        <v>165</v>
      </c>
      <c r="B152" s="12">
        <v>0.0</v>
      </c>
      <c r="C152" s="13"/>
      <c r="D152" s="12">
        <v>0.0</v>
      </c>
      <c r="E152" s="13"/>
      <c r="F152" s="12">
        <v>3.0</v>
      </c>
      <c r="G152" s="13">
        <v>4.6E-5</v>
      </c>
      <c r="H152" s="12">
        <v>0.0</v>
      </c>
      <c r="I152" s="13"/>
      <c r="J152" s="12">
        <v>0.0</v>
      </c>
      <c r="K152" s="13"/>
      <c r="L152" s="12">
        <v>0.0</v>
      </c>
      <c r="M152" s="13"/>
      <c r="N152" s="12">
        <v>0.0</v>
      </c>
      <c r="O152" s="13"/>
      <c r="P152" s="12">
        <v>0.0</v>
      </c>
      <c r="Q152" s="13"/>
      <c r="R152" s="12">
        <v>0.0</v>
      </c>
      <c r="S152" s="13"/>
      <c r="T152" s="12">
        <v>16.0</v>
      </c>
      <c r="U152" s="13">
        <v>2.45E-4</v>
      </c>
      <c r="V152" s="12">
        <v>0.0</v>
      </c>
      <c r="W152" s="13"/>
      <c r="X152" s="12">
        <v>0.0</v>
      </c>
      <c r="Y152" s="13"/>
      <c r="AA152" s="13"/>
      <c r="AB152" s="12">
        <v>0.0</v>
      </c>
      <c r="AC152" s="13"/>
    </row>
    <row r="153" ht="14.25" customHeight="1">
      <c r="A153" s="11" t="s">
        <v>166</v>
      </c>
      <c r="B153" s="12">
        <v>0.0</v>
      </c>
      <c r="C153" s="13"/>
      <c r="D153" s="12">
        <v>0.0</v>
      </c>
      <c r="E153" s="13"/>
      <c r="F153" s="12">
        <v>8.0</v>
      </c>
      <c r="G153" s="13">
        <v>1.11E-4</v>
      </c>
      <c r="H153" s="12">
        <v>0.0</v>
      </c>
      <c r="I153" s="13"/>
      <c r="J153" s="12">
        <v>0.0</v>
      </c>
      <c r="K153" s="13"/>
      <c r="L153" s="12">
        <v>0.0</v>
      </c>
      <c r="M153" s="13"/>
      <c r="N153" s="12">
        <v>0.0</v>
      </c>
      <c r="O153" s="13"/>
      <c r="P153" s="12">
        <v>0.0</v>
      </c>
      <c r="Q153" s="13"/>
      <c r="R153" s="12">
        <v>0.0</v>
      </c>
      <c r="S153" s="13"/>
      <c r="T153" s="12">
        <v>35.0</v>
      </c>
      <c r="U153" s="13">
        <v>4.84E-4</v>
      </c>
      <c r="V153" s="12">
        <v>0.0</v>
      </c>
      <c r="W153" s="13"/>
      <c r="X153" s="12">
        <v>0.0</v>
      </c>
      <c r="Y153" s="13"/>
      <c r="AA153" s="13"/>
      <c r="AB153" s="12">
        <v>0.0</v>
      </c>
      <c r="AC153" s="13"/>
    </row>
    <row r="154" ht="14.25" customHeight="1">
      <c r="A154" s="11" t="s">
        <v>167</v>
      </c>
      <c r="B154" s="12">
        <v>0.0</v>
      </c>
      <c r="C154" s="13"/>
      <c r="D154" s="12">
        <v>0.0</v>
      </c>
      <c r="E154" s="13"/>
      <c r="F154" s="12">
        <v>3.0</v>
      </c>
      <c r="G154" s="13">
        <v>4.2E-5</v>
      </c>
      <c r="H154" s="12">
        <v>0.0</v>
      </c>
      <c r="I154" s="13"/>
      <c r="J154" s="12">
        <v>0.0</v>
      </c>
      <c r="K154" s="13"/>
      <c r="L154" s="12">
        <v>0.0</v>
      </c>
      <c r="M154" s="13"/>
      <c r="N154" s="12">
        <v>0.0</v>
      </c>
      <c r="O154" s="13"/>
      <c r="P154" s="12">
        <v>0.0</v>
      </c>
      <c r="Q154" s="13"/>
      <c r="R154" s="12">
        <v>0.0</v>
      </c>
      <c r="S154" s="13"/>
      <c r="T154" s="12">
        <v>103.0</v>
      </c>
      <c r="U154" s="13">
        <v>0.001435</v>
      </c>
      <c r="V154" s="12">
        <v>2.0</v>
      </c>
      <c r="W154" s="13">
        <v>2.8E-5</v>
      </c>
      <c r="X154" s="12">
        <v>0.0</v>
      </c>
      <c r="Y154" s="13"/>
      <c r="AA154" s="13"/>
      <c r="AB154" s="12">
        <v>0.0</v>
      </c>
      <c r="AC154" s="13"/>
    </row>
    <row r="155" ht="14.25" customHeight="1">
      <c r="A155" s="11" t="s">
        <v>168</v>
      </c>
      <c r="B155" s="12">
        <v>1.0</v>
      </c>
      <c r="C155" s="13">
        <v>1.3E-5</v>
      </c>
      <c r="D155" s="12">
        <v>0.0</v>
      </c>
      <c r="E155" s="13"/>
      <c r="F155" s="12">
        <v>3.0</v>
      </c>
      <c r="G155" s="13">
        <v>3.9E-5</v>
      </c>
      <c r="H155" s="12">
        <v>0.0</v>
      </c>
      <c r="I155" s="13"/>
      <c r="J155" s="12">
        <v>0.0</v>
      </c>
      <c r="K155" s="13"/>
      <c r="L155" s="12">
        <v>0.0</v>
      </c>
      <c r="M155" s="13"/>
      <c r="N155" s="12">
        <v>1.0</v>
      </c>
      <c r="O155" s="13">
        <v>1.3E-5</v>
      </c>
      <c r="P155" s="12">
        <v>0.0</v>
      </c>
      <c r="Q155" s="13"/>
      <c r="R155" s="12">
        <v>0.0</v>
      </c>
      <c r="S155" s="13"/>
      <c r="T155" s="12">
        <v>232.0</v>
      </c>
      <c r="U155" s="13">
        <v>0.003035</v>
      </c>
      <c r="V155" s="12">
        <v>0.0</v>
      </c>
      <c r="W155" s="13"/>
      <c r="X155" s="12">
        <v>0.0</v>
      </c>
      <c r="Y155" s="13"/>
      <c r="AA155" s="13"/>
      <c r="AB155" s="12">
        <v>0.0</v>
      </c>
      <c r="AC155" s="13"/>
    </row>
    <row r="156" ht="14.25" customHeight="1">
      <c r="A156" s="11" t="s">
        <v>169</v>
      </c>
      <c r="B156" s="12">
        <v>0.0</v>
      </c>
      <c r="C156" s="13"/>
      <c r="D156" s="12">
        <v>0.0</v>
      </c>
      <c r="E156" s="13"/>
      <c r="F156" s="12">
        <v>4.0</v>
      </c>
      <c r="G156" s="13">
        <v>4.6E-5</v>
      </c>
      <c r="H156" s="12">
        <v>0.0</v>
      </c>
      <c r="I156" s="13"/>
      <c r="J156" s="12">
        <v>0.0</v>
      </c>
      <c r="K156" s="13"/>
      <c r="L156" s="12">
        <v>0.0</v>
      </c>
      <c r="M156" s="13"/>
      <c r="N156" s="12">
        <v>0.0</v>
      </c>
      <c r="O156" s="13"/>
      <c r="P156" s="12">
        <v>0.0</v>
      </c>
      <c r="Q156" s="13"/>
      <c r="R156" s="12">
        <v>0.0</v>
      </c>
      <c r="S156" s="13"/>
      <c r="T156" s="12">
        <v>681.0</v>
      </c>
      <c r="U156" s="13">
        <v>0.007779</v>
      </c>
      <c r="V156" s="12">
        <v>0.0</v>
      </c>
      <c r="W156" s="13"/>
      <c r="X156" s="12">
        <v>0.0</v>
      </c>
      <c r="Y156" s="13"/>
      <c r="AA156" s="13"/>
      <c r="AB156" s="12">
        <v>0.0</v>
      </c>
      <c r="AC156" s="13"/>
    </row>
    <row r="157" ht="14.25" customHeight="1">
      <c r="A157" s="11" t="s">
        <v>170</v>
      </c>
      <c r="B157" s="12">
        <v>0.0</v>
      </c>
      <c r="C157" s="13"/>
      <c r="D157" s="12">
        <v>0.0</v>
      </c>
      <c r="E157" s="13"/>
      <c r="F157" s="12">
        <v>7.0</v>
      </c>
      <c r="G157" s="13">
        <v>7.9E-5</v>
      </c>
      <c r="H157" s="12">
        <v>0.0</v>
      </c>
      <c r="I157" s="13"/>
      <c r="J157" s="12">
        <v>0.0</v>
      </c>
      <c r="K157" s="13"/>
      <c r="L157" s="12">
        <v>0.0</v>
      </c>
      <c r="M157" s="13"/>
      <c r="N157" s="12">
        <v>0.0</v>
      </c>
      <c r="O157" s="13"/>
      <c r="P157" s="12">
        <v>0.0</v>
      </c>
      <c r="Q157" s="13"/>
      <c r="R157" s="12">
        <v>0.0</v>
      </c>
      <c r="S157" s="13"/>
      <c r="T157" s="12">
        <v>1216.0</v>
      </c>
      <c r="U157" s="13">
        <v>0.013795</v>
      </c>
      <c r="V157" s="12">
        <v>0.0</v>
      </c>
      <c r="W157" s="13"/>
      <c r="X157" s="12">
        <v>0.0</v>
      </c>
      <c r="Y157" s="13"/>
      <c r="AA157" s="13"/>
      <c r="AB157" s="12">
        <v>1.0</v>
      </c>
      <c r="AC157" s="13">
        <v>1.1E-5</v>
      </c>
    </row>
    <row r="158" ht="14.25" customHeight="1">
      <c r="A158" s="11" t="s">
        <v>171</v>
      </c>
      <c r="B158" s="12">
        <v>37.0</v>
      </c>
      <c r="C158" s="13">
        <v>4.17E-4</v>
      </c>
      <c r="D158" s="12">
        <v>0.0</v>
      </c>
      <c r="E158" s="13"/>
      <c r="F158" s="12">
        <v>336.0</v>
      </c>
      <c r="G158" s="13">
        <v>0.003787</v>
      </c>
      <c r="H158" s="12">
        <v>0.0</v>
      </c>
      <c r="I158" s="13"/>
      <c r="J158" s="12">
        <v>1.0</v>
      </c>
      <c r="K158" s="13">
        <v>1.1E-5</v>
      </c>
      <c r="L158" s="12">
        <v>0.0</v>
      </c>
      <c r="M158" s="13"/>
      <c r="N158" s="12">
        <v>1.0</v>
      </c>
      <c r="O158" s="13">
        <v>1.1E-5</v>
      </c>
      <c r="P158" s="12">
        <v>0.0</v>
      </c>
      <c r="Q158" s="13"/>
      <c r="R158" s="12">
        <v>0.0</v>
      </c>
      <c r="S158" s="13"/>
      <c r="T158" s="12">
        <v>1945.0</v>
      </c>
      <c r="U158" s="13">
        <v>0.02192</v>
      </c>
      <c r="V158" s="12">
        <v>0.0</v>
      </c>
      <c r="W158" s="13"/>
      <c r="X158" s="12">
        <v>0.0</v>
      </c>
      <c r="Y158" s="13"/>
      <c r="AA158" s="13"/>
      <c r="AB158" s="12">
        <v>0.0</v>
      </c>
      <c r="AC158" s="13"/>
    </row>
    <row r="159" ht="14.25" customHeight="1">
      <c r="A159" s="11" t="s">
        <v>172</v>
      </c>
      <c r="B159" s="12">
        <v>0.0</v>
      </c>
      <c r="C159" s="13"/>
      <c r="D159" s="12">
        <v>0.0</v>
      </c>
      <c r="E159" s="13"/>
      <c r="F159" s="12">
        <v>4.0</v>
      </c>
      <c r="G159" s="13">
        <v>5.2E-5</v>
      </c>
      <c r="H159" s="12">
        <v>0.0</v>
      </c>
      <c r="I159" s="13"/>
      <c r="J159" s="12">
        <v>0.0</v>
      </c>
      <c r="K159" s="13"/>
      <c r="L159" s="12">
        <v>0.0</v>
      </c>
      <c r="M159" s="13"/>
      <c r="N159" s="12">
        <v>0.0</v>
      </c>
      <c r="O159" s="13"/>
      <c r="P159" s="12">
        <v>0.0</v>
      </c>
      <c r="Q159" s="13"/>
      <c r="R159" s="12">
        <v>0.0</v>
      </c>
      <c r="S159" s="13"/>
      <c r="T159" s="12">
        <v>2390.0</v>
      </c>
      <c r="U159" s="13">
        <v>0.030916</v>
      </c>
      <c r="V159" s="12">
        <v>0.0</v>
      </c>
      <c r="W159" s="13"/>
      <c r="X159" s="12">
        <v>0.0</v>
      </c>
      <c r="Y159" s="13"/>
      <c r="AA159" s="13"/>
      <c r="AB159" s="12">
        <v>0.0</v>
      </c>
      <c r="AC159" s="13"/>
    </row>
    <row r="160" ht="14.25" customHeight="1">
      <c r="A160" s="11" t="s">
        <v>173</v>
      </c>
      <c r="B160" s="12">
        <v>0.0</v>
      </c>
      <c r="C160" s="13"/>
      <c r="D160" s="12">
        <v>0.0</v>
      </c>
      <c r="E160" s="13"/>
      <c r="F160" s="12">
        <v>7.0</v>
      </c>
      <c r="G160" s="13">
        <v>9.7E-5</v>
      </c>
      <c r="H160" s="12">
        <v>0.0</v>
      </c>
      <c r="I160" s="13"/>
      <c r="J160" s="12">
        <v>0.0</v>
      </c>
      <c r="K160" s="13"/>
      <c r="L160" s="12">
        <v>0.0</v>
      </c>
      <c r="M160" s="13"/>
      <c r="N160" s="12">
        <v>2.0</v>
      </c>
      <c r="O160" s="13">
        <v>2.8E-5</v>
      </c>
      <c r="P160" s="12">
        <v>0.0</v>
      </c>
      <c r="Q160" s="13"/>
      <c r="R160" s="12">
        <v>0.0</v>
      </c>
      <c r="S160" s="13"/>
      <c r="T160" s="12">
        <v>3643.0</v>
      </c>
      <c r="U160" s="13">
        <v>0.050716</v>
      </c>
      <c r="V160" s="12">
        <v>0.0</v>
      </c>
      <c r="W160" s="13"/>
      <c r="X160" s="12">
        <v>0.0</v>
      </c>
      <c r="Y160" s="13"/>
      <c r="AA160" s="13"/>
      <c r="AB160" s="12">
        <v>1.0</v>
      </c>
      <c r="AC160" s="13">
        <v>1.4E-5</v>
      </c>
    </row>
    <row r="161" ht="14.25" customHeight="1">
      <c r="A161" s="11" t="s">
        <v>174</v>
      </c>
      <c r="B161" s="12">
        <v>0.0</v>
      </c>
      <c r="C161" s="13"/>
      <c r="D161" s="12">
        <v>0.0</v>
      </c>
      <c r="E161" s="13"/>
      <c r="F161" s="12">
        <v>17.0</v>
      </c>
      <c r="G161" s="13">
        <v>2.44E-4</v>
      </c>
      <c r="H161" s="12">
        <v>0.0</v>
      </c>
      <c r="I161" s="13"/>
      <c r="J161" s="12">
        <v>0.0</v>
      </c>
      <c r="K161" s="13"/>
      <c r="L161" s="12">
        <v>0.0</v>
      </c>
      <c r="M161" s="13"/>
      <c r="N161" s="12">
        <v>2.0</v>
      </c>
      <c r="O161" s="13">
        <v>2.9E-5</v>
      </c>
      <c r="P161" s="12">
        <v>0.0</v>
      </c>
      <c r="Q161" s="13"/>
      <c r="R161" s="12">
        <v>0.0</v>
      </c>
      <c r="S161" s="13"/>
      <c r="T161" s="12">
        <v>5797.0</v>
      </c>
      <c r="U161" s="13">
        <v>0.083198</v>
      </c>
      <c r="V161" s="12">
        <v>0.0</v>
      </c>
      <c r="W161" s="13"/>
      <c r="X161" s="12">
        <v>0.0</v>
      </c>
      <c r="Y161" s="13"/>
      <c r="AA161" s="13"/>
      <c r="AB161" s="12">
        <v>15.0</v>
      </c>
      <c r="AC161" s="13">
        <v>2.15E-4</v>
      </c>
    </row>
    <row r="162" ht="14.25" customHeight="1">
      <c r="A162" s="11" t="s">
        <v>175</v>
      </c>
      <c r="B162" s="12">
        <v>0.0</v>
      </c>
      <c r="C162" s="13"/>
      <c r="D162" s="12">
        <v>0.0</v>
      </c>
      <c r="E162" s="13"/>
      <c r="F162" s="12">
        <v>5.0</v>
      </c>
      <c r="G162" s="13">
        <v>8.7E-5</v>
      </c>
      <c r="H162" s="12">
        <v>0.0</v>
      </c>
      <c r="I162" s="13"/>
      <c r="J162" s="12">
        <v>0.0</v>
      </c>
      <c r="K162" s="13"/>
      <c r="L162" s="12">
        <v>0.0</v>
      </c>
      <c r="M162" s="13"/>
      <c r="N162" s="12">
        <v>1.0</v>
      </c>
      <c r="O162" s="13">
        <v>1.7E-5</v>
      </c>
      <c r="P162" s="12">
        <v>0.0</v>
      </c>
      <c r="Q162" s="13"/>
      <c r="R162" s="12">
        <v>0.0</v>
      </c>
      <c r="S162" s="13"/>
      <c r="T162" s="12">
        <v>7413.0</v>
      </c>
      <c r="U162" s="13">
        <v>0.128564</v>
      </c>
      <c r="V162" s="12">
        <v>0.0</v>
      </c>
      <c r="W162" s="13"/>
      <c r="X162" s="12">
        <v>0.0</v>
      </c>
      <c r="Y162" s="13"/>
      <c r="AA162" s="13"/>
      <c r="AB162" s="12">
        <v>5.0</v>
      </c>
      <c r="AC162" s="13">
        <v>8.7E-5</v>
      </c>
    </row>
    <row r="163" ht="14.25" customHeight="1">
      <c r="A163" s="11" t="s">
        <v>176</v>
      </c>
      <c r="B163" s="12">
        <v>0.0</v>
      </c>
      <c r="C163" s="13"/>
      <c r="D163" s="12">
        <v>0.0</v>
      </c>
      <c r="E163" s="13"/>
      <c r="F163" s="12">
        <v>2.0</v>
      </c>
      <c r="G163" s="13">
        <v>4.1E-5</v>
      </c>
      <c r="H163" s="12">
        <v>0.0</v>
      </c>
      <c r="I163" s="13"/>
      <c r="J163" s="12">
        <v>0.0</v>
      </c>
      <c r="K163" s="13"/>
      <c r="L163" s="12">
        <v>0.0</v>
      </c>
      <c r="M163" s="13"/>
      <c r="N163" s="12">
        <v>0.0</v>
      </c>
      <c r="O163" s="13"/>
      <c r="P163" s="12">
        <v>0.0</v>
      </c>
      <c r="Q163" s="13"/>
      <c r="R163" s="12">
        <v>0.0</v>
      </c>
      <c r="S163" s="13"/>
      <c r="T163" s="12">
        <v>9451.0</v>
      </c>
      <c r="U163" s="13">
        <v>0.193035</v>
      </c>
      <c r="V163" s="12">
        <v>0.0</v>
      </c>
      <c r="W163" s="13"/>
      <c r="X163" s="12">
        <v>0.0</v>
      </c>
      <c r="Y163" s="13"/>
      <c r="AA163" s="13"/>
      <c r="AB163" s="12">
        <v>2.0</v>
      </c>
      <c r="AC163" s="13">
        <v>4.1E-5</v>
      </c>
    </row>
    <row r="164" ht="14.25" customHeight="1">
      <c r="A164" s="11" t="s">
        <v>177</v>
      </c>
      <c r="B164" s="12">
        <v>0.0</v>
      </c>
      <c r="C164" s="13"/>
      <c r="D164" s="12">
        <v>0.0</v>
      </c>
      <c r="E164" s="13"/>
      <c r="F164" s="12">
        <v>0.0</v>
      </c>
      <c r="G164" s="13"/>
      <c r="H164" s="12">
        <v>0.0</v>
      </c>
      <c r="I164" s="13"/>
      <c r="J164" s="12">
        <v>0.0</v>
      </c>
      <c r="K164" s="13"/>
      <c r="L164" s="12">
        <v>0.0</v>
      </c>
      <c r="M164" s="13"/>
      <c r="N164" s="12">
        <v>2.0</v>
      </c>
      <c r="O164" s="13">
        <v>4.3E-5</v>
      </c>
      <c r="P164" s="12">
        <v>0.0</v>
      </c>
      <c r="Q164" s="13"/>
      <c r="R164" s="12">
        <v>0.0</v>
      </c>
      <c r="S164" s="13"/>
      <c r="T164" s="12">
        <v>12451.0</v>
      </c>
      <c r="U164" s="13">
        <v>0.267781</v>
      </c>
      <c r="V164" s="12">
        <v>0.0</v>
      </c>
      <c r="W164" s="13"/>
      <c r="X164" s="12">
        <v>0.0</v>
      </c>
      <c r="Y164" s="13"/>
      <c r="AA164" s="13"/>
      <c r="AB164" s="12">
        <v>1.0</v>
      </c>
      <c r="AC164" s="13">
        <v>2.2E-5</v>
      </c>
    </row>
    <row r="165" ht="14.25" customHeight="1">
      <c r="A165" s="11" t="s">
        <v>178</v>
      </c>
      <c r="B165" s="12">
        <v>0.0</v>
      </c>
      <c r="C165" s="13"/>
      <c r="D165" s="12">
        <v>0.0</v>
      </c>
      <c r="E165" s="13"/>
      <c r="F165" s="12">
        <v>2.0</v>
      </c>
      <c r="G165" s="13">
        <v>4.2E-5</v>
      </c>
      <c r="H165" s="12">
        <v>0.0</v>
      </c>
      <c r="I165" s="13"/>
      <c r="J165" s="12">
        <v>0.0</v>
      </c>
      <c r="K165" s="13"/>
      <c r="L165" s="12">
        <v>0.0</v>
      </c>
      <c r="M165" s="13"/>
      <c r="N165" s="12">
        <v>1.0</v>
      </c>
      <c r="O165" s="13">
        <v>2.1E-5</v>
      </c>
      <c r="P165" s="12">
        <v>0.0</v>
      </c>
      <c r="Q165" s="13"/>
      <c r="R165" s="12">
        <v>0.0</v>
      </c>
      <c r="S165" s="13"/>
      <c r="T165" s="12">
        <v>15601.0</v>
      </c>
      <c r="U165" s="13">
        <v>0.331035</v>
      </c>
      <c r="V165" s="12">
        <v>0.0</v>
      </c>
      <c r="W165" s="13"/>
      <c r="X165" s="12">
        <v>0.0</v>
      </c>
      <c r="Y165" s="13"/>
      <c r="AA165" s="13"/>
      <c r="AB165" s="12">
        <v>2.0</v>
      </c>
      <c r="AC165" s="13">
        <v>4.2E-5</v>
      </c>
    </row>
    <row r="166" ht="14.25" customHeight="1">
      <c r="A166" s="11" t="s">
        <v>179</v>
      </c>
      <c r="B166" s="12">
        <v>0.0</v>
      </c>
      <c r="C166" s="13"/>
      <c r="D166" s="12">
        <v>0.0</v>
      </c>
      <c r="E166" s="13"/>
      <c r="F166" s="12">
        <v>1.0</v>
      </c>
      <c r="G166" s="13">
        <v>2.1E-5</v>
      </c>
      <c r="H166" s="12">
        <v>0.0</v>
      </c>
      <c r="I166" s="13"/>
      <c r="J166" s="12">
        <v>0.0</v>
      </c>
      <c r="K166" s="13"/>
      <c r="L166" s="12">
        <v>0.0</v>
      </c>
      <c r="M166" s="13"/>
      <c r="N166" s="12">
        <v>0.0</v>
      </c>
      <c r="O166" s="13"/>
      <c r="P166" s="12">
        <v>0.0</v>
      </c>
      <c r="Q166" s="13"/>
      <c r="R166" s="12">
        <v>0.0</v>
      </c>
      <c r="S166" s="13"/>
      <c r="T166" s="12">
        <v>19601.0</v>
      </c>
      <c r="U166" s="13">
        <v>0.411673</v>
      </c>
      <c r="V166" s="12">
        <v>0.0</v>
      </c>
      <c r="W166" s="13"/>
      <c r="X166" s="12">
        <v>0.0</v>
      </c>
      <c r="Y166" s="13"/>
      <c r="AA166" s="13"/>
      <c r="AB166" s="12">
        <v>3.0</v>
      </c>
      <c r="AC166" s="13">
        <v>6.3E-5</v>
      </c>
    </row>
    <row r="167" ht="14.25" customHeight="1">
      <c r="A167" s="11" t="s">
        <v>180</v>
      </c>
      <c r="B167" s="12">
        <v>0.0</v>
      </c>
      <c r="C167" s="13"/>
      <c r="D167" s="12">
        <v>1.0</v>
      </c>
      <c r="E167" s="13">
        <v>2.1E-5</v>
      </c>
      <c r="F167" s="12">
        <v>0.0</v>
      </c>
      <c r="G167" s="13"/>
      <c r="H167" s="12">
        <v>0.0</v>
      </c>
      <c r="I167" s="13"/>
      <c r="J167" s="12">
        <v>0.0</v>
      </c>
      <c r="K167" s="13"/>
      <c r="L167" s="12">
        <v>0.0</v>
      </c>
      <c r="M167" s="13"/>
      <c r="N167" s="12">
        <v>2.0</v>
      </c>
      <c r="O167" s="13">
        <v>4.3E-5</v>
      </c>
      <c r="P167" s="12">
        <v>0.0</v>
      </c>
      <c r="Q167" s="13"/>
      <c r="R167" s="12">
        <v>0.0</v>
      </c>
      <c r="S167" s="13"/>
      <c r="T167" s="12">
        <v>22068.0</v>
      </c>
      <c r="U167" s="13">
        <v>0.469143</v>
      </c>
      <c r="V167" s="12">
        <v>0.0</v>
      </c>
      <c r="W167" s="13"/>
      <c r="X167" s="12">
        <v>0.0</v>
      </c>
      <c r="Y167" s="13"/>
      <c r="AA167" s="13"/>
      <c r="AB167" s="12">
        <v>12.0</v>
      </c>
      <c r="AC167" s="13">
        <v>2.55E-4</v>
      </c>
    </row>
    <row r="168" ht="14.25" customHeight="1">
      <c r="A168" s="11" t="s">
        <v>181</v>
      </c>
      <c r="B168" s="12">
        <v>0.0</v>
      </c>
      <c r="C168" s="13"/>
      <c r="D168" s="12">
        <v>0.0</v>
      </c>
      <c r="E168" s="13"/>
      <c r="F168" s="12">
        <v>2.0</v>
      </c>
      <c r="G168" s="13">
        <v>4.5E-5</v>
      </c>
      <c r="H168" s="12">
        <v>0.0</v>
      </c>
      <c r="I168" s="13"/>
      <c r="J168" s="12">
        <v>0.0</v>
      </c>
      <c r="K168" s="13"/>
      <c r="L168" s="12">
        <v>0.0</v>
      </c>
      <c r="M168" s="13"/>
      <c r="N168" s="12">
        <v>0.0</v>
      </c>
      <c r="O168" s="13"/>
      <c r="P168" s="12">
        <v>0.0</v>
      </c>
      <c r="Q168" s="13"/>
      <c r="R168" s="12">
        <v>0.0</v>
      </c>
      <c r="S168" s="13"/>
      <c r="T168" s="12">
        <v>22857.0</v>
      </c>
      <c r="U168" s="13">
        <v>0.512443</v>
      </c>
      <c r="V168" s="12">
        <v>0.0</v>
      </c>
      <c r="W168" s="13"/>
      <c r="X168" s="12">
        <v>0.0</v>
      </c>
      <c r="Y168" s="13"/>
      <c r="AA168" s="13"/>
      <c r="AB168" s="12">
        <v>3.0</v>
      </c>
      <c r="AC168" s="13">
        <v>6.7E-5</v>
      </c>
    </row>
    <row r="169" ht="14.25" customHeight="1">
      <c r="A169" s="11" t="s">
        <v>182</v>
      </c>
      <c r="B169" s="12">
        <v>0.0</v>
      </c>
      <c r="C169" s="13"/>
      <c r="D169" s="12">
        <v>0.0</v>
      </c>
      <c r="E169" s="13"/>
      <c r="F169" s="12">
        <v>0.0</v>
      </c>
      <c r="G169" s="13"/>
      <c r="H169" s="12">
        <v>0.0</v>
      </c>
      <c r="I169" s="13"/>
      <c r="J169" s="12">
        <v>0.0</v>
      </c>
      <c r="K169" s="13"/>
      <c r="L169" s="12">
        <v>0.0</v>
      </c>
      <c r="M169" s="13"/>
      <c r="N169" s="12">
        <v>0.0</v>
      </c>
      <c r="O169" s="13"/>
      <c r="P169" s="12">
        <v>0.0</v>
      </c>
      <c r="Q169" s="13"/>
      <c r="R169" s="12">
        <v>0.0</v>
      </c>
      <c r="S169" s="13"/>
      <c r="T169" s="12">
        <v>24146.0</v>
      </c>
      <c r="U169" s="13">
        <v>0.550575</v>
      </c>
      <c r="V169" s="12">
        <v>0.0</v>
      </c>
      <c r="W169" s="13"/>
      <c r="X169" s="12">
        <v>0.0</v>
      </c>
      <c r="Y169" s="13"/>
      <c r="AA169" s="13"/>
      <c r="AB169" s="12">
        <v>3.0</v>
      </c>
      <c r="AC169" s="13">
        <v>6.8E-5</v>
      </c>
    </row>
    <row r="170" ht="14.25" customHeight="1">
      <c r="A170" s="11" t="s">
        <v>183</v>
      </c>
      <c r="B170" s="12">
        <v>1.0</v>
      </c>
      <c r="C170" s="13">
        <v>2.4E-5</v>
      </c>
      <c r="D170" s="12">
        <v>0.0</v>
      </c>
      <c r="E170" s="13"/>
      <c r="F170" s="12">
        <v>1.0</v>
      </c>
      <c r="G170" s="13">
        <v>2.4E-5</v>
      </c>
      <c r="H170" s="12">
        <v>0.0</v>
      </c>
      <c r="I170" s="13"/>
      <c r="J170" s="12">
        <v>0.0</v>
      </c>
      <c r="K170" s="13"/>
      <c r="L170" s="12">
        <v>0.0</v>
      </c>
      <c r="M170" s="13"/>
      <c r="N170" s="12">
        <v>0.0</v>
      </c>
      <c r="O170" s="13"/>
      <c r="P170" s="12">
        <v>0.0</v>
      </c>
      <c r="Q170" s="13"/>
      <c r="R170" s="12">
        <v>0.0</v>
      </c>
      <c r="S170" s="13"/>
      <c r="T170" s="12">
        <v>23765.0</v>
      </c>
      <c r="U170" s="13">
        <v>0.566305</v>
      </c>
      <c r="V170" s="12">
        <v>0.0</v>
      </c>
      <c r="W170" s="13"/>
      <c r="X170" s="12">
        <v>0.0</v>
      </c>
      <c r="Y170" s="13"/>
      <c r="AA170" s="13"/>
      <c r="AB170" s="12">
        <v>2.0</v>
      </c>
      <c r="AC170" s="13">
        <v>4.8E-5</v>
      </c>
    </row>
    <row r="171" ht="14.25" customHeight="1">
      <c r="A171" s="11" t="s">
        <v>184</v>
      </c>
      <c r="B171" s="12">
        <v>0.0</v>
      </c>
      <c r="C171" s="13"/>
      <c r="D171" s="12">
        <v>0.0</v>
      </c>
      <c r="E171" s="13"/>
      <c r="F171" s="12">
        <v>1.0</v>
      </c>
      <c r="G171" s="13">
        <v>2.5E-5</v>
      </c>
      <c r="H171" s="12">
        <v>0.0</v>
      </c>
      <c r="I171" s="13"/>
      <c r="J171" s="12">
        <v>0.0</v>
      </c>
      <c r="K171" s="13"/>
      <c r="L171" s="12">
        <v>0.0</v>
      </c>
      <c r="M171" s="13"/>
      <c r="N171" s="12">
        <v>0.0</v>
      </c>
      <c r="O171" s="13"/>
      <c r="P171" s="12">
        <v>0.0</v>
      </c>
      <c r="Q171" s="13"/>
      <c r="R171" s="12">
        <v>0.0</v>
      </c>
      <c r="S171" s="13"/>
      <c r="T171" s="12">
        <v>23128.0</v>
      </c>
      <c r="U171" s="13">
        <v>0.568605</v>
      </c>
      <c r="V171" s="12">
        <v>0.0</v>
      </c>
      <c r="W171" s="13"/>
      <c r="X171" s="12">
        <v>0.0</v>
      </c>
      <c r="Y171" s="13"/>
      <c r="AA171" s="13"/>
      <c r="AB171" s="12">
        <v>1.0</v>
      </c>
      <c r="AC171" s="13">
        <v>2.5E-5</v>
      </c>
    </row>
    <row r="172" ht="14.25" customHeight="1">
      <c r="A172" s="11" t="s">
        <v>185</v>
      </c>
      <c r="B172" s="12">
        <v>0.0</v>
      </c>
      <c r="C172" s="13"/>
      <c r="D172" s="12">
        <v>0.0</v>
      </c>
      <c r="E172" s="13"/>
      <c r="F172" s="12">
        <v>0.0</v>
      </c>
      <c r="G172" s="13"/>
      <c r="H172" s="12">
        <v>0.0</v>
      </c>
      <c r="I172" s="13"/>
      <c r="J172" s="12">
        <v>0.0</v>
      </c>
      <c r="K172" s="13"/>
      <c r="L172" s="12">
        <v>0.0</v>
      </c>
      <c r="M172" s="13"/>
      <c r="N172" s="12">
        <v>1.0</v>
      </c>
      <c r="O172" s="13">
        <v>2.6E-5</v>
      </c>
      <c r="P172" s="12">
        <v>0.0</v>
      </c>
      <c r="Q172" s="13"/>
      <c r="R172" s="12">
        <v>0.0</v>
      </c>
      <c r="S172" s="13"/>
      <c r="T172" s="12">
        <v>22241.0</v>
      </c>
      <c r="U172" s="13">
        <v>0.573118</v>
      </c>
      <c r="V172" s="12">
        <v>0.0</v>
      </c>
      <c r="W172" s="13"/>
      <c r="X172" s="12">
        <v>0.0</v>
      </c>
      <c r="Y172" s="13"/>
      <c r="AA172" s="13"/>
      <c r="AB172" s="12">
        <v>1.0</v>
      </c>
      <c r="AC172" s="13">
        <v>2.6E-5</v>
      </c>
    </row>
    <row r="173" ht="14.25" customHeight="1">
      <c r="A173" s="11" t="s">
        <v>186</v>
      </c>
      <c r="B173" s="12">
        <v>0.0</v>
      </c>
      <c r="C173" s="13"/>
      <c r="D173" s="12">
        <v>0.0</v>
      </c>
      <c r="E173" s="13"/>
      <c r="F173" s="12">
        <v>1.0</v>
      </c>
      <c r="G173" s="13">
        <v>2.9E-5</v>
      </c>
      <c r="H173" s="12">
        <v>0.0</v>
      </c>
      <c r="I173" s="13"/>
      <c r="J173" s="12">
        <v>0.0</v>
      </c>
      <c r="K173" s="13"/>
      <c r="L173" s="12">
        <v>0.0</v>
      </c>
      <c r="M173" s="13"/>
      <c r="N173" s="12">
        <v>0.0</v>
      </c>
      <c r="O173" s="13"/>
      <c r="P173" s="12">
        <v>0.0</v>
      </c>
      <c r="Q173" s="13"/>
      <c r="R173" s="12">
        <v>0.0</v>
      </c>
      <c r="S173" s="13"/>
      <c r="T173" s="12">
        <v>18728.0</v>
      </c>
      <c r="U173" s="13">
        <v>0.541084</v>
      </c>
      <c r="V173" s="12">
        <v>0.0</v>
      </c>
      <c r="W173" s="13"/>
      <c r="X173" s="12">
        <v>0.0</v>
      </c>
      <c r="Y173" s="13"/>
      <c r="AA173" s="13"/>
      <c r="AB173" s="12">
        <v>1.0</v>
      </c>
      <c r="AC173" s="13">
        <v>2.9E-5</v>
      </c>
    </row>
    <row r="174" ht="14.25" customHeight="1">
      <c r="A174" s="11" t="s">
        <v>187</v>
      </c>
      <c r="B174" s="12">
        <v>0.0</v>
      </c>
      <c r="C174" s="13"/>
      <c r="D174" s="12">
        <v>0.0</v>
      </c>
      <c r="E174" s="13"/>
      <c r="F174" s="12">
        <v>0.0</v>
      </c>
      <c r="G174" s="13"/>
      <c r="H174" s="12">
        <v>0.0</v>
      </c>
      <c r="I174" s="13"/>
      <c r="J174" s="12">
        <v>0.0</v>
      </c>
      <c r="K174" s="13"/>
      <c r="L174" s="12">
        <v>0.0</v>
      </c>
      <c r="M174" s="13"/>
      <c r="N174" s="12">
        <v>2.0</v>
      </c>
      <c r="O174" s="13">
        <v>6.7E-5</v>
      </c>
      <c r="P174" s="12">
        <v>0.0</v>
      </c>
      <c r="Q174" s="13"/>
      <c r="R174" s="12">
        <v>0.0</v>
      </c>
      <c r="S174" s="13"/>
      <c r="T174" s="12">
        <v>15448.0</v>
      </c>
      <c r="U174" s="13">
        <v>0.52045</v>
      </c>
      <c r="V174" s="12">
        <v>0.0</v>
      </c>
      <c r="W174" s="13"/>
      <c r="X174" s="12">
        <v>0.0</v>
      </c>
      <c r="Y174" s="13"/>
      <c r="AA174" s="13"/>
      <c r="AB174" s="12">
        <v>0.0</v>
      </c>
      <c r="AC174" s="13"/>
    </row>
    <row r="175" ht="14.25" customHeight="1">
      <c r="A175" s="11" t="s">
        <v>188</v>
      </c>
      <c r="B175" s="12">
        <v>0.0</v>
      </c>
      <c r="C175" s="13"/>
      <c r="D175" s="12">
        <v>0.0</v>
      </c>
      <c r="E175" s="13"/>
      <c r="F175" s="12">
        <v>6.0</v>
      </c>
      <c r="G175" s="13">
        <v>1.96E-4</v>
      </c>
      <c r="H175" s="12">
        <v>0.0</v>
      </c>
      <c r="I175" s="13"/>
      <c r="J175" s="12">
        <v>0.0</v>
      </c>
      <c r="K175" s="13"/>
      <c r="L175" s="12">
        <v>0.0</v>
      </c>
      <c r="M175" s="13"/>
      <c r="N175" s="12">
        <v>2.0</v>
      </c>
      <c r="O175" s="13">
        <v>6.5E-5</v>
      </c>
      <c r="P175" s="12">
        <v>0.0</v>
      </c>
      <c r="Q175" s="13"/>
      <c r="R175" s="12">
        <v>0.0</v>
      </c>
      <c r="S175" s="13"/>
      <c r="T175" s="12">
        <v>15527.0</v>
      </c>
      <c r="U175" s="13">
        <v>0.506326</v>
      </c>
      <c r="V175" s="12">
        <v>0.0</v>
      </c>
      <c r="W175" s="13"/>
      <c r="X175" s="12">
        <v>0.0</v>
      </c>
      <c r="Y175" s="13"/>
      <c r="AA175" s="13"/>
      <c r="AB175" s="12">
        <v>2.0</v>
      </c>
      <c r="AC175" s="13">
        <v>6.5E-5</v>
      </c>
    </row>
    <row r="176" ht="14.25" customHeight="1">
      <c r="A176" s="11" t="s">
        <v>189</v>
      </c>
      <c r="B176" s="12">
        <v>0.0</v>
      </c>
      <c r="C176" s="13"/>
      <c r="D176" s="12">
        <v>1.0</v>
      </c>
      <c r="E176" s="13">
        <v>3.5E-5</v>
      </c>
      <c r="F176" s="12">
        <v>4.0</v>
      </c>
      <c r="G176" s="13">
        <v>1.41E-4</v>
      </c>
      <c r="H176" s="12">
        <v>0.0</v>
      </c>
      <c r="I176" s="13"/>
      <c r="J176" s="12">
        <v>0.0</v>
      </c>
      <c r="K176" s="13"/>
      <c r="L176" s="12">
        <v>1.0</v>
      </c>
      <c r="M176" s="13">
        <v>3.5E-5</v>
      </c>
      <c r="N176" s="12">
        <v>0.0</v>
      </c>
      <c r="O176" s="13"/>
      <c r="P176" s="12">
        <v>0.0</v>
      </c>
      <c r="Q176" s="13"/>
      <c r="R176" s="12">
        <v>0.0</v>
      </c>
      <c r="S176" s="13"/>
      <c r="T176" s="12">
        <v>13301.0</v>
      </c>
      <c r="U176" s="13">
        <v>0.46744</v>
      </c>
      <c r="V176" s="12">
        <v>0.0</v>
      </c>
      <c r="W176" s="13"/>
      <c r="X176" s="12">
        <v>0.0</v>
      </c>
      <c r="Y176" s="13"/>
      <c r="AA176" s="13"/>
      <c r="AB176" s="12">
        <v>0.0</v>
      </c>
      <c r="AC176" s="13"/>
    </row>
    <row r="177" ht="14.25" customHeight="1">
      <c r="A177" s="11" t="s">
        <v>190</v>
      </c>
      <c r="B177" s="12">
        <v>0.0</v>
      </c>
      <c r="C177" s="13"/>
      <c r="D177" s="12">
        <v>0.0</v>
      </c>
      <c r="E177" s="13"/>
      <c r="F177" s="12">
        <v>1.0</v>
      </c>
      <c r="G177" s="13">
        <v>3.6E-5</v>
      </c>
      <c r="H177" s="12">
        <v>0.0</v>
      </c>
      <c r="I177" s="13"/>
      <c r="J177" s="12">
        <v>0.0</v>
      </c>
      <c r="K177" s="13"/>
      <c r="L177" s="12">
        <v>0.0</v>
      </c>
      <c r="M177" s="13"/>
      <c r="N177" s="12">
        <v>0.0</v>
      </c>
      <c r="O177" s="13"/>
      <c r="P177" s="12">
        <v>0.0</v>
      </c>
      <c r="Q177" s="13"/>
      <c r="R177" s="12">
        <v>0.0</v>
      </c>
      <c r="S177" s="13"/>
      <c r="T177" s="12">
        <v>12375.0</v>
      </c>
      <c r="U177" s="13">
        <v>0.449738</v>
      </c>
      <c r="V177" s="12">
        <v>0.0</v>
      </c>
      <c r="W177" s="13"/>
      <c r="X177" s="12">
        <v>0.0</v>
      </c>
      <c r="Y177" s="13"/>
      <c r="AA177" s="13"/>
      <c r="AB177" s="12">
        <v>0.0</v>
      </c>
      <c r="AC177" s="13"/>
    </row>
    <row r="178" ht="14.25" customHeight="1">
      <c r="A178" s="11" t="s">
        <v>191</v>
      </c>
      <c r="B178" s="12">
        <v>0.0</v>
      </c>
      <c r="C178" s="13"/>
      <c r="D178" s="12">
        <v>0.0</v>
      </c>
      <c r="E178" s="13"/>
      <c r="F178" s="12">
        <v>2.0</v>
      </c>
      <c r="G178" s="13">
        <v>7.7E-5</v>
      </c>
      <c r="H178" s="12">
        <v>0.0</v>
      </c>
      <c r="I178" s="13"/>
      <c r="J178" s="12">
        <v>0.0</v>
      </c>
      <c r="K178" s="13"/>
      <c r="L178" s="12">
        <v>0.0</v>
      </c>
      <c r="M178" s="13"/>
      <c r="N178" s="12">
        <v>0.0</v>
      </c>
      <c r="O178" s="13"/>
      <c r="P178" s="12">
        <v>0.0</v>
      </c>
      <c r="Q178" s="13"/>
      <c r="R178" s="12">
        <v>0.0</v>
      </c>
      <c r="S178" s="13"/>
      <c r="T178" s="12">
        <v>10773.0</v>
      </c>
      <c r="U178" s="13">
        <v>0.416879</v>
      </c>
      <c r="V178" s="12">
        <v>0.0</v>
      </c>
      <c r="W178" s="13"/>
      <c r="X178" s="12">
        <v>0.0</v>
      </c>
      <c r="Y178" s="13"/>
      <c r="AA178" s="13"/>
      <c r="AB178" s="12">
        <v>1.0</v>
      </c>
      <c r="AC178" s="13">
        <v>3.9E-5</v>
      </c>
    </row>
    <row r="179" ht="14.25" customHeight="1">
      <c r="A179" s="11" t="s">
        <v>192</v>
      </c>
      <c r="B179" s="12">
        <v>0.0</v>
      </c>
      <c r="C179" s="13"/>
      <c r="D179" s="12">
        <v>0.0</v>
      </c>
      <c r="E179" s="13"/>
      <c r="F179" s="12">
        <v>1.0</v>
      </c>
      <c r="G179" s="13">
        <v>4.4E-5</v>
      </c>
      <c r="H179" s="12">
        <v>0.0</v>
      </c>
      <c r="I179" s="13"/>
      <c r="J179" s="12">
        <v>0.0</v>
      </c>
      <c r="K179" s="13"/>
      <c r="L179" s="12">
        <v>0.0</v>
      </c>
      <c r="M179" s="13"/>
      <c r="N179" s="12">
        <v>2.0</v>
      </c>
      <c r="O179" s="13">
        <v>8.7E-5</v>
      </c>
      <c r="P179" s="12">
        <v>0.0</v>
      </c>
      <c r="Q179" s="13"/>
      <c r="R179" s="12">
        <v>0.0</v>
      </c>
      <c r="S179" s="13"/>
      <c r="T179" s="12">
        <v>8838.0</v>
      </c>
      <c r="U179" s="13">
        <v>0.385888</v>
      </c>
      <c r="V179" s="12">
        <v>0.0</v>
      </c>
      <c r="W179" s="13"/>
      <c r="X179" s="12">
        <v>0.0</v>
      </c>
      <c r="Y179" s="13"/>
      <c r="AA179" s="13"/>
      <c r="AB179" s="12">
        <v>0.0</v>
      </c>
      <c r="AC179" s="13"/>
    </row>
    <row r="180" ht="14.25" customHeight="1">
      <c r="A180" s="11" t="s">
        <v>193</v>
      </c>
      <c r="B180" s="12">
        <v>0.0</v>
      </c>
      <c r="C180" s="13"/>
      <c r="D180" s="12">
        <v>0.0</v>
      </c>
      <c r="E180" s="13"/>
      <c r="F180" s="12">
        <v>0.0</v>
      </c>
      <c r="G180" s="13"/>
      <c r="H180" s="12">
        <v>0.0</v>
      </c>
      <c r="I180" s="13"/>
      <c r="J180" s="12">
        <v>0.0</v>
      </c>
      <c r="K180" s="13"/>
      <c r="L180" s="12">
        <v>0.0</v>
      </c>
      <c r="M180" s="13"/>
      <c r="N180" s="12">
        <v>1.0</v>
      </c>
      <c r="O180" s="13">
        <v>4.8E-5</v>
      </c>
      <c r="P180" s="12">
        <v>0.0</v>
      </c>
      <c r="Q180" s="13"/>
      <c r="R180" s="12">
        <v>0.0</v>
      </c>
      <c r="S180" s="13"/>
      <c r="T180" s="12">
        <v>7341.0</v>
      </c>
      <c r="U180" s="13">
        <v>0.348923</v>
      </c>
      <c r="V180" s="12">
        <v>0.0</v>
      </c>
      <c r="W180" s="13"/>
      <c r="X180" s="12">
        <v>0.0</v>
      </c>
      <c r="Y180" s="13"/>
      <c r="AA180" s="13"/>
      <c r="AB180" s="12">
        <v>0.0</v>
      </c>
      <c r="AC180" s="13"/>
    </row>
    <row r="181" ht="14.25" customHeight="1">
      <c r="A181" s="11" t="s">
        <v>194</v>
      </c>
      <c r="B181" s="12">
        <v>0.0</v>
      </c>
      <c r="C181" s="13"/>
      <c r="D181" s="12">
        <v>0.0</v>
      </c>
      <c r="E181" s="13"/>
      <c r="F181" s="12">
        <v>80.0</v>
      </c>
      <c r="G181" s="13">
        <v>0.004028</v>
      </c>
      <c r="H181" s="12">
        <v>0.0</v>
      </c>
      <c r="I181" s="13"/>
      <c r="J181" s="12">
        <v>0.0</v>
      </c>
      <c r="K181" s="13"/>
      <c r="L181" s="12">
        <v>0.0</v>
      </c>
      <c r="M181" s="13"/>
      <c r="N181" s="12">
        <v>4.0</v>
      </c>
      <c r="O181" s="13">
        <v>2.01E-4</v>
      </c>
      <c r="P181" s="12">
        <v>0.0</v>
      </c>
      <c r="Q181" s="13"/>
      <c r="R181" s="12">
        <v>0.0</v>
      </c>
      <c r="S181" s="13"/>
      <c r="T181" s="12">
        <v>6164.0</v>
      </c>
      <c r="U181" s="13">
        <v>0.310326</v>
      </c>
      <c r="V181" s="12">
        <v>0.0</v>
      </c>
      <c r="W181" s="13"/>
      <c r="X181" s="12">
        <v>0.0</v>
      </c>
      <c r="Y181" s="13"/>
      <c r="AA181" s="13"/>
      <c r="AB181" s="12">
        <v>0.0</v>
      </c>
      <c r="AC181" s="13"/>
    </row>
    <row r="182" ht="14.25" customHeight="1">
      <c r="A182" s="11" t="s">
        <v>195</v>
      </c>
      <c r="B182" s="12">
        <v>0.0</v>
      </c>
      <c r="C182" s="13"/>
      <c r="D182" s="12">
        <v>0.0</v>
      </c>
      <c r="E182" s="13"/>
      <c r="F182" s="12">
        <v>0.0</v>
      </c>
      <c r="G182" s="13"/>
      <c r="H182" s="12">
        <v>0.0</v>
      </c>
      <c r="I182" s="13"/>
      <c r="J182" s="12">
        <v>0.0</v>
      </c>
      <c r="K182" s="13"/>
      <c r="L182" s="12">
        <v>0.0</v>
      </c>
      <c r="M182" s="13"/>
      <c r="N182" s="12">
        <v>2.0</v>
      </c>
      <c r="O182" s="13">
        <v>1.14E-4</v>
      </c>
      <c r="P182" s="12">
        <v>0.0</v>
      </c>
      <c r="Q182" s="13"/>
      <c r="R182" s="12">
        <v>0.0</v>
      </c>
      <c r="S182" s="13"/>
      <c r="T182" s="12">
        <v>5058.0</v>
      </c>
      <c r="U182" s="13">
        <v>0.288041</v>
      </c>
      <c r="V182" s="12">
        <v>0.0</v>
      </c>
      <c r="W182" s="13"/>
      <c r="X182" s="12">
        <v>0.0</v>
      </c>
      <c r="Y182" s="13"/>
      <c r="AA182" s="13"/>
      <c r="AB182" s="12">
        <v>0.0</v>
      </c>
      <c r="AC182" s="13"/>
    </row>
    <row r="183" ht="14.25" customHeight="1">
      <c r="A183" s="11" t="s">
        <v>196</v>
      </c>
      <c r="B183" s="12">
        <v>0.0</v>
      </c>
      <c r="C183" s="13"/>
      <c r="D183" s="12">
        <v>0.0</v>
      </c>
      <c r="E183" s="13"/>
      <c r="F183" s="12">
        <v>0.0</v>
      </c>
      <c r="G183" s="13"/>
      <c r="H183" s="12">
        <v>0.0</v>
      </c>
      <c r="I183" s="13"/>
      <c r="J183" s="12">
        <v>0.0</v>
      </c>
      <c r="K183" s="13"/>
      <c r="L183" s="12">
        <v>0.0</v>
      </c>
      <c r="M183" s="13"/>
      <c r="N183" s="12">
        <v>4.0</v>
      </c>
      <c r="O183" s="13">
        <v>2.58E-4</v>
      </c>
      <c r="P183" s="12">
        <v>0.0</v>
      </c>
      <c r="Q183" s="13"/>
      <c r="R183" s="12">
        <v>0.0</v>
      </c>
      <c r="S183" s="13"/>
      <c r="T183" s="12">
        <v>4326.0</v>
      </c>
      <c r="U183" s="13">
        <v>0.278845</v>
      </c>
      <c r="V183" s="12">
        <v>0.0</v>
      </c>
      <c r="W183" s="13"/>
      <c r="X183" s="12">
        <v>0.0</v>
      </c>
      <c r="Y183" s="13"/>
      <c r="AA183" s="13"/>
      <c r="AB183" s="12">
        <v>0.0</v>
      </c>
      <c r="AC183" s="13"/>
    </row>
    <row r="184" ht="14.25" customHeight="1">
      <c r="A184" s="11" t="s">
        <v>197</v>
      </c>
      <c r="B184" s="12">
        <v>0.0</v>
      </c>
      <c r="C184" s="13"/>
      <c r="D184" s="12">
        <v>0.0</v>
      </c>
      <c r="E184" s="13"/>
      <c r="F184" s="12">
        <v>1.0</v>
      </c>
      <c r="G184" s="13">
        <v>7.0E-5</v>
      </c>
      <c r="H184" s="12">
        <v>0.0</v>
      </c>
      <c r="I184" s="13"/>
      <c r="J184" s="12">
        <v>0.0</v>
      </c>
      <c r="K184" s="13"/>
      <c r="L184" s="12">
        <v>0.0</v>
      </c>
      <c r="M184" s="13"/>
      <c r="N184" s="12">
        <v>5.0</v>
      </c>
      <c r="O184" s="13">
        <v>3.51E-4</v>
      </c>
      <c r="P184" s="12">
        <v>0.0</v>
      </c>
      <c r="Q184" s="13"/>
      <c r="R184" s="12">
        <v>0.0</v>
      </c>
      <c r="S184" s="13"/>
      <c r="T184" s="12">
        <v>3562.0</v>
      </c>
      <c r="U184" s="13">
        <v>0.249772</v>
      </c>
      <c r="V184" s="12">
        <v>0.0</v>
      </c>
      <c r="W184" s="13"/>
      <c r="X184" s="12">
        <v>0.0</v>
      </c>
      <c r="Y184" s="13"/>
      <c r="AA184" s="13"/>
      <c r="AB184" s="12">
        <v>0.0</v>
      </c>
      <c r="AC184" s="13"/>
    </row>
    <row r="185" ht="14.25" customHeight="1">
      <c r="A185" s="11" t="s">
        <v>198</v>
      </c>
      <c r="B185" s="12">
        <v>0.0</v>
      </c>
      <c r="C185" s="13"/>
      <c r="D185" s="12">
        <v>0.0</v>
      </c>
      <c r="E185" s="13"/>
      <c r="F185" s="12">
        <v>0.0</v>
      </c>
      <c r="G185" s="13"/>
      <c r="H185" s="12">
        <v>0.0</v>
      </c>
      <c r="I185" s="13"/>
      <c r="J185" s="12">
        <v>0.0</v>
      </c>
      <c r="K185" s="13"/>
      <c r="L185" s="12">
        <v>0.0</v>
      </c>
      <c r="M185" s="13"/>
      <c r="N185" s="12">
        <v>17.0</v>
      </c>
      <c r="O185" s="13">
        <v>0.001362</v>
      </c>
      <c r="P185" s="12">
        <v>0.0</v>
      </c>
      <c r="Q185" s="13"/>
      <c r="R185" s="12">
        <v>0.0</v>
      </c>
      <c r="S185" s="13"/>
      <c r="T185" s="12">
        <v>3019.0</v>
      </c>
      <c r="U185" s="13">
        <v>0.241888</v>
      </c>
      <c r="V185" s="12">
        <v>0.0</v>
      </c>
      <c r="W185" s="13"/>
      <c r="X185" s="12">
        <v>0.0</v>
      </c>
      <c r="Y185" s="13"/>
      <c r="AA185" s="13"/>
      <c r="AB185" s="12">
        <v>1.0</v>
      </c>
      <c r="AC185" s="13">
        <v>8.0E-5</v>
      </c>
    </row>
    <row r="186" ht="14.25" customHeight="1">
      <c r="A186" s="11" t="s">
        <v>199</v>
      </c>
      <c r="B186" s="12">
        <v>0.0</v>
      </c>
      <c r="C186" s="13"/>
      <c r="D186" s="12">
        <v>0.0</v>
      </c>
      <c r="E186" s="13"/>
      <c r="F186" s="12">
        <v>1.0</v>
      </c>
      <c r="G186" s="13">
        <v>8.7E-5</v>
      </c>
      <c r="H186" s="12">
        <v>0.0</v>
      </c>
      <c r="I186" s="13"/>
      <c r="J186" s="12">
        <v>0.0</v>
      </c>
      <c r="K186" s="13"/>
      <c r="L186" s="12">
        <v>0.0</v>
      </c>
      <c r="M186" s="13"/>
      <c r="N186" s="12">
        <v>10.0</v>
      </c>
      <c r="O186" s="13">
        <v>8.75E-4</v>
      </c>
      <c r="P186" s="12">
        <v>0.0</v>
      </c>
      <c r="Q186" s="13"/>
      <c r="R186" s="12">
        <v>0.0</v>
      </c>
      <c r="S186" s="13"/>
      <c r="T186" s="12">
        <v>2377.0</v>
      </c>
      <c r="U186" s="13">
        <v>0.207943</v>
      </c>
      <c r="V186" s="12">
        <v>0.0</v>
      </c>
      <c r="W186" s="13"/>
      <c r="X186" s="12">
        <v>0.0</v>
      </c>
      <c r="Y186" s="13"/>
      <c r="AA186" s="13"/>
      <c r="AB186" s="12">
        <v>0.0</v>
      </c>
      <c r="AC186" s="13"/>
    </row>
    <row r="187" ht="14.25" customHeight="1">
      <c r="A187" s="11" t="s">
        <v>200</v>
      </c>
      <c r="B187" s="12">
        <v>0.0</v>
      </c>
      <c r="C187" s="13"/>
      <c r="D187" s="12">
        <v>0.0</v>
      </c>
      <c r="E187" s="13"/>
      <c r="F187" s="12">
        <v>1.0</v>
      </c>
      <c r="G187" s="13">
        <v>9.0E-5</v>
      </c>
      <c r="H187" s="12">
        <v>0.0</v>
      </c>
      <c r="I187" s="13"/>
      <c r="J187" s="12">
        <v>0.0</v>
      </c>
      <c r="K187" s="13"/>
      <c r="L187" s="12">
        <v>0.0</v>
      </c>
      <c r="M187" s="13"/>
      <c r="N187" s="12">
        <v>12.0</v>
      </c>
      <c r="O187" s="13">
        <v>0.001077</v>
      </c>
      <c r="P187" s="12">
        <v>0.0</v>
      </c>
      <c r="Q187" s="13"/>
      <c r="R187" s="12">
        <v>0.0</v>
      </c>
      <c r="S187" s="13"/>
      <c r="T187" s="12">
        <v>2156.0</v>
      </c>
      <c r="U187" s="13">
        <v>0.193467</v>
      </c>
      <c r="V187" s="12">
        <v>0.0</v>
      </c>
      <c r="W187" s="13"/>
      <c r="X187" s="12">
        <v>0.0</v>
      </c>
      <c r="Y187" s="13"/>
      <c r="AA187" s="13"/>
      <c r="AB187" s="12">
        <v>1.0</v>
      </c>
      <c r="AC187" s="13">
        <v>9.0E-5</v>
      </c>
    </row>
    <row r="188" ht="14.25" customHeight="1">
      <c r="A188" s="11" t="s">
        <v>201</v>
      </c>
      <c r="B188" s="12">
        <v>0.0</v>
      </c>
      <c r="C188" s="13"/>
      <c r="D188" s="12">
        <v>0.0</v>
      </c>
      <c r="E188" s="13"/>
      <c r="F188" s="12">
        <v>1.0</v>
      </c>
      <c r="G188" s="13">
        <v>8.1E-5</v>
      </c>
      <c r="H188" s="12">
        <v>0.0</v>
      </c>
      <c r="I188" s="13"/>
      <c r="J188" s="12">
        <v>0.0</v>
      </c>
      <c r="K188" s="13"/>
      <c r="L188" s="12">
        <v>0.0</v>
      </c>
      <c r="M188" s="13"/>
      <c r="N188" s="12">
        <v>32.0</v>
      </c>
      <c r="O188" s="13">
        <v>0.002601</v>
      </c>
      <c r="P188" s="12">
        <v>0.0</v>
      </c>
      <c r="Q188" s="13"/>
      <c r="R188" s="12">
        <v>0.0</v>
      </c>
      <c r="S188" s="13"/>
      <c r="T188" s="12">
        <v>2247.0</v>
      </c>
      <c r="U188" s="13">
        <v>0.182624</v>
      </c>
      <c r="V188" s="12">
        <v>0.0</v>
      </c>
      <c r="W188" s="13"/>
      <c r="X188" s="12">
        <v>0.0</v>
      </c>
      <c r="Y188" s="13"/>
      <c r="AA188" s="13"/>
      <c r="AB188" s="12">
        <v>1.0</v>
      </c>
      <c r="AC188" s="13">
        <v>8.1E-5</v>
      </c>
    </row>
    <row r="189" ht="14.25" customHeight="1">
      <c r="A189" s="11" t="s">
        <v>202</v>
      </c>
      <c r="B189" s="12">
        <v>0.0</v>
      </c>
      <c r="C189" s="13"/>
      <c r="D189" s="12">
        <v>0.0</v>
      </c>
      <c r="E189" s="13"/>
      <c r="F189" s="12">
        <v>2.0</v>
      </c>
      <c r="G189" s="13">
        <v>1.62E-4</v>
      </c>
      <c r="H189" s="12">
        <v>0.0</v>
      </c>
      <c r="I189" s="13"/>
      <c r="J189" s="12">
        <v>0.0</v>
      </c>
      <c r="K189" s="13"/>
      <c r="L189" s="12">
        <v>0.0</v>
      </c>
      <c r="M189" s="13"/>
      <c r="N189" s="12">
        <v>48.0</v>
      </c>
      <c r="O189" s="13">
        <v>0.003899</v>
      </c>
      <c r="P189" s="12">
        <v>0.0</v>
      </c>
      <c r="Q189" s="13"/>
      <c r="R189" s="12">
        <v>0.0</v>
      </c>
      <c r="S189" s="13"/>
      <c r="T189" s="12">
        <v>2135.0</v>
      </c>
      <c r="U189" s="13">
        <v>0.173408</v>
      </c>
      <c r="V189" s="12">
        <v>0.0</v>
      </c>
      <c r="W189" s="13"/>
      <c r="X189" s="12">
        <v>0.0</v>
      </c>
      <c r="Y189" s="13"/>
      <c r="AA189" s="13"/>
      <c r="AB189" s="12">
        <v>0.0</v>
      </c>
      <c r="AC189" s="13"/>
    </row>
    <row r="190" ht="14.25" customHeight="1">
      <c r="A190" s="11" t="s">
        <v>203</v>
      </c>
      <c r="B190" s="12">
        <v>0.0</v>
      </c>
      <c r="C190" s="13"/>
      <c r="D190" s="12">
        <v>0.0</v>
      </c>
      <c r="E190" s="13"/>
      <c r="F190" s="12">
        <v>0.0</v>
      </c>
      <c r="G190" s="13"/>
      <c r="H190" s="12">
        <v>0.0</v>
      </c>
      <c r="I190" s="13"/>
      <c r="J190" s="12">
        <v>0.0</v>
      </c>
      <c r="K190" s="13"/>
      <c r="L190" s="12">
        <v>0.0</v>
      </c>
      <c r="M190" s="13"/>
      <c r="N190" s="12">
        <v>55.0</v>
      </c>
      <c r="O190" s="13">
        <v>0.003776</v>
      </c>
      <c r="P190" s="12">
        <v>0.0</v>
      </c>
      <c r="Q190" s="13"/>
      <c r="R190" s="12">
        <v>0.0</v>
      </c>
      <c r="S190" s="13"/>
      <c r="T190" s="12">
        <v>2372.0</v>
      </c>
      <c r="U190" s="13">
        <v>0.162834</v>
      </c>
      <c r="V190" s="12">
        <v>0.0</v>
      </c>
      <c r="W190" s="13"/>
      <c r="X190" s="12">
        <v>0.0</v>
      </c>
      <c r="Y190" s="13"/>
      <c r="AA190" s="13"/>
      <c r="AB190" s="12">
        <v>5.0</v>
      </c>
      <c r="AC190" s="13">
        <v>3.43E-4</v>
      </c>
    </row>
    <row r="191" ht="14.25" customHeight="1">
      <c r="A191" s="11" t="s">
        <v>204</v>
      </c>
      <c r="B191" s="12">
        <v>0.0</v>
      </c>
      <c r="C191" s="13"/>
      <c r="D191" s="12">
        <v>0.0</v>
      </c>
      <c r="E191" s="13"/>
      <c r="F191" s="12">
        <v>0.0</v>
      </c>
      <c r="G191" s="13"/>
      <c r="H191" s="12">
        <v>0.0</v>
      </c>
      <c r="I191" s="13"/>
      <c r="J191" s="12">
        <v>0.0</v>
      </c>
      <c r="K191" s="13"/>
      <c r="L191" s="12">
        <v>0.0</v>
      </c>
      <c r="M191" s="13"/>
      <c r="N191" s="12">
        <v>121.0</v>
      </c>
      <c r="O191" s="13">
        <v>0.007407</v>
      </c>
      <c r="P191" s="12">
        <v>0.0</v>
      </c>
      <c r="Q191" s="13"/>
      <c r="R191" s="12">
        <v>0.0</v>
      </c>
      <c r="S191" s="13"/>
      <c r="T191" s="12">
        <v>2420.0</v>
      </c>
      <c r="U191" s="13">
        <v>0.148139</v>
      </c>
      <c r="V191" s="12">
        <v>0.0</v>
      </c>
      <c r="W191" s="13"/>
      <c r="X191" s="12">
        <v>0.0</v>
      </c>
      <c r="Y191" s="13"/>
      <c r="AA191" s="13"/>
      <c r="AB191" s="12">
        <v>6.0</v>
      </c>
      <c r="AC191" s="13">
        <v>3.67E-4</v>
      </c>
    </row>
    <row r="192" ht="14.25" customHeight="1">
      <c r="A192" s="11" t="s">
        <v>205</v>
      </c>
      <c r="B192" s="12">
        <v>0.0</v>
      </c>
      <c r="C192" s="13"/>
      <c r="D192" s="12">
        <v>0.0</v>
      </c>
      <c r="E192" s="13"/>
      <c r="F192" s="12">
        <v>0.0</v>
      </c>
      <c r="G192" s="13"/>
      <c r="H192" s="12">
        <v>0.0</v>
      </c>
      <c r="I192" s="13"/>
      <c r="J192" s="12">
        <v>0.0</v>
      </c>
      <c r="K192" s="13"/>
      <c r="L192" s="12">
        <v>0.0</v>
      </c>
      <c r="M192" s="13"/>
      <c r="N192" s="12">
        <v>149.0</v>
      </c>
      <c r="O192" s="13">
        <v>0.008101</v>
      </c>
      <c r="P192" s="12">
        <v>0.0</v>
      </c>
      <c r="Q192" s="13"/>
      <c r="R192" s="12">
        <v>0.0</v>
      </c>
      <c r="S192" s="13"/>
      <c r="T192" s="12">
        <v>2571.0</v>
      </c>
      <c r="U192" s="13">
        <v>0.139781</v>
      </c>
      <c r="V192" s="12">
        <v>0.0</v>
      </c>
      <c r="W192" s="13"/>
      <c r="X192" s="12">
        <v>0.0</v>
      </c>
      <c r="Y192" s="13"/>
      <c r="AA192" s="13"/>
      <c r="AB192" s="14">
        <v>15.0</v>
      </c>
      <c r="AC192" s="13">
        <v>8.16E-4</v>
      </c>
    </row>
    <row r="193" ht="14.25" customHeight="1">
      <c r="A193" s="11" t="s">
        <v>206</v>
      </c>
      <c r="B193" s="12">
        <v>0.0</v>
      </c>
      <c r="C193" s="13"/>
      <c r="D193" s="12">
        <v>0.0</v>
      </c>
      <c r="E193" s="13"/>
      <c r="F193" s="12">
        <v>2.0</v>
      </c>
      <c r="G193" s="13">
        <v>9.9E-5</v>
      </c>
      <c r="H193" s="12">
        <v>0.0</v>
      </c>
      <c r="I193" s="13"/>
      <c r="J193" s="12">
        <v>0.0</v>
      </c>
      <c r="K193" s="13"/>
      <c r="L193" s="12">
        <v>0.0</v>
      </c>
      <c r="M193" s="13"/>
      <c r="N193" s="12">
        <v>335.0</v>
      </c>
      <c r="O193" s="13">
        <v>0.016511</v>
      </c>
      <c r="P193" s="12">
        <v>0.0</v>
      </c>
      <c r="Q193" s="13"/>
      <c r="R193" s="12">
        <v>0.0</v>
      </c>
      <c r="S193" s="13"/>
      <c r="T193" s="12">
        <v>2595.0</v>
      </c>
      <c r="U193" s="13">
        <v>0.127896</v>
      </c>
      <c r="V193" s="12">
        <v>0.0</v>
      </c>
      <c r="W193" s="13"/>
      <c r="X193" s="12">
        <v>0.0</v>
      </c>
      <c r="Y193" s="13"/>
      <c r="AA193" s="13"/>
      <c r="AB193" s="14">
        <v>32.0</v>
      </c>
      <c r="AC193" s="13">
        <v>0.001577</v>
      </c>
    </row>
    <row r="194" ht="14.25" customHeight="1">
      <c r="A194" s="11" t="s">
        <v>207</v>
      </c>
      <c r="B194" s="12">
        <v>0.0</v>
      </c>
      <c r="C194" s="13"/>
      <c r="D194" s="12">
        <v>0.0</v>
      </c>
      <c r="E194" s="13"/>
      <c r="F194" s="12">
        <v>0.0</v>
      </c>
      <c r="G194" s="13"/>
      <c r="H194" s="12">
        <v>0.0</v>
      </c>
      <c r="I194" s="13"/>
      <c r="J194" s="12">
        <v>0.0</v>
      </c>
      <c r="K194" s="13"/>
      <c r="L194" s="12">
        <v>0.0</v>
      </c>
      <c r="M194" s="13"/>
      <c r="N194" s="12">
        <v>499.0</v>
      </c>
      <c r="O194" s="13">
        <v>0.020497</v>
      </c>
      <c r="P194" s="12">
        <v>0.0</v>
      </c>
      <c r="Q194" s="13"/>
      <c r="R194" s="12">
        <v>0.0</v>
      </c>
      <c r="S194" s="13"/>
      <c r="T194" s="12">
        <v>2783.0</v>
      </c>
      <c r="U194" s="13">
        <v>0.114315</v>
      </c>
      <c r="V194" s="12">
        <v>0.0</v>
      </c>
      <c r="W194" s="13"/>
      <c r="X194" s="12">
        <v>0.0</v>
      </c>
      <c r="Y194" s="13"/>
      <c r="AA194" s="13"/>
      <c r="AB194" s="14">
        <v>88.0</v>
      </c>
      <c r="AC194" s="13">
        <v>0.003615</v>
      </c>
    </row>
    <row r="195" ht="14.25" customHeight="1">
      <c r="A195" s="11" t="s">
        <v>208</v>
      </c>
      <c r="B195" s="12">
        <v>0.0</v>
      </c>
      <c r="C195" s="13"/>
      <c r="D195" s="12">
        <v>0.0</v>
      </c>
      <c r="E195" s="13"/>
      <c r="F195" s="12">
        <v>0.0</v>
      </c>
      <c r="G195" s="13"/>
      <c r="H195" s="12">
        <v>0.0</v>
      </c>
      <c r="I195" s="13"/>
      <c r="J195" s="12">
        <v>0.0</v>
      </c>
      <c r="K195" s="13"/>
      <c r="L195" s="12">
        <v>0.0</v>
      </c>
      <c r="M195" s="13"/>
      <c r="N195" s="12">
        <v>630.0</v>
      </c>
      <c r="O195" s="13">
        <v>0.026183</v>
      </c>
      <c r="P195" s="12">
        <v>0.0</v>
      </c>
      <c r="Q195" s="13"/>
      <c r="R195" s="12">
        <v>0.0</v>
      </c>
      <c r="S195" s="13"/>
      <c r="T195" s="12">
        <v>2693.0</v>
      </c>
      <c r="U195" s="13">
        <v>0.111924</v>
      </c>
      <c r="V195" s="12">
        <v>0.0</v>
      </c>
      <c r="W195" s="13"/>
      <c r="X195" s="12">
        <v>0.0</v>
      </c>
      <c r="Y195" s="13"/>
      <c r="AA195" s="13"/>
      <c r="AB195" s="14">
        <v>58.0</v>
      </c>
      <c r="AC195" s="13">
        <v>0.002411</v>
      </c>
    </row>
    <row r="196" ht="14.25" customHeight="1">
      <c r="A196" s="11" t="s">
        <v>209</v>
      </c>
      <c r="B196" s="12">
        <v>0.0</v>
      </c>
      <c r="C196" s="13"/>
      <c r="D196" s="12">
        <v>0.0</v>
      </c>
      <c r="E196" s="13"/>
      <c r="F196" s="12">
        <v>0.0</v>
      </c>
      <c r="G196" s="13"/>
      <c r="H196" s="12">
        <v>0.0</v>
      </c>
      <c r="I196" s="13"/>
      <c r="J196" s="12">
        <v>0.0</v>
      </c>
      <c r="K196" s="13"/>
      <c r="L196" s="12">
        <v>0.0</v>
      </c>
      <c r="M196" s="13"/>
      <c r="N196" s="12">
        <v>972.0</v>
      </c>
      <c r="O196" s="13">
        <v>0.037409</v>
      </c>
      <c r="P196" s="12">
        <v>0.0</v>
      </c>
      <c r="Q196" s="13"/>
      <c r="R196" s="12">
        <v>0.0</v>
      </c>
      <c r="S196" s="13"/>
      <c r="T196" s="12">
        <v>2608.0</v>
      </c>
      <c r="U196" s="13">
        <v>0.100373</v>
      </c>
      <c r="V196" s="12">
        <v>0.0</v>
      </c>
      <c r="W196" s="13"/>
      <c r="X196" s="12">
        <v>0.0</v>
      </c>
      <c r="Y196" s="13"/>
      <c r="AA196" s="13"/>
      <c r="AB196" s="14">
        <v>113.0</v>
      </c>
      <c r="AC196" s="13">
        <v>0.004349</v>
      </c>
    </row>
    <row r="197" ht="14.25" customHeight="1">
      <c r="A197" s="11" t="s">
        <v>210</v>
      </c>
      <c r="B197" s="12">
        <v>0.0</v>
      </c>
      <c r="C197" s="13"/>
      <c r="D197" s="12">
        <v>0.0</v>
      </c>
      <c r="E197" s="13"/>
      <c r="F197" s="12">
        <v>0.0</v>
      </c>
      <c r="G197" s="13"/>
      <c r="H197" s="12">
        <v>0.0</v>
      </c>
      <c r="I197" s="13"/>
      <c r="J197" s="12">
        <v>0.0</v>
      </c>
      <c r="K197" s="13"/>
      <c r="L197" s="12">
        <v>0.0</v>
      </c>
      <c r="M197" s="13"/>
      <c r="N197" s="12">
        <v>1221.0</v>
      </c>
      <c r="O197" s="13">
        <v>0.048599</v>
      </c>
      <c r="P197" s="12">
        <v>0.0</v>
      </c>
      <c r="Q197" s="13"/>
      <c r="R197" s="12">
        <v>0.0</v>
      </c>
      <c r="S197" s="13"/>
      <c r="T197" s="12">
        <v>2516.0</v>
      </c>
      <c r="U197" s="13">
        <v>0.100143</v>
      </c>
      <c r="V197" s="12">
        <v>0.0</v>
      </c>
      <c r="W197" s="13"/>
      <c r="X197" s="12">
        <v>0.0</v>
      </c>
      <c r="Y197" s="13"/>
      <c r="AA197" s="13"/>
      <c r="AB197" s="14">
        <v>126.0</v>
      </c>
      <c r="AC197" s="13">
        <v>0.005015</v>
      </c>
    </row>
    <row r="198" ht="14.25" customHeight="1">
      <c r="A198" s="11" t="s">
        <v>211</v>
      </c>
      <c r="B198" s="12">
        <v>0.0</v>
      </c>
      <c r="C198" s="13"/>
      <c r="D198" s="12">
        <v>0.0</v>
      </c>
      <c r="E198" s="13"/>
      <c r="F198" s="12">
        <v>0.0</v>
      </c>
      <c r="G198" s="13"/>
      <c r="H198" s="12">
        <v>0.0</v>
      </c>
      <c r="I198" s="13"/>
      <c r="J198" s="12">
        <v>0.0</v>
      </c>
      <c r="K198" s="13"/>
      <c r="L198" s="12">
        <v>0.0</v>
      </c>
      <c r="M198" s="13"/>
      <c r="N198" s="12">
        <v>1565.0</v>
      </c>
      <c r="O198" s="13">
        <v>0.059456</v>
      </c>
      <c r="P198" s="12">
        <v>0.0</v>
      </c>
      <c r="Q198" s="13"/>
      <c r="R198" s="12">
        <v>0.0</v>
      </c>
      <c r="S198" s="13"/>
      <c r="T198" s="12">
        <v>2553.0</v>
      </c>
      <c r="U198" s="13">
        <v>0.096991</v>
      </c>
      <c r="V198" s="12">
        <v>0.0</v>
      </c>
      <c r="W198" s="13"/>
      <c r="X198" s="12">
        <v>0.0</v>
      </c>
      <c r="Y198" s="13"/>
      <c r="AA198" s="13"/>
      <c r="AB198" s="14">
        <v>215.0</v>
      </c>
      <c r="AC198" s="13">
        <v>0.008168</v>
      </c>
    </row>
    <row r="199" ht="14.25" customHeight="1">
      <c r="A199" s="11" t="s">
        <v>212</v>
      </c>
      <c r="B199" s="12">
        <v>0.0</v>
      </c>
      <c r="C199" s="13"/>
      <c r="D199" s="12">
        <v>0.0</v>
      </c>
      <c r="E199" s="13"/>
      <c r="F199" s="12">
        <v>0.0</v>
      </c>
      <c r="G199" s="13"/>
      <c r="H199" s="12">
        <v>0.0</v>
      </c>
      <c r="I199" s="13"/>
      <c r="J199" s="12">
        <v>0.0</v>
      </c>
      <c r="K199" s="13"/>
      <c r="L199" s="12">
        <v>0.0</v>
      </c>
      <c r="M199" s="13"/>
      <c r="N199" s="12">
        <v>1605.0</v>
      </c>
      <c r="O199" s="13">
        <v>0.066104</v>
      </c>
      <c r="P199" s="12">
        <v>0.0</v>
      </c>
      <c r="Q199" s="13"/>
      <c r="R199" s="12">
        <v>0.0</v>
      </c>
      <c r="S199" s="13"/>
      <c r="T199" s="12">
        <v>2442.0</v>
      </c>
      <c r="U199" s="13">
        <v>0.100577</v>
      </c>
      <c r="V199" s="12">
        <v>0.0</v>
      </c>
      <c r="W199" s="13"/>
      <c r="X199" s="12">
        <v>0.0</v>
      </c>
      <c r="Y199" s="13"/>
      <c r="AA199" s="13"/>
      <c r="AB199" s="14">
        <v>295.0</v>
      </c>
      <c r="AC199" s="13">
        <v>0.01215</v>
      </c>
    </row>
    <row r="200" ht="14.25" customHeight="1">
      <c r="A200" s="11" t="s">
        <v>213</v>
      </c>
      <c r="B200" s="12">
        <v>0.0</v>
      </c>
      <c r="C200" s="13"/>
      <c r="D200" s="12">
        <v>0.0</v>
      </c>
      <c r="E200" s="13"/>
      <c r="F200" s="12">
        <v>0.0</v>
      </c>
      <c r="G200" s="13"/>
      <c r="H200" s="12">
        <v>0.0</v>
      </c>
      <c r="I200" s="13"/>
      <c r="J200" s="12">
        <v>0.0</v>
      </c>
      <c r="K200" s="13"/>
      <c r="L200" s="12">
        <v>0.0</v>
      </c>
      <c r="M200" s="13"/>
      <c r="N200" s="12">
        <v>1921.0</v>
      </c>
      <c r="O200" s="13">
        <v>0.081488</v>
      </c>
      <c r="P200" s="12">
        <v>0.0</v>
      </c>
      <c r="Q200" s="13"/>
      <c r="R200" s="12">
        <v>0.0</v>
      </c>
      <c r="S200" s="13"/>
      <c r="T200" s="12">
        <v>2428.0</v>
      </c>
      <c r="U200" s="13">
        <v>0.102995</v>
      </c>
      <c r="V200" s="12">
        <v>0.0</v>
      </c>
      <c r="W200" s="13"/>
      <c r="X200" s="12">
        <v>0.0</v>
      </c>
      <c r="Y200" s="13"/>
      <c r="AA200" s="13"/>
      <c r="AB200" s="14">
        <v>454.0</v>
      </c>
      <c r="AC200" s="13">
        <v>0.019259</v>
      </c>
    </row>
    <row r="201" ht="14.25" customHeight="1">
      <c r="A201" s="11" t="s">
        <v>214</v>
      </c>
      <c r="B201" s="12">
        <v>0.0</v>
      </c>
      <c r="C201" s="13"/>
      <c r="D201" s="12">
        <v>0.0</v>
      </c>
      <c r="E201" s="13"/>
      <c r="F201" s="12">
        <v>1.0</v>
      </c>
      <c r="G201" s="13">
        <v>4.5E-5</v>
      </c>
      <c r="H201" s="12">
        <v>0.0</v>
      </c>
      <c r="I201" s="13"/>
      <c r="J201" s="12">
        <v>0.0</v>
      </c>
      <c r="K201" s="13"/>
      <c r="L201" s="12">
        <v>0.0</v>
      </c>
      <c r="M201" s="13"/>
      <c r="N201" s="12">
        <v>2257.0</v>
      </c>
      <c r="O201" s="13">
        <v>0.101607</v>
      </c>
      <c r="P201" s="12">
        <v>0.0</v>
      </c>
      <c r="Q201" s="13"/>
      <c r="R201" s="12">
        <v>0.0</v>
      </c>
      <c r="S201" s="13"/>
      <c r="T201" s="12">
        <v>2230.0</v>
      </c>
      <c r="U201" s="13">
        <v>0.100392</v>
      </c>
      <c r="V201" s="12">
        <v>0.0</v>
      </c>
      <c r="W201" s="13"/>
      <c r="X201" s="12">
        <v>0.0</v>
      </c>
      <c r="Y201" s="13"/>
      <c r="AA201" s="13"/>
      <c r="AB201" s="14">
        <v>598.0</v>
      </c>
      <c r="AC201" s="13">
        <v>0.026921</v>
      </c>
    </row>
    <row r="202" ht="14.25" customHeight="1">
      <c r="A202" s="11" t="s">
        <v>215</v>
      </c>
      <c r="B202" s="12">
        <v>1.0</v>
      </c>
      <c r="C202" s="13">
        <v>4.6E-5</v>
      </c>
      <c r="D202" s="12">
        <v>0.0</v>
      </c>
      <c r="E202" s="13"/>
      <c r="F202" s="12">
        <v>0.0</v>
      </c>
      <c r="G202" s="13"/>
      <c r="H202" s="12">
        <v>0.0</v>
      </c>
      <c r="I202" s="13"/>
      <c r="J202" s="12">
        <v>0.0</v>
      </c>
      <c r="K202" s="13"/>
      <c r="L202" s="12">
        <v>0.0</v>
      </c>
      <c r="M202" s="13"/>
      <c r="N202" s="12">
        <v>2368.0</v>
      </c>
      <c r="O202" s="13">
        <v>0.109802</v>
      </c>
      <c r="P202" s="12">
        <v>0.0</v>
      </c>
      <c r="Q202" s="13"/>
      <c r="R202" s="12">
        <v>0.0</v>
      </c>
      <c r="S202" s="13"/>
      <c r="T202" s="12">
        <v>2234.0</v>
      </c>
      <c r="U202" s="13">
        <v>0.103589</v>
      </c>
      <c r="V202" s="12">
        <v>0.0</v>
      </c>
      <c r="W202" s="13"/>
      <c r="X202" s="12">
        <v>0.0</v>
      </c>
      <c r="Y202" s="13"/>
      <c r="AA202" s="13"/>
      <c r="AB202" s="14">
        <v>844.0</v>
      </c>
      <c r="AC202" s="13">
        <v>0.039136</v>
      </c>
    </row>
    <row r="203" ht="14.25" customHeight="1">
      <c r="A203" s="11" t="s">
        <v>216</v>
      </c>
      <c r="B203" s="12">
        <v>0.0</v>
      </c>
      <c r="C203" s="13"/>
      <c r="D203" s="12">
        <v>0.0</v>
      </c>
      <c r="E203" s="13"/>
      <c r="F203" s="12">
        <v>0.0</v>
      </c>
      <c r="G203" s="13"/>
      <c r="H203" s="12">
        <v>0.0</v>
      </c>
      <c r="I203" s="13"/>
      <c r="J203" s="12">
        <v>0.0</v>
      </c>
      <c r="K203" s="13"/>
      <c r="L203" s="12">
        <v>0.0</v>
      </c>
      <c r="M203" s="13"/>
      <c r="N203" s="12">
        <v>2584.0</v>
      </c>
      <c r="O203" s="13">
        <v>0.120102</v>
      </c>
      <c r="P203" s="12">
        <v>0.0</v>
      </c>
      <c r="Q203" s="13"/>
      <c r="R203" s="12">
        <v>0.0</v>
      </c>
      <c r="S203" s="13"/>
      <c r="T203" s="12">
        <v>2160.0</v>
      </c>
      <c r="U203" s="13">
        <v>0.100395</v>
      </c>
      <c r="V203" s="12">
        <v>0.0</v>
      </c>
      <c r="W203" s="13"/>
      <c r="X203" s="12">
        <v>0.0</v>
      </c>
      <c r="Y203" s="13"/>
      <c r="AA203" s="13"/>
      <c r="AB203" s="14">
        <v>1177.0</v>
      </c>
      <c r="AC203" s="13">
        <v>0.054706</v>
      </c>
    </row>
    <row r="204" ht="14.25" customHeight="1">
      <c r="A204" s="11" t="s">
        <v>217</v>
      </c>
      <c r="B204" s="12">
        <v>1.0</v>
      </c>
      <c r="C204" s="13">
        <v>4.7E-5</v>
      </c>
      <c r="D204" s="12">
        <v>0.0</v>
      </c>
      <c r="E204" s="13"/>
      <c r="F204" s="12">
        <v>0.0</v>
      </c>
      <c r="G204" s="13"/>
      <c r="H204" s="12">
        <v>0.0</v>
      </c>
      <c r="I204" s="13"/>
      <c r="J204" s="12">
        <v>0.0</v>
      </c>
      <c r="K204" s="13"/>
      <c r="L204" s="12">
        <v>0.0</v>
      </c>
      <c r="M204" s="13"/>
      <c r="N204" s="12">
        <v>2687.0</v>
      </c>
      <c r="O204" s="13">
        <v>0.126919</v>
      </c>
      <c r="P204" s="12">
        <v>0.0</v>
      </c>
      <c r="Q204" s="13"/>
      <c r="R204" s="12">
        <v>0.0</v>
      </c>
      <c r="S204" s="13"/>
      <c r="T204" s="12">
        <v>2066.0</v>
      </c>
      <c r="U204" s="13">
        <v>0.097586</v>
      </c>
      <c r="V204" s="12">
        <v>0.0</v>
      </c>
      <c r="W204" s="13"/>
      <c r="X204" s="12">
        <v>0.0</v>
      </c>
      <c r="Y204" s="13"/>
      <c r="AA204" s="13"/>
      <c r="AB204" s="14">
        <v>1704.0</v>
      </c>
      <c r="AC204" s="13">
        <v>0.080487</v>
      </c>
    </row>
    <row r="205" ht="14.25" customHeight="1">
      <c r="A205" s="11" t="s">
        <v>218</v>
      </c>
      <c r="B205" s="12">
        <v>0.0</v>
      </c>
      <c r="C205" s="13"/>
      <c r="D205" s="12">
        <v>0.0</v>
      </c>
      <c r="E205" s="13"/>
      <c r="F205" s="12">
        <v>1.0</v>
      </c>
      <c r="G205" s="13">
        <v>4.6E-5</v>
      </c>
      <c r="H205" s="12">
        <v>0.0</v>
      </c>
      <c r="I205" s="13"/>
      <c r="J205" s="12">
        <v>0.0</v>
      </c>
      <c r="K205" s="13"/>
      <c r="L205" s="12">
        <v>0.0</v>
      </c>
      <c r="M205" s="13"/>
      <c r="N205" s="12">
        <v>2819.0</v>
      </c>
      <c r="O205" s="13">
        <v>0.129022</v>
      </c>
      <c r="P205" s="12">
        <v>0.0</v>
      </c>
      <c r="Q205" s="13"/>
      <c r="R205" s="12">
        <v>0.0</v>
      </c>
      <c r="S205" s="13"/>
      <c r="T205" s="12">
        <v>2158.0</v>
      </c>
      <c r="U205" s="13">
        <v>0.098769</v>
      </c>
      <c r="V205" s="12">
        <v>0.0</v>
      </c>
      <c r="W205" s="13"/>
      <c r="X205" s="12">
        <v>0.0</v>
      </c>
      <c r="Y205" s="13"/>
      <c r="AA205" s="13"/>
      <c r="AB205" s="14">
        <v>2238.0</v>
      </c>
      <c r="AC205" s="13">
        <v>0.10243</v>
      </c>
    </row>
    <row r="206" ht="14.25" customHeight="1">
      <c r="A206" s="11" t="s">
        <v>219</v>
      </c>
      <c r="B206" s="12">
        <v>0.0</v>
      </c>
      <c r="C206" s="13"/>
      <c r="D206" s="12">
        <v>0.0</v>
      </c>
      <c r="E206" s="13"/>
      <c r="F206" s="12">
        <v>0.0</v>
      </c>
      <c r="G206" s="13"/>
      <c r="H206" s="12">
        <v>0.0</v>
      </c>
      <c r="I206" s="13"/>
      <c r="J206" s="12">
        <v>0.0</v>
      </c>
      <c r="K206" s="13"/>
      <c r="L206" s="12">
        <v>0.0</v>
      </c>
      <c r="M206" s="13"/>
      <c r="N206" s="12">
        <v>2885.0</v>
      </c>
      <c r="O206" s="13">
        <v>0.128063</v>
      </c>
      <c r="P206" s="12">
        <v>0.0</v>
      </c>
      <c r="Q206" s="13"/>
      <c r="R206" s="12">
        <v>0.0</v>
      </c>
      <c r="S206" s="13"/>
      <c r="T206" s="12">
        <v>2209.0</v>
      </c>
      <c r="U206" s="13">
        <v>0.098056</v>
      </c>
      <c r="V206" s="12">
        <v>0.0</v>
      </c>
      <c r="W206" s="13"/>
      <c r="X206" s="12">
        <v>0.0</v>
      </c>
      <c r="Y206" s="13"/>
      <c r="AA206" s="13"/>
      <c r="AB206" s="14">
        <v>3352.0</v>
      </c>
      <c r="AC206" s="13">
        <v>0.148793</v>
      </c>
    </row>
    <row r="207" ht="14.25" customHeight="1">
      <c r="A207" s="11" t="s">
        <v>220</v>
      </c>
      <c r="B207" s="12">
        <v>1.0</v>
      </c>
      <c r="C207" s="13">
        <v>4.5E-5</v>
      </c>
      <c r="D207" s="12">
        <v>0.0</v>
      </c>
      <c r="E207" s="13"/>
      <c r="F207" s="12">
        <v>0.0</v>
      </c>
      <c r="G207" s="13"/>
      <c r="H207" s="12">
        <v>0.0</v>
      </c>
      <c r="I207" s="13"/>
      <c r="J207" s="12">
        <v>0.0</v>
      </c>
      <c r="K207" s="13"/>
      <c r="L207" s="12">
        <v>0.0</v>
      </c>
      <c r="M207" s="13"/>
      <c r="N207" s="12">
        <v>2682.0</v>
      </c>
      <c r="O207" s="13">
        <v>0.120882</v>
      </c>
      <c r="P207" s="12">
        <v>0.0</v>
      </c>
      <c r="Q207" s="13"/>
      <c r="R207" s="12">
        <v>0.0</v>
      </c>
      <c r="S207" s="13"/>
      <c r="T207" s="12">
        <v>1948.0</v>
      </c>
      <c r="U207" s="13">
        <v>0.087799</v>
      </c>
      <c r="V207" s="12">
        <v>0.0</v>
      </c>
      <c r="W207" s="13"/>
      <c r="X207" s="12">
        <v>0.0</v>
      </c>
      <c r="Y207" s="13"/>
      <c r="AA207" s="13"/>
      <c r="AB207" s="14">
        <v>4859.0</v>
      </c>
      <c r="AC207" s="13">
        <v>0.219002</v>
      </c>
    </row>
    <row r="208" ht="14.25" customHeight="1">
      <c r="A208" s="11" t="s">
        <v>221</v>
      </c>
      <c r="B208" s="12">
        <v>0.0</v>
      </c>
      <c r="C208" s="13"/>
      <c r="D208" s="12">
        <v>0.0</v>
      </c>
      <c r="E208" s="13"/>
      <c r="F208" s="12">
        <v>0.0</v>
      </c>
      <c r="G208" s="13"/>
      <c r="H208" s="12">
        <v>0.0</v>
      </c>
      <c r="I208" s="13"/>
      <c r="J208" s="12">
        <v>0.0</v>
      </c>
      <c r="K208" s="13"/>
      <c r="L208" s="12">
        <v>0.0</v>
      </c>
      <c r="M208" s="13"/>
      <c r="N208" s="12">
        <v>2478.0</v>
      </c>
      <c r="O208" s="13">
        <v>0.100024</v>
      </c>
      <c r="P208" s="12">
        <v>0.0</v>
      </c>
      <c r="Q208" s="13"/>
      <c r="R208" s="12">
        <v>0.0</v>
      </c>
      <c r="S208" s="13"/>
      <c r="T208" s="12">
        <v>2062.0</v>
      </c>
      <c r="U208" s="13">
        <v>0.083232</v>
      </c>
      <c r="V208" s="12">
        <v>0.0</v>
      </c>
      <c r="W208" s="13"/>
      <c r="X208" s="12">
        <v>0.0</v>
      </c>
      <c r="Y208" s="13"/>
      <c r="AA208" s="13"/>
      <c r="AB208" s="14">
        <v>7912.0</v>
      </c>
      <c r="AC208" s="13">
        <v>0.319367</v>
      </c>
    </row>
    <row r="209" ht="14.25" customHeight="1">
      <c r="A209" s="11" t="s">
        <v>222</v>
      </c>
      <c r="B209" s="12">
        <v>0.0</v>
      </c>
      <c r="C209" s="13"/>
      <c r="D209" s="12">
        <v>0.0</v>
      </c>
      <c r="E209" s="13"/>
      <c r="F209" s="12">
        <v>0.0</v>
      </c>
      <c r="G209" s="13"/>
      <c r="H209" s="12">
        <v>0.0</v>
      </c>
      <c r="I209" s="13"/>
      <c r="J209" s="12">
        <v>0.0</v>
      </c>
      <c r="K209" s="13"/>
      <c r="L209" s="12">
        <v>0.0</v>
      </c>
      <c r="M209" s="13"/>
      <c r="N209" s="12">
        <v>2521.0</v>
      </c>
      <c r="O209" s="13">
        <v>0.093433</v>
      </c>
      <c r="P209" s="12">
        <v>0.0</v>
      </c>
      <c r="Q209" s="13"/>
      <c r="R209" s="12">
        <v>0.0</v>
      </c>
      <c r="S209" s="13"/>
      <c r="T209" s="12">
        <v>1867.0</v>
      </c>
      <c r="U209" s="13">
        <v>0.069194</v>
      </c>
      <c r="V209" s="12">
        <v>0.0</v>
      </c>
      <c r="W209" s="13"/>
      <c r="X209" s="12">
        <v>0.0</v>
      </c>
      <c r="Y209" s="13"/>
      <c r="AA209" s="13"/>
      <c r="AB209" s="14">
        <v>11244.0</v>
      </c>
      <c r="AC209" s="13">
        <v>0.416722</v>
      </c>
    </row>
    <row r="210" ht="14.25" customHeight="1">
      <c r="A210" s="11" t="s">
        <v>223</v>
      </c>
      <c r="B210" s="12">
        <v>0.0</v>
      </c>
      <c r="C210" s="13"/>
      <c r="D210" s="12">
        <v>0.0</v>
      </c>
      <c r="E210" s="13"/>
      <c r="F210" s="12">
        <v>0.0</v>
      </c>
      <c r="G210" s="13"/>
      <c r="H210" s="12">
        <v>0.0</v>
      </c>
      <c r="I210" s="13"/>
      <c r="J210" s="12">
        <v>0.0</v>
      </c>
      <c r="K210" s="13"/>
      <c r="L210" s="12">
        <v>0.0</v>
      </c>
      <c r="M210" s="13"/>
      <c r="N210" s="12">
        <v>1998.0</v>
      </c>
      <c r="O210" s="13">
        <v>0.072954</v>
      </c>
      <c r="P210" s="12">
        <v>0.0</v>
      </c>
      <c r="Q210" s="13"/>
      <c r="R210" s="12">
        <v>0.0</v>
      </c>
      <c r="S210" s="13"/>
      <c r="T210" s="12">
        <v>1710.0</v>
      </c>
      <c r="U210" s="13">
        <v>0.062438</v>
      </c>
      <c r="V210" s="12">
        <v>0.0</v>
      </c>
      <c r="W210" s="13"/>
      <c r="X210" s="12">
        <v>0.0</v>
      </c>
      <c r="Y210" s="13"/>
      <c r="AA210" s="13"/>
      <c r="AB210" s="14">
        <v>14516.0</v>
      </c>
      <c r="AC210" s="13">
        <v>0.530032</v>
      </c>
    </row>
    <row r="211" ht="14.25" customHeight="1">
      <c r="A211" s="11" t="s">
        <v>224</v>
      </c>
      <c r="B211" s="12">
        <v>0.0</v>
      </c>
      <c r="C211" s="13"/>
      <c r="D211" s="12">
        <v>0.0</v>
      </c>
      <c r="E211" s="13"/>
      <c r="F211" s="12">
        <v>1.0</v>
      </c>
      <c r="G211" s="13">
        <v>4.2E-5</v>
      </c>
      <c r="H211" s="12">
        <v>0.0</v>
      </c>
      <c r="I211" s="13"/>
      <c r="J211" s="12">
        <v>0.0</v>
      </c>
      <c r="K211" s="13"/>
      <c r="L211" s="12">
        <v>0.0</v>
      </c>
      <c r="M211" s="13"/>
      <c r="N211" s="12">
        <v>1351.0</v>
      </c>
      <c r="O211" s="13">
        <v>0.056287</v>
      </c>
      <c r="P211" s="12">
        <v>0.0</v>
      </c>
      <c r="Q211" s="13"/>
      <c r="R211" s="12">
        <v>0.0</v>
      </c>
      <c r="S211" s="13"/>
      <c r="T211" s="12">
        <v>1197.0</v>
      </c>
      <c r="U211" s="13">
        <v>0.049871</v>
      </c>
      <c r="V211" s="12">
        <v>0.0</v>
      </c>
      <c r="W211" s="13"/>
      <c r="X211" s="12">
        <v>0.0</v>
      </c>
      <c r="Y211" s="13"/>
      <c r="AA211" s="13"/>
      <c r="AB211" s="14">
        <v>14810.0</v>
      </c>
      <c r="AC211" s="13">
        <v>0.617032</v>
      </c>
    </row>
    <row r="212" ht="14.25" customHeight="1">
      <c r="A212" s="11" t="s">
        <v>225</v>
      </c>
      <c r="B212" s="12">
        <v>0.0</v>
      </c>
      <c r="C212" s="13"/>
      <c r="D212" s="12">
        <v>0.0</v>
      </c>
      <c r="E212" s="13"/>
      <c r="F212" s="12">
        <v>0.0</v>
      </c>
      <c r="G212" s="13"/>
      <c r="H212" s="12">
        <v>0.0</v>
      </c>
      <c r="I212" s="13"/>
      <c r="J212" s="12">
        <v>0.0</v>
      </c>
      <c r="K212" s="13"/>
      <c r="L212" s="12">
        <v>0.0</v>
      </c>
      <c r="M212" s="13"/>
      <c r="N212" s="12">
        <v>1136.0</v>
      </c>
      <c r="O212" s="13">
        <v>0.050413</v>
      </c>
      <c r="P212" s="12">
        <v>0.0</v>
      </c>
      <c r="Q212" s="13"/>
      <c r="R212" s="12">
        <v>0.0</v>
      </c>
      <c r="S212" s="13"/>
      <c r="T212" s="12">
        <v>870.0</v>
      </c>
      <c r="U212" s="13">
        <v>0.038608</v>
      </c>
      <c r="V212" s="12">
        <v>0.0</v>
      </c>
      <c r="W212" s="13"/>
      <c r="X212" s="12">
        <v>0.0</v>
      </c>
      <c r="Y212" s="13"/>
      <c r="AA212" s="13"/>
      <c r="AB212" s="14">
        <v>15692.0</v>
      </c>
      <c r="AC212" s="13">
        <v>0.69637</v>
      </c>
    </row>
    <row r="213" ht="14.25" customHeight="1">
      <c r="A213" s="11" t="s">
        <v>226</v>
      </c>
      <c r="B213" s="12">
        <v>0.0</v>
      </c>
      <c r="C213" s="13"/>
      <c r="D213" s="12">
        <v>0.0</v>
      </c>
      <c r="E213" s="13"/>
      <c r="F213" s="12">
        <v>0.0</v>
      </c>
      <c r="G213" s="13"/>
      <c r="H213" s="12">
        <v>0.0</v>
      </c>
      <c r="I213" s="13"/>
      <c r="J213" s="12">
        <v>0.0</v>
      </c>
      <c r="K213" s="13"/>
      <c r="L213" s="12">
        <v>0.0</v>
      </c>
      <c r="M213" s="13"/>
      <c r="N213" s="12">
        <v>775.0</v>
      </c>
      <c r="O213" s="13">
        <v>0.032339</v>
      </c>
      <c r="P213" s="12">
        <v>0.0</v>
      </c>
      <c r="Q213" s="13"/>
      <c r="R213" s="12">
        <v>0.0</v>
      </c>
      <c r="S213" s="13"/>
      <c r="T213" s="12">
        <v>831.0</v>
      </c>
      <c r="U213" s="13">
        <v>0.034676</v>
      </c>
      <c r="V213" s="12">
        <v>0.0</v>
      </c>
      <c r="W213" s="13"/>
      <c r="X213" s="12">
        <v>0.0</v>
      </c>
      <c r="Y213" s="13"/>
      <c r="AA213" s="13"/>
      <c r="AB213" s="14">
        <v>18436.0</v>
      </c>
      <c r="AC213" s="13">
        <v>0.769289</v>
      </c>
    </row>
    <row r="214" ht="14.25" customHeight="1">
      <c r="A214" s="11" t="s">
        <v>227</v>
      </c>
      <c r="B214" s="12">
        <v>1.0</v>
      </c>
      <c r="C214" s="13">
        <v>4.7E-5</v>
      </c>
      <c r="D214" s="12">
        <v>0.0</v>
      </c>
      <c r="E214" s="13"/>
      <c r="F214" s="12">
        <v>0.0</v>
      </c>
      <c r="G214" s="13"/>
      <c r="H214" s="12">
        <v>0.0</v>
      </c>
      <c r="I214" s="13"/>
      <c r="J214" s="12">
        <v>0.0</v>
      </c>
      <c r="K214" s="13"/>
      <c r="L214" s="12">
        <v>0.0</v>
      </c>
      <c r="M214" s="13"/>
      <c r="N214" s="12">
        <v>672.0</v>
      </c>
      <c r="O214" s="13">
        <v>0.031618</v>
      </c>
      <c r="P214" s="12">
        <v>0.0</v>
      </c>
      <c r="Q214" s="13"/>
      <c r="R214" s="12">
        <v>0.0</v>
      </c>
      <c r="S214" s="13"/>
      <c r="T214" s="12">
        <v>599.0</v>
      </c>
      <c r="U214" s="13">
        <v>0.028183</v>
      </c>
      <c r="V214" s="12">
        <v>0.0</v>
      </c>
      <c r="W214" s="13"/>
      <c r="X214" s="12">
        <v>0.0</v>
      </c>
      <c r="Y214" s="13"/>
      <c r="AA214" s="13"/>
      <c r="AB214" s="14">
        <v>16954.0</v>
      </c>
      <c r="AC214" s="13">
        <v>0.797685</v>
      </c>
    </row>
    <row r="215" ht="14.25" customHeight="1">
      <c r="A215" s="11" t="s">
        <v>228</v>
      </c>
      <c r="B215" s="12">
        <v>0.0</v>
      </c>
      <c r="C215" s="13"/>
      <c r="D215" s="12">
        <v>0.0</v>
      </c>
      <c r="E215" s="13"/>
      <c r="F215" s="12">
        <v>0.0</v>
      </c>
      <c r="G215" s="13"/>
      <c r="H215" s="12">
        <v>0.0</v>
      </c>
      <c r="I215" s="13"/>
      <c r="J215" s="12">
        <v>0.0</v>
      </c>
      <c r="K215" s="13"/>
      <c r="L215" s="12">
        <v>0.0</v>
      </c>
      <c r="M215" s="13"/>
      <c r="N215" s="12">
        <v>562.0</v>
      </c>
      <c r="O215" s="13">
        <v>0.030781</v>
      </c>
      <c r="P215" s="12">
        <v>0.0</v>
      </c>
      <c r="Q215" s="13"/>
      <c r="R215" s="12">
        <v>0.0</v>
      </c>
      <c r="S215" s="13"/>
      <c r="T215" s="12">
        <v>378.0</v>
      </c>
      <c r="U215" s="13">
        <v>0.020703</v>
      </c>
      <c r="V215" s="12">
        <v>0.0</v>
      </c>
      <c r="W215" s="13"/>
      <c r="X215" s="12">
        <v>0.0</v>
      </c>
      <c r="Y215" s="13"/>
      <c r="AA215" s="13"/>
      <c r="AB215" s="14">
        <v>15263.0</v>
      </c>
      <c r="AC215" s="13">
        <v>0.835962</v>
      </c>
    </row>
    <row r="216" ht="14.25" customHeight="1">
      <c r="A216" s="11" t="s">
        <v>229</v>
      </c>
      <c r="B216" s="12">
        <v>0.0</v>
      </c>
      <c r="C216" s="13"/>
      <c r="D216" s="12">
        <v>0.0</v>
      </c>
      <c r="E216" s="13"/>
      <c r="F216" s="12">
        <v>0.0</v>
      </c>
      <c r="G216" s="13"/>
      <c r="H216" s="12">
        <v>0.0</v>
      </c>
      <c r="I216" s="13"/>
      <c r="J216" s="12">
        <v>0.0</v>
      </c>
      <c r="K216" s="13"/>
      <c r="L216" s="12">
        <v>0.0</v>
      </c>
      <c r="M216" s="13"/>
      <c r="N216" s="12">
        <v>406.0</v>
      </c>
      <c r="O216" s="13">
        <v>0.024803</v>
      </c>
      <c r="P216" s="12">
        <v>0.0</v>
      </c>
      <c r="Q216" s="13"/>
      <c r="R216" s="12">
        <v>0.0</v>
      </c>
      <c r="S216" s="13"/>
      <c r="T216" s="12">
        <v>255.0</v>
      </c>
      <c r="U216" s="13">
        <v>0.015578</v>
      </c>
      <c r="V216" s="12">
        <v>0.0</v>
      </c>
      <c r="W216" s="13"/>
      <c r="X216" s="12">
        <v>0.0</v>
      </c>
      <c r="Y216" s="13"/>
      <c r="AA216" s="13"/>
      <c r="AB216" s="14">
        <v>14245.0</v>
      </c>
      <c r="AC216" s="13">
        <v>0.870243</v>
      </c>
    </row>
    <row r="217" ht="14.25" customHeight="1">
      <c r="A217" s="11" t="s">
        <v>230</v>
      </c>
      <c r="B217" s="12">
        <v>0.0</v>
      </c>
      <c r="C217" s="13"/>
      <c r="D217" s="12">
        <v>0.0</v>
      </c>
      <c r="E217" s="13"/>
      <c r="F217" s="12">
        <v>0.0</v>
      </c>
      <c r="G217" s="13"/>
      <c r="H217" s="12">
        <v>1.0</v>
      </c>
      <c r="I217" s="13">
        <v>6.2E-5</v>
      </c>
      <c r="J217" s="12">
        <v>0.0</v>
      </c>
      <c r="K217" s="13"/>
      <c r="L217" s="12">
        <v>0.0</v>
      </c>
      <c r="M217" s="13"/>
      <c r="N217" s="12">
        <v>349.0</v>
      </c>
      <c r="O217" s="13">
        <v>0.021581</v>
      </c>
      <c r="P217" s="12">
        <v>0.0</v>
      </c>
      <c r="Q217" s="13"/>
      <c r="R217" s="12">
        <v>0.0</v>
      </c>
      <c r="S217" s="13"/>
      <c r="T217" s="12">
        <v>234.0</v>
      </c>
      <c r="U217" s="13">
        <v>0.014469</v>
      </c>
      <c r="V217" s="12">
        <v>0.0</v>
      </c>
      <c r="W217" s="13"/>
      <c r="X217" s="12">
        <v>0.0</v>
      </c>
      <c r="Y217" s="13"/>
      <c r="AA217" s="13"/>
      <c r="AB217" s="14">
        <v>14347.0</v>
      </c>
      <c r="AC217" s="13">
        <v>0.887151</v>
      </c>
    </row>
    <row r="218" ht="14.25" customHeight="1">
      <c r="A218" s="11" t="s">
        <v>231</v>
      </c>
      <c r="B218" s="12">
        <v>0.0</v>
      </c>
      <c r="C218" s="13"/>
      <c r="D218" s="12">
        <v>0.0</v>
      </c>
      <c r="E218" s="13"/>
      <c r="F218" s="12">
        <v>0.0</v>
      </c>
      <c r="G218" s="13"/>
      <c r="H218" s="12">
        <v>0.0</v>
      </c>
      <c r="I218" s="13"/>
      <c r="J218" s="12">
        <v>0.0</v>
      </c>
      <c r="K218" s="13"/>
      <c r="L218" s="12">
        <v>0.0</v>
      </c>
      <c r="M218" s="13"/>
      <c r="N218" s="12">
        <v>210.0</v>
      </c>
      <c r="O218" s="13">
        <v>0.014582</v>
      </c>
      <c r="P218" s="12">
        <v>0.0</v>
      </c>
      <c r="Q218" s="13"/>
      <c r="R218" s="12">
        <v>0.0</v>
      </c>
      <c r="S218" s="13"/>
      <c r="T218" s="12">
        <v>135.0</v>
      </c>
      <c r="U218" s="13">
        <v>0.009374</v>
      </c>
      <c r="V218" s="12">
        <v>0.0</v>
      </c>
      <c r="W218" s="13"/>
      <c r="X218" s="12">
        <v>0.0</v>
      </c>
      <c r="Y218" s="13"/>
      <c r="AA218" s="13"/>
      <c r="AB218" s="14">
        <v>12967.0</v>
      </c>
      <c r="AC218" s="13">
        <v>0.900424</v>
      </c>
    </row>
    <row r="219" ht="14.25" customHeight="1">
      <c r="A219" s="11" t="s">
        <v>232</v>
      </c>
      <c r="B219" s="12">
        <v>0.0</v>
      </c>
      <c r="C219" s="13"/>
      <c r="D219" s="12">
        <v>0.0</v>
      </c>
      <c r="E219" s="13"/>
      <c r="F219" s="12">
        <v>0.0</v>
      </c>
      <c r="G219" s="13"/>
      <c r="H219" s="12">
        <v>0.0</v>
      </c>
      <c r="I219" s="13"/>
      <c r="J219" s="12">
        <v>0.0</v>
      </c>
      <c r="K219" s="13"/>
      <c r="L219" s="12">
        <v>0.0</v>
      </c>
      <c r="M219" s="13"/>
      <c r="N219" s="12">
        <v>130.0</v>
      </c>
      <c r="O219" s="13">
        <v>0.010454</v>
      </c>
      <c r="P219" s="12">
        <v>0.0</v>
      </c>
      <c r="Q219" s="13"/>
      <c r="R219" s="12">
        <v>0.0</v>
      </c>
      <c r="S219" s="13"/>
      <c r="T219" s="12">
        <v>86.0</v>
      </c>
      <c r="U219" s="13">
        <v>0.006916</v>
      </c>
      <c r="V219" s="12">
        <v>0.0</v>
      </c>
      <c r="W219" s="13"/>
      <c r="X219" s="12">
        <v>0.0</v>
      </c>
      <c r="Y219" s="13"/>
      <c r="AA219" s="13"/>
      <c r="AB219" s="14">
        <v>11435.0</v>
      </c>
      <c r="AC219" s="13">
        <v>0.919582</v>
      </c>
    </row>
    <row r="220" ht="14.25" customHeight="1">
      <c r="A220" s="11" t="s">
        <v>233</v>
      </c>
      <c r="B220" s="12">
        <v>0.0</v>
      </c>
      <c r="C220" s="13"/>
      <c r="D220" s="12">
        <v>0.0</v>
      </c>
      <c r="E220" s="13"/>
      <c r="F220" s="12">
        <v>0.0</v>
      </c>
      <c r="G220" s="13"/>
      <c r="H220" s="12">
        <v>0.0</v>
      </c>
      <c r="I220" s="13"/>
      <c r="J220" s="12">
        <v>0.0</v>
      </c>
      <c r="K220" s="13"/>
      <c r="L220" s="12">
        <v>0.0</v>
      </c>
      <c r="M220" s="13"/>
      <c r="N220" s="12">
        <v>112.0</v>
      </c>
      <c r="O220" s="13">
        <v>0.009576</v>
      </c>
      <c r="P220" s="12">
        <v>0.0</v>
      </c>
      <c r="Q220" s="13"/>
      <c r="R220" s="12">
        <v>0.0</v>
      </c>
      <c r="S220" s="13"/>
      <c r="T220" s="12">
        <v>42.0</v>
      </c>
      <c r="U220" s="13">
        <v>0.003591</v>
      </c>
      <c r="V220" s="12">
        <v>0.0</v>
      </c>
      <c r="W220" s="13"/>
      <c r="X220" s="12">
        <v>0.0</v>
      </c>
      <c r="Y220" s="13"/>
      <c r="AA220" s="13"/>
      <c r="AB220" s="14">
        <v>10850.0</v>
      </c>
      <c r="AC220" s="13">
        <v>0.927668</v>
      </c>
    </row>
    <row r="221" ht="14.25" customHeight="1">
      <c r="A221" s="11" t="s">
        <v>234</v>
      </c>
      <c r="B221" s="12">
        <v>0.0</v>
      </c>
      <c r="C221" s="13"/>
      <c r="D221" s="12">
        <v>0.0</v>
      </c>
      <c r="E221" s="13"/>
      <c r="F221" s="12">
        <v>0.0</v>
      </c>
      <c r="G221" s="13"/>
      <c r="H221" s="12">
        <v>0.0</v>
      </c>
      <c r="I221" s="13"/>
      <c r="J221" s="12">
        <v>0.0</v>
      </c>
      <c r="K221" s="13"/>
      <c r="L221" s="12">
        <v>0.0</v>
      </c>
      <c r="M221" s="13"/>
      <c r="N221" s="12">
        <v>121.0</v>
      </c>
      <c r="O221" s="13">
        <v>0.012177</v>
      </c>
      <c r="P221" s="12">
        <v>0.0</v>
      </c>
      <c r="Q221" s="13"/>
      <c r="R221" s="12">
        <v>0.0</v>
      </c>
      <c r="S221" s="13"/>
      <c r="T221" s="12">
        <v>40.0</v>
      </c>
      <c r="U221" s="13">
        <v>0.004025</v>
      </c>
      <c r="V221" s="12">
        <v>0.0</v>
      </c>
      <c r="W221" s="13"/>
      <c r="X221" s="12">
        <v>0.0</v>
      </c>
      <c r="Y221" s="13"/>
      <c r="AA221" s="13"/>
      <c r="AB221" s="14">
        <v>9065.0</v>
      </c>
      <c r="AC221" s="13">
        <v>0.912247</v>
      </c>
    </row>
    <row r="222" ht="14.25" customHeight="1">
      <c r="A222" s="11" t="s">
        <v>235</v>
      </c>
      <c r="B222" s="12">
        <v>1.0</v>
      </c>
      <c r="C222" s="13">
        <v>1.1E-4</v>
      </c>
      <c r="D222" s="12">
        <v>0.0</v>
      </c>
      <c r="E222" s="13"/>
      <c r="F222" s="12">
        <v>0.0</v>
      </c>
      <c r="G222" s="13"/>
      <c r="H222" s="12">
        <v>0.0</v>
      </c>
      <c r="I222" s="13"/>
      <c r="J222" s="12">
        <v>0.0</v>
      </c>
      <c r="K222" s="13"/>
      <c r="L222" s="12">
        <v>0.0</v>
      </c>
      <c r="M222" s="13"/>
      <c r="N222" s="12">
        <v>75.0</v>
      </c>
      <c r="O222" s="13">
        <v>0.008228</v>
      </c>
      <c r="P222" s="12">
        <v>0.0</v>
      </c>
      <c r="Q222" s="13"/>
      <c r="R222" s="12">
        <v>0.0</v>
      </c>
      <c r="S222" s="13"/>
      <c r="T222" s="12">
        <v>30.0</v>
      </c>
      <c r="U222" s="13">
        <v>0.003291</v>
      </c>
      <c r="V222" s="12">
        <v>0.0</v>
      </c>
      <c r="W222" s="13"/>
      <c r="X222" s="12">
        <v>0.0</v>
      </c>
      <c r="Y222" s="13"/>
      <c r="AA222" s="13"/>
      <c r="AB222" s="14">
        <v>8388.0</v>
      </c>
      <c r="AC222" s="13">
        <v>0.920241</v>
      </c>
    </row>
    <row r="223" ht="14.25" customHeight="1">
      <c r="A223" s="11" t="s">
        <v>236</v>
      </c>
      <c r="B223" s="12">
        <v>0.0</v>
      </c>
      <c r="C223" s="13"/>
      <c r="D223" s="12">
        <v>0.0</v>
      </c>
      <c r="E223" s="13"/>
      <c r="F223" s="12">
        <v>0.0</v>
      </c>
      <c r="G223" s="13"/>
      <c r="H223" s="12">
        <v>0.0</v>
      </c>
      <c r="I223" s="13"/>
      <c r="J223" s="12">
        <v>0.0</v>
      </c>
      <c r="K223" s="13"/>
      <c r="L223" s="12">
        <v>0.0</v>
      </c>
      <c r="M223" s="13"/>
      <c r="N223" s="12">
        <v>60.0</v>
      </c>
      <c r="O223" s="13">
        <v>0.007342</v>
      </c>
      <c r="P223" s="12">
        <v>0.0</v>
      </c>
      <c r="Q223" s="13"/>
      <c r="R223" s="12">
        <v>0.0</v>
      </c>
      <c r="S223" s="13"/>
      <c r="T223" s="12">
        <v>15.0</v>
      </c>
      <c r="U223" s="13">
        <v>0.001836</v>
      </c>
      <c r="V223" s="12">
        <v>0.0</v>
      </c>
      <c r="W223" s="13"/>
      <c r="X223" s="12">
        <v>0.0</v>
      </c>
      <c r="Y223" s="13"/>
      <c r="AA223" s="13"/>
      <c r="AB223" s="14">
        <v>7535.0</v>
      </c>
      <c r="AC223" s="13">
        <v>0.922051</v>
      </c>
    </row>
    <row r="224" ht="14.25" customHeight="1">
      <c r="A224" s="11" t="s">
        <v>237</v>
      </c>
      <c r="B224" s="12">
        <v>0.0</v>
      </c>
      <c r="C224" s="13"/>
      <c r="D224" s="12">
        <v>0.0</v>
      </c>
      <c r="E224" s="13"/>
      <c r="F224" s="12">
        <v>0.0</v>
      </c>
      <c r="G224" s="13"/>
      <c r="H224" s="12">
        <v>0.0</v>
      </c>
      <c r="I224" s="13"/>
      <c r="J224" s="12">
        <v>0.0</v>
      </c>
      <c r="K224" s="13"/>
      <c r="L224" s="12">
        <v>0.0</v>
      </c>
      <c r="M224" s="13"/>
      <c r="N224" s="12">
        <v>41.0</v>
      </c>
      <c r="O224" s="13">
        <v>0.005665</v>
      </c>
      <c r="P224" s="12">
        <v>0.0</v>
      </c>
      <c r="Q224" s="13"/>
      <c r="R224" s="12">
        <v>0.0</v>
      </c>
      <c r="S224" s="13"/>
      <c r="T224" s="12">
        <v>8.0</v>
      </c>
      <c r="U224" s="13">
        <v>0.001105</v>
      </c>
      <c r="V224" s="12">
        <v>0.0</v>
      </c>
      <c r="W224" s="13"/>
      <c r="X224" s="12">
        <v>0.0</v>
      </c>
      <c r="Y224" s="13"/>
      <c r="AA224" s="13"/>
      <c r="AB224" s="14">
        <v>6602.0</v>
      </c>
      <c r="AC224" s="13">
        <v>0.91213</v>
      </c>
    </row>
    <row r="225" ht="14.25" customHeight="1">
      <c r="A225" s="11" t="s">
        <v>238</v>
      </c>
      <c r="B225" s="12">
        <v>0.0</v>
      </c>
      <c r="C225" s="13"/>
      <c r="D225" s="12">
        <v>0.0</v>
      </c>
      <c r="E225" s="13"/>
      <c r="F225" s="12">
        <v>0.0</v>
      </c>
      <c r="G225" s="13"/>
      <c r="H225" s="12">
        <v>0.0</v>
      </c>
      <c r="I225" s="13"/>
      <c r="J225" s="12">
        <v>0.0</v>
      </c>
      <c r="K225" s="13"/>
      <c r="L225" s="12">
        <v>0.0</v>
      </c>
      <c r="M225" s="13"/>
      <c r="N225" s="12">
        <v>28.0</v>
      </c>
      <c r="O225" s="13">
        <v>0.004612</v>
      </c>
      <c r="P225" s="12">
        <v>0.0</v>
      </c>
      <c r="Q225" s="13"/>
      <c r="R225" s="12">
        <v>0.0</v>
      </c>
      <c r="S225" s="13"/>
      <c r="T225" s="12">
        <v>8.0</v>
      </c>
      <c r="U225" s="13">
        <v>0.001318</v>
      </c>
      <c r="V225" s="12">
        <v>0.0</v>
      </c>
      <c r="W225" s="13"/>
      <c r="X225" s="12">
        <v>0.0</v>
      </c>
      <c r="Y225" s="13"/>
      <c r="AA225" s="13"/>
      <c r="AB225" s="14">
        <v>5478.0</v>
      </c>
      <c r="AC225" s="13">
        <v>0.902323</v>
      </c>
    </row>
    <row r="226" ht="14.25" customHeight="1">
      <c r="A226" s="11" t="s">
        <v>239</v>
      </c>
      <c r="B226" s="12">
        <v>0.0</v>
      </c>
      <c r="C226" s="13"/>
      <c r="D226" s="12">
        <v>0.0</v>
      </c>
      <c r="E226" s="13"/>
      <c r="F226" s="12">
        <v>0.0</v>
      </c>
      <c r="G226" s="13"/>
      <c r="H226" s="12">
        <v>0.0</v>
      </c>
      <c r="I226" s="13"/>
      <c r="J226" s="12">
        <v>0.0</v>
      </c>
      <c r="K226" s="13"/>
      <c r="L226" s="12">
        <v>0.0</v>
      </c>
      <c r="M226" s="13"/>
      <c r="N226" s="12">
        <v>17.0</v>
      </c>
      <c r="O226" s="13">
        <v>0.002734</v>
      </c>
      <c r="P226" s="12">
        <v>0.0</v>
      </c>
      <c r="Q226" s="13"/>
      <c r="R226" s="12">
        <v>0.0</v>
      </c>
      <c r="S226" s="13"/>
      <c r="T226" s="12">
        <v>4.0</v>
      </c>
      <c r="U226" s="13">
        <v>6.43E-4</v>
      </c>
      <c r="V226" s="12">
        <v>0.0</v>
      </c>
      <c r="W226" s="13"/>
      <c r="X226" s="12">
        <v>0.0</v>
      </c>
      <c r="Y226" s="13"/>
      <c r="AA226" s="13"/>
      <c r="AB226" s="14">
        <v>5702.0</v>
      </c>
      <c r="AC226" s="13">
        <v>0.917163</v>
      </c>
    </row>
    <row r="227" ht="14.25" customHeight="1">
      <c r="A227" s="11" t="s">
        <v>240</v>
      </c>
      <c r="B227" s="12">
        <v>0.0</v>
      </c>
      <c r="C227" s="13"/>
      <c r="D227" s="12">
        <v>0.0</v>
      </c>
      <c r="E227" s="13"/>
      <c r="F227" s="12">
        <v>0.0</v>
      </c>
      <c r="G227" s="13"/>
      <c r="H227" s="12">
        <v>0.0</v>
      </c>
      <c r="I227" s="13"/>
      <c r="J227" s="12">
        <v>0.0</v>
      </c>
      <c r="K227" s="13"/>
      <c r="L227" s="12">
        <v>0.0</v>
      </c>
      <c r="M227" s="13"/>
      <c r="N227" s="12">
        <v>33.0</v>
      </c>
      <c r="O227" s="13">
        <v>0.00603</v>
      </c>
      <c r="P227" s="12">
        <v>0.0</v>
      </c>
      <c r="Q227" s="13"/>
      <c r="R227" s="12">
        <v>0.0</v>
      </c>
      <c r="S227" s="13"/>
      <c r="T227" s="12">
        <v>4.0</v>
      </c>
      <c r="U227" s="13">
        <v>7.31E-4</v>
      </c>
      <c r="V227" s="12">
        <v>0.0</v>
      </c>
      <c r="W227" s="13"/>
      <c r="X227" s="12">
        <v>0.0</v>
      </c>
      <c r="Y227" s="13"/>
      <c r="AA227" s="13"/>
      <c r="AB227" s="14">
        <v>4977.0</v>
      </c>
      <c r="AC227" s="13">
        <v>0.909373</v>
      </c>
    </row>
    <row r="228" ht="14.25" customHeight="1">
      <c r="A228" s="11" t="s">
        <v>241</v>
      </c>
      <c r="B228" s="12">
        <v>0.0</v>
      </c>
      <c r="C228" s="13"/>
      <c r="D228" s="12">
        <v>0.0</v>
      </c>
      <c r="E228" s="13"/>
      <c r="F228" s="12">
        <v>1.0</v>
      </c>
      <c r="G228" s="13">
        <v>1.87E-4</v>
      </c>
      <c r="H228" s="12">
        <v>0.0</v>
      </c>
      <c r="I228" s="13"/>
      <c r="J228" s="12">
        <v>0.0</v>
      </c>
      <c r="K228" s="13"/>
      <c r="L228" s="12">
        <v>0.0</v>
      </c>
      <c r="M228" s="13"/>
      <c r="N228" s="12">
        <v>4.0</v>
      </c>
      <c r="O228" s="13">
        <v>7.49E-4</v>
      </c>
      <c r="P228" s="12">
        <v>0.0</v>
      </c>
      <c r="Q228" s="13"/>
      <c r="R228" s="12">
        <v>0.0</v>
      </c>
      <c r="S228" s="13"/>
      <c r="T228" s="12">
        <v>3.0</v>
      </c>
      <c r="U228" s="13">
        <v>5.62E-4</v>
      </c>
      <c r="V228" s="12">
        <v>0.0</v>
      </c>
      <c r="W228" s="13"/>
      <c r="X228" s="12">
        <v>0.0</v>
      </c>
      <c r="Y228" s="13"/>
      <c r="AA228" s="13"/>
      <c r="AB228" s="14">
        <v>4924.0</v>
      </c>
      <c r="AC228" s="13">
        <v>0.921752</v>
      </c>
    </row>
    <row r="229" ht="14.25" customHeight="1">
      <c r="A229" s="11" t="s">
        <v>242</v>
      </c>
      <c r="B229" s="12">
        <v>0.0</v>
      </c>
      <c r="C229" s="13"/>
      <c r="D229" s="12">
        <v>0.0</v>
      </c>
      <c r="E229" s="13"/>
      <c r="F229" s="12">
        <v>0.0</v>
      </c>
      <c r="G229" s="13"/>
      <c r="H229" s="12">
        <v>0.0</v>
      </c>
      <c r="I229" s="13"/>
      <c r="J229" s="12">
        <v>0.0</v>
      </c>
      <c r="K229" s="13"/>
      <c r="L229" s="12">
        <v>0.0</v>
      </c>
      <c r="M229" s="13"/>
      <c r="N229" s="12">
        <v>4.0</v>
      </c>
      <c r="O229" s="13">
        <v>7.05E-4</v>
      </c>
      <c r="P229" s="12">
        <v>0.0</v>
      </c>
      <c r="Q229" s="13"/>
      <c r="R229" s="12">
        <v>0.0</v>
      </c>
      <c r="S229" s="13"/>
      <c r="T229" s="12">
        <v>3.0</v>
      </c>
      <c r="U229" s="13">
        <v>5.29E-4</v>
      </c>
      <c r="V229" s="12">
        <v>0.0</v>
      </c>
      <c r="W229" s="13"/>
      <c r="X229" s="12">
        <v>0.0</v>
      </c>
      <c r="Y229" s="13"/>
      <c r="AA229" s="13"/>
      <c r="AB229" s="14">
        <v>5220.0</v>
      </c>
      <c r="AC229" s="13">
        <v>0.92031</v>
      </c>
    </row>
    <row r="230" ht="14.25" customHeight="1">
      <c r="A230" s="11" t="s">
        <v>243</v>
      </c>
      <c r="B230" s="12">
        <v>0.0</v>
      </c>
      <c r="C230" s="13"/>
      <c r="D230" s="12">
        <v>0.0</v>
      </c>
      <c r="E230" s="13"/>
      <c r="F230" s="12">
        <v>0.0</v>
      </c>
      <c r="G230" s="13"/>
      <c r="H230" s="12">
        <v>0.0</v>
      </c>
      <c r="I230" s="13"/>
      <c r="J230" s="12">
        <v>0.0</v>
      </c>
      <c r="K230" s="13"/>
      <c r="L230" s="12">
        <v>0.0</v>
      </c>
      <c r="M230" s="13"/>
      <c r="N230" s="12">
        <v>5.0</v>
      </c>
      <c r="O230" s="13">
        <v>8.35E-4</v>
      </c>
      <c r="P230" s="12">
        <v>0.0</v>
      </c>
      <c r="Q230" s="13"/>
      <c r="R230" s="12">
        <v>0.0</v>
      </c>
      <c r="S230" s="13"/>
      <c r="T230" s="12">
        <v>1.0</v>
      </c>
      <c r="U230" s="13">
        <v>1.67E-4</v>
      </c>
      <c r="V230" s="12">
        <v>0.0</v>
      </c>
      <c r="W230" s="13"/>
      <c r="X230" s="12">
        <v>0.0</v>
      </c>
      <c r="Y230" s="13"/>
      <c r="AA230" s="13"/>
      <c r="AB230" s="14">
        <v>5559.0</v>
      </c>
      <c r="AC230" s="13">
        <v>0.928512</v>
      </c>
    </row>
    <row r="231" ht="14.25" customHeight="1">
      <c r="A231" s="11" t="s">
        <v>244</v>
      </c>
      <c r="B231" s="12">
        <v>0.0</v>
      </c>
      <c r="C231" s="13"/>
      <c r="D231" s="12">
        <v>0.0</v>
      </c>
      <c r="E231" s="13"/>
      <c r="F231" s="12">
        <v>0.0</v>
      </c>
      <c r="G231" s="13"/>
      <c r="H231" s="12">
        <v>0.0</v>
      </c>
      <c r="I231" s="13"/>
      <c r="J231" s="12">
        <v>0.0</v>
      </c>
      <c r="K231" s="13"/>
      <c r="L231" s="12">
        <v>0.0</v>
      </c>
      <c r="M231" s="13"/>
      <c r="N231" s="12">
        <v>3.0</v>
      </c>
      <c r="O231" s="13">
        <v>4.39E-4</v>
      </c>
      <c r="P231" s="12">
        <v>0.0</v>
      </c>
      <c r="Q231" s="13"/>
      <c r="R231" s="12">
        <v>0.0</v>
      </c>
      <c r="S231" s="13"/>
      <c r="T231" s="12">
        <v>3.0</v>
      </c>
      <c r="U231" s="13">
        <v>4.39E-4</v>
      </c>
      <c r="V231" s="12">
        <v>0.0</v>
      </c>
      <c r="W231" s="13"/>
      <c r="X231" s="12">
        <v>1.0</v>
      </c>
      <c r="Y231" s="13">
        <v>1.46E-4</v>
      </c>
      <c r="AA231" s="13"/>
      <c r="AB231" s="14">
        <v>6354.0</v>
      </c>
      <c r="AC231" s="13">
        <v>0.928812</v>
      </c>
    </row>
    <row r="232" ht="14.25" customHeight="1">
      <c r="A232" s="11" t="s">
        <v>245</v>
      </c>
      <c r="B232" s="12">
        <v>0.0</v>
      </c>
      <c r="C232" s="13"/>
      <c r="D232" s="12">
        <v>0.0</v>
      </c>
      <c r="E232" s="13"/>
      <c r="F232" s="12">
        <v>0.0</v>
      </c>
      <c r="G232" s="13"/>
      <c r="H232" s="12">
        <v>0.0</v>
      </c>
      <c r="I232" s="13"/>
      <c r="J232" s="12">
        <v>0.0</v>
      </c>
      <c r="K232" s="13"/>
      <c r="L232" s="12">
        <v>0.0</v>
      </c>
      <c r="M232" s="13"/>
      <c r="N232" s="12">
        <v>0.0</v>
      </c>
      <c r="O232" s="13"/>
      <c r="P232" s="12">
        <v>0.0</v>
      </c>
      <c r="Q232" s="13"/>
      <c r="R232" s="12">
        <v>0.0</v>
      </c>
      <c r="S232" s="13"/>
      <c r="T232" s="12">
        <v>2.0</v>
      </c>
      <c r="U232" s="13">
        <v>2.66E-4</v>
      </c>
      <c r="V232" s="12">
        <v>0.0</v>
      </c>
      <c r="W232" s="13"/>
      <c r="X232" s="12">
        <v>0.0</v>
      </c>
      <c r="Y232" s="13"/>
      <c r="AA232" s="13"/>
      <c r="AB232" s="14">
        <v>7075.0</v>
      </c>
      <c r="AC232" s="13">
        <v>0.939825</v>
      </c>
    </row>
    <row r="233" ht="14.25" customHeight="1">
      <c r="A233" s="11" t="s">
        <v>246</v>
      </c>
      <c r="B233" s="12">
        <v>0.0</v>
      </c>
      <c r="C233" s="13"/>
      <c r="D233" s="12">
        <v>0.0</v>
      </c>
      <c r="E233" s="13"/>
      <c r="F233" s="12">
        <v>0.0</v>
      </c>
      <c r="G233" s="13"/>
      <c r="H233" s="12">
        <v>0.0</v>
      </c>
      <c r="I233" s="13"/>
      <c r="J233" s="12">
        <v>0.0</v>
      </c>
      <c r="K233" s="13"/>
      <c r="L233" s="12">
        <v>0.0</v>
      </c>
      <c r="M233" s="13"/>
      <c r="N233" s="12">
        <v>5.0</v>
      </c>
      <c r="O233" s="13">
        <v>6.13E-4</v>
      </c>
      <c r="P233" s="12">
        <v>0.0</v>
      </c>
      <c r="Q233" s="13"/>
      <c r="R233" s="12">
        <v>0.0</v>
      </c>
      <c r="S233" s="13"/>
      <c r="T233" s="12">
        <v>1.0</v>
      </c>
      <c r="U233" s="13">
        <v>1.23E-4</v>
      </c>
      <c r="V233" s="12">
        <v>0.0</v>
      </c>
      <c r="W233" s="13"/>
      <c r="X233" s="12">
        <v>0.0</v>
      </c>
      <c r="Y233" s="13"/>
      <c r="AA233" s="13"/>
      <c r="AB233" s="14">
        <v>7732.0</v>
      </c>
      <c r="AC233" s="13">
        <v>0.947898</v>
      </c>
    </row>
    <row r="234" ht="14.25" customHeight="1">
      <c r="A234" s="11" t="s">
        <v>247</v>
      </c>
      <c r="B234" s="12">
        <v>0.0</v>
      </c>
      <c r="C234" s="13"/>
      <c r="D234" s="12">
        <v>0.0</v>
      </c>
      <c r="E234" s="13"/>
      <c r="F234" s="12">
        <v>1.0</v>
      </c>
      <c r="G234" s="13">
        <v>1.18E-4</v>
      </c>
      <c r="H234" s="12">
        <v>0.0</v>
      </c>
      <c r="I234" s="13"/>
      <c r="J234" s="12">
        <v>0.0</v>
      </c>
      <c r="K234" s="13"/>
      <c r="L234" s="12">
        <v>0.0</v>
      </c>
      <c r="M234" s="13"/>
      <c r="N234" s="12">
        <v>0.0</v>
      </c>
      <c r="O234" s="13"/>
      <c r="P234" s="12">
        <v>0.0</v>
      </c>
      <c r="Q234" s="13"/>
      <c r="R234" s="12">
        <v>0.0</v>
      </c>
      <c r="S234" s="13"/>
      <c r="T234" s="12">
        <v>2.0</v>
      </c>
      <c r="U234" s="13">
        <v>2.37E-4</v>
      </c>
      <c r="V234" s="12">
        <v>0.0</v>
      </c>
      <c r="W234" s="13"/>
      <c r="X234" s="12">
        <v>0.0</v>
      </c>
      <c r="Y234" s="13"/>
      <c r="AA234" s="13"/>
      <c r="AB234" s="14">
        <v>8077.0</v>
      </c>
      <c r="AC234" s="13">
        <v>0.955632</v>
      </c>
    </row>
    <row r="235" ht="14.25" customHeight="1">
      <c r="A235" s="11" t="s">
        <v>248</v>
      </c>
      <c r="B235" s="12">
        <v>0.0</v>
      </c>
      <c r="C235" s="13"/>
      <c r="D235" s="12">
        <v>0.0</v>
      </c>
      <c r="E235" s="13"/>
      <c r="F235" s="12">
        <v>0.0</v>
      </c>
      <c r="G235" s="13"/>
      <c r="H235" s="12">
        <v>0.0</v>
      </c>
      <c r="I235" s="13"/>
      <c r="J235" s="12">
        <v>0.0</v>
      </c>
      <c r="K235" s="13"/>
      <c r="L235" s="12">
        <v>0.0</v>
      </c>
      <c r="M235" s="13"/>
      <c r="N235" s="12">
        <v>5.0</v>
      </c>
      <c r="O235" s="13">
        <v>4.89E-4</v>
      </c>
      <c r="P235" s="12">
        <v>0.0</v>
      </c>
      <c r="Q235" s="13"/>
      <c r="R235" s="12">
        <v>0.0</v>
      </c>
      <c r="S235" s="13"/>
      <c r="T235" s="12">
        <v>1.0</v>
      </c>
      <c r="U235" s="13">
        <v>9.8E-5</v>
      </c>
      <c r="V235" s="12">
        <v>0.0</v>
      </c>
      <c r="W235" s="13"/>
      <c r="X235" s="12">
        <v>0.0</v>
      </c>
      <c r="Y235" s="13"/>
      <c r="AA235" s="13"/>
      <c r="AB235" s="14">
        <v>9827.0</v>
      </c>
      <c r="AC235" s="13">
        <v>0.961358</v>
      </c>
    </row>
    <row r="236" ht="14.25" customHeight="1">
      <c r="A236" s="11" t="s">
        <v>249</v>
      </c>
      <c r="B236" s="12">
        <v>0.0</v>
      </c>
      <c r="C236" s="13"/>
      <c r="D236" s="12">
        <v>0.0</v>
      </c>
      <c r="E236" s="13"/>
      <c r="F236" s="12">
        <v>1.0</v>
      </c>
      <c r="G236" s="13">
        <v>9.6E-5</v>
      </c>
      <c r="H236" s="12">
        <v>0.0</v>
      </c>
      <c r="I236" s="13"/>
      <c r="J236" s="12">
        <v>0.0</v>
      </c>
      <c r="K236" s="13"/>
      <c r="L236" s="12">
        <v>0.0</v>
      </c>
      <c r="M236" s="13"/>
      <c r="N236" s="12">
        <v>0.0</v>
      </c>
      <c r="O236" s="13"/>
      <c r="P236" s="12">
        <v>0.0</v>
      </c>
      <c r="Q236" s="13"/>
      <c r="R236" s="12">
        <v>0.0</v>
      </c>
      <c r="S236" s="13"/>
      <c r="T236" s="12">
        <v>1.0</v>
      </c>
      <c r="U236" s="13">
        <v>9.6E-5</v>
      </c>
      <c r="V236" s="12">
        <v>0.0</v>
      </c>
      <c r="W236" s="13"/>
      <c r="X236" s="12">
        <v>0.0</v>
      </c>
      <c r="Y236" s="13"/>
      <c r="AA236" s="13"/>
      <c r="AB236" s="14">
        <v>10002.0</v>
      </c>
      <c r="AC236" s="13">
        <v>0.964327</v>
      </c>
    </row>
    <row r="237" ht="14.25" customHeight="1">
      <c r="A237" s="16" t="s">
        <v>250</v>
      </c>
      <c r="B237" s="17">
        <v>0.0</v>
      </c>
      <c r="C237" s="18"/>
      <c r="D237" s="17">
        <v>0.0</v>
      </c>
      <c r="E237" s="18"/>
      <c r="F237" s="17">
        <v>2.0</v>
      </c>
      <c r="G237" s="18">
        <v>2.09E-4</v>
      </c>
      <c r="H237" s="17">
        <v>0.0</v>
      </c>
      <c r="I237" s="18"/>
      <c r="J237" s="17">
        <v>0.0</v>
      </c>
      <c r="K237" s="18"/>
      <c r="L237" s="17">
        <v>0.0</v>
      </c>
      <c r="M237" s="18"/>
      <c r="N237" s="17">
        <v>0.0</v>
      </c>
      <c r="O237" s="18"/>
      <c r="P237" s="17">
        <v>0.0</v>
      </c>
      <c r="Q237" s="18"/>
      <c r="R237" s="17">
        <v>0.0</v>
      </c>
      <c r="S237" s="18"/>
      <c r="T237" s="17">
        <v>2.0</v>
      </c>
      <c r="U237" s="18">
        <v>2.09E-4</v>
      </c>
      <c r="V237" s="17">
        <v>0.0</v>
      </c>
      <c r="W237" s="18"/>
      <c r="X237" s="17">
        <v>0.0</v>
      </c>
      <c r="Y237" s="18"/>
      <c r="Z237" s="17"/>
      <c r="AA237" s="18"/>
      <c r="AB237" s="19">
        <v>9276.0</v>
      </c>
      <c r="AC237" s="18">
        <v>0.970801</v>
      </c>
    </row>
    <row r="238" ht="14.25" customHeight="1"/>
    <row r="239" ht="14.25" customHeight="1">
      <c r="A239" s="20" t="s">
        <v>251</v>
      </c>
    </row>
    <row r="240" ht="14.25" customHeight="1"/>
    <row r="241" ht="14.25" customHeight="1"/>
    <row r="242" ht="14.25" customHeight="1"/>
    <row r="243" ht="14.25" customHeight="1"/>
    <row r="244" ht="14.25" customHeight="1"/>
    <row r="245" ht="14.25" customHeight="1">
      <c r="A245" s="21"/>
      <c r="B245" s="21"/>
      <c r="C245" s="21"/>
      <c r="D245" s="21"/>
      <c r="E245" s="21"/>
      <c r="F245" s="21"/>
      <c r="G245" s="21"/>
      <c r="H245" s="21"/>
      <c r="I245" s="21"/>
      <c r="J245" s="21"/>
      <c r="K245" s="21"/>
    </row>
    <row r="246" ht="14.25" customHeight="1">
      <c r="A246" s="21"/>
      <c r="B246" s="21"/>
      <c r="C246" s="21"/>
      <c r="D246" s="21"/>
      <c r="E246" s="21"/>
      <c r="F246" s="21"/>
      <c r="G246" s="21"/>
      <c r="H246" s="21"/>
      <c r="I246" s="21"/>
      <c r="J246" s="21"/>
      <c r="K246" s="21"/>
    </row>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39:K24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3" width="9.88"/>
    <col customWidth="1" min="4" max="4" width="10.13"/>
    <col customWidth="1" min="5" max="6" width="8.63"/>
    <col customWidth="1" min="7" max="7" width="13.63"/>
    <col customWidth="1" min="8" max="8" width="13.75"/>
    <col customWidth="1" min="9" max="9" width="13.63"/>
    <col customWidth="1" min="10" max="26" width="8.63"/>
  </cols>
  <sheetData>
    <row r="1" ht="14.25" customHeight="1">
      <c r="A1" s="22" t="s">
        <v>252</v>
      </c>
      <c r="B1" s="23" t="s">
        <v>253</v>
      </c>
      <c r="C1" s="22" t="s">
        <v>254</v>
      </c>
      <c r="D1" s="22" t="s">
        <v>255</v>
      </c>
      <c r="E1" s="24" t="s">
        <v>256</v>
      </c>
      <c r="F1" s="22" t="s">
        <v>257</v>
      </c>
      <c r="G1" s="22" t="s">
        <v>258</v>
      </c>
      <c r="H1" s="25" t="s">
        <v>259</v>
      </c>
      <c r="I1" s="22" t="s">
        <v>260</v>
      </c>
      <c r="J1" s="2" t="s">
        <v>261</v>
      </c>
      <c r="K1" s="24" t="s">
        <v>262</v>
      </c>
      <c r="L1" s="24" t="s">
        <v>263</v>
      </c>
      <c r="M1" s="24" t="s">
        <v>264</v>
      </c>
      <c r="N1" s="23" t="s">
        <v>265</v>
      </c>
    </row>
    <row r="2" ht="14.25" customHeight="1">
      <c r="A2" s="26"/>
      <c r="B2" s="27"/>
      <c r="C2" s="26"/>
      <c r="D2" s="26"/>
      <c r="E2" s="26"/>
      <c r="F2" s="26"/>
      <c r="G2" s="26"/>
      <c r="H2" s="26"/>
      <c r="I2" s="26"/>
      <c r="J2" s="28"/>
      <c r="N2" s="29"/>
    </row>
    <row r="3" ht="14.25" customHeight="1">
      <c r="A3" s="30" t="s">
        <v>266</v>
      </c>
      <c r="B3" s="31"/>
      <c r="C3" s="21">
        <v>266.0</v>
      </c>
      <c r="D3" s="21">
        <v>13483.0</v>
      </c>
      <c r="E3" s="21">
        <v>13217.0</v>
      </c>
      <c r="F3" s="21">
        <v>1946.0</v>
      </c>
      <c r="G3" s="21">
        <v>0.0</v>
      </c>
      <c r="H3" s="21">
        <v>1939.0</v>
      </c>
      <c r="I3" s="32">
        <f t="shared" ref="I3:I33" si="2">H3/F3</f>
        <v>0.9964028777</v>
      </c>
      <c r="J3" s="33">
        <f t="shared" ref="J3:M3" si="1">SUM(J4:J14)</f>
        <v>2656</v>
      </c>
      <c r="K3" s="34">
        <f t="shared" si="1"/>
        <v>3947</v>
      </c>
      <c r="L3" s="34">
        <f t="shared" si="1"/>
        <v>2331</v>
      </c>
      <c r="M3" s="34">
        <f t="shared" si="1"/>
        <v>4279</v>
      </c>
      <c r="N3" s="35">
        <f t="shared" ref="N3:N33" si="3">SUM(J3,L3)/SUM(J3:M3)</f>
        <v>0.3774313176</v>
      </c>
    </row>
    <row r="4" ht="14.25" customHeight="1">
      <c r="A4" s="5"/>
      <c r="B4" s="36" t="s">
        <v>267</v>
      </c>
      <c r="C4" s="21">
        <v>266.0</v>
      </c>
      <c r="D4" s="21">
        <v>806.0</v>
      </c>
      <c r="E4" s="21">
        <v>540.0</v>
      </c>
      <c r="F4" s="21">
        <v>94.0</v>
      </c>
      <c r="G4" s="21">
        <v>0.0</v>
      </c>
      <c r="H4" s="21">
        <v>94.0</v>
      </c>
      <c r="I4" s="32">
        <f t="shared" si="2"/>
        <v>1</v>
      </c>
      <c r="J4" s="37">
        <v>146.0</v>
      </c>
      <c r="K4" s="21">
        <v>135.0</v>
      </c>
      <c r="L4" s="21">
        <v>116.0</v>
      </c>
      <c r="M4" s="21">
        <v>143.0</v>
      </c>
      <c r="N4" s="38">
        <f t="shared" si="3"/>
        <v>0.4851851852</v>
      </c>
    </row>
    <row r="5" ht="14.25" customHeight="1">
      <c r="A5" s="5"/>
      <c r="B5" s="36" t="s">
        <v>268</v>
      </c>
      <c r="C5" s="21">
        <v>806.0</v>
      </c>
      <c r="D5" s="21">
        <v>2720.0</v>
      </c>
      <c r="E5" s="21">
        <v>1914.0</v>
      </c>
      <c r="F5" s="21">
        <v>284.0</v>
      </c>
      <c r="G5" s="21">
        <v>0.0</v>
      </c>
      <c r="H5" s="21">
        <v>284.0</v>
      </c>
      <c r="I5" s="32">
        <f t="shared" si="2"/>
        <v>1</v>
      </c>
      <c r="J5" s="37">
        <v>411.0</v>
      </c>
      <c r="K5" s="21">
        <v>571.0</v>
      </c>
      <c r="L5" s="21">
        <v>353.0</v>
      </c>
      <c r="M5" s="21">
        <v>579.0</v>
      </c>
      <c r="N5" s="38">
        <f t="shared" si="3"/>
        <v>0.3991640543</v>
      </c>
    </row>
    <row r="6" ht="14.25" customHeight="1">
      <c r="A6" s="5"/>
      <c r="B6" s="36" t="s">
        <v>269</v>
      </c>
      <c r="C6" s="21">
        <v>2720.0</v>
      </c>
      <c r="D6" s="21">
        <v>8555.0</v>
      </c>
      <c r="E6" s="21">
        <v>5835.0</v>
      </c>
      <c r="F6" s="21">
        <v>829.0</v>
      </c>
      <c r="G6" s="21">
        <v>0.0</v>
      </c>
      <c r="H6" s="21">
        <v>829.0</v>
      </c>
      <c r="I6" s="32">
        <f t="shared" si="2"/>
        <v>1</v>
      </c>
      <c r="J6" s="37">
        <v>1117.0</v>
      </c>
      <c r="K6" s="21">
        <v>1874.0</v>
      </c>
      <c r="L6" s="21">
        <v>978.0</v>
      </c>
      <c r="M6" s="21">
        <v>1866.0</v>
      </c>
      <c r="N6" s="38">
        <f t="shared" si="3"/>
        <v>0.3590402742</v>
      </c>
    </row>
    <row r="7" ht="14.25" customHeight="1">
      <c r="A7" s="5"/>
      <c r="B7" s="36" t="s">
        <v>270</v>
      </c>
      <c r="C7" s="21">
        <v>8555.0</v>
      </c>
      <c r="D7" s="21">
        <v>10055.0</v>
      </c>
      <c r="E7" s="21">
        <v>1500.0</v>
      </c>
      <c r="F7" s="21">
        <v>225.0</v>
      </c>
      <c r="G7" s="21">
        <v>0.0</v>
      </c>
      <c r="H7" s="21">
        <v>225.0</v>
      </c>
      <c r="I7" s="32">
        <f t="shared" si="2"/>
        <v>1</v>
      </c>
      <c r="J7" s="37">
        <v>281.0</v>
      </c>
      <c r="K7" s="21">
        <v>399.0</v>
      </c>
      <c r="L7" s="21">
        <v>266.0</v>
      </c>
      <c r="M7" s="21">
        <v>554.0</v>
      </c>
      <c r="N7" s="38">
        <f t="shared" si="3"/>
        <v>0.3646666667</v>
      </c>
    </row>
    <row r="8" ht="14.25" customHeight="1">
      <c r="A8" s="5"/>
      <c r="B8" s="36" t="s">
        <v>271</v>
      </c>
      <c r="C8" s="21">
        <v>10055.0</v>
      </c>
      <c r="D8" s="21">
        <v>10973.0</v>
      </c>
      <c r="E8" s="21">
        <v>918.0</v>
      </c>
      <c r="F8" s="21">
        <v>140.0</v>
      </c>
      <c r="G8" s="21">
        <v>0.0</v>
      </c>
      <c r="H8" s="21">
        <v>140.0</v>
      </c>
      <c r="I8" s="32">
        <f t="shared" si="2"/>
        <v>1</v>
      </c>
      <c r="J8" s="37">
        <v>187.0</v>
      </c>
      <c r="K8" s="21">
        <v>258.0</v>
      </c>
      <c r="L8" s="21">
        <v>163.0</v>
      </c>
      <c r="M8" s="21">
        <v>310.0</v>
      </c>
      <c r="N8" s="38">
        <f t="shared" si="3"/>
        <v>0.3812636166</v>
      </c>
    </row>
    <row r="9" ht="14.25" customHeight="1">
      <c r="A9" s="5"/>
      <c r="B9" s="36" t="s">
        <v>272</v>
      </c>
      <c r="C9" s="21">
        <v>10973.0</v>
      </c>
      <c r="D9" s="21">
        <v>11843.0</v>
      </c>
      <c r="E9" s="21">
        <v>870.0</v>
      </c>
      <c r="F9" s="21">
        <v>124.0</v>
      </c>
      <c r="G9" s="21">
        <v>0.0</v>
      </c>
      <c r="H9" s="21">
        <v>124.0</v>
      </c>
      <c r="I9" s="32">
        <f t="shared" si="2"/>
        <v>1</v>
      </c>
      <c r="J9" s="37">
        <v>172.0</v>
      </c>
      <c r="K9" s="21">
        <v>210.0</v>
      </c>
      <c r="L9" s="21">
        <v>144.0</v>
      </c>
      <c r="M9" s="21">
        <v>344.0</v>
      </c>
      <c r="N9" s="38">
        <f t="shared" si="3"/>
        <v>0.3632183908</v>
      </c>
    </row>
    <row r="10" ht="14.25" customHeight="1">
      <c r="A10" s="5"/>
      <c r="B10" s="36" t="s">
        <v>273</v>
      </c>
      <c r="C10" s="21">
        <v>11843.0</v>
      </c>
      <c r="D10" s="21">
        <v>12092.0</v>
      </c>
      <c r="E10" s="21">
        <v>249.0</v>
      </c>
      <c r="F10" s="21">
        <v>37.0</v>
      </c>
      <c r="G10" s="21">
        <v>0.0</v>
      </c>
      <c r="H10" s="21">
        <v>37.0</v>
      </c>
      <c r="I10" s="32">
        <f t="shared" si="2"/>
        <v>1</v>
      </c>
      <c r="J10" s="37">
        <v>46.0</v>
      </c>
      <c r="K10" s="21">
        <v>78.0</v>
      </c>
      <c r="L10" s="21">
        <v>49.0</v>
      </c>
      <c r="M10" s="21">
        <v>75.0</v>
      </c>
      <c r="N10" s="38">
        <f t="shared" si="3"/>
        <v>0.3830645161</v>
      </c>
    </row>
    <row r="11" ht="14.25" customHeight="1">
      <c r="A11" s="5"/>
      <c r="B11" s="36" t="s">
        <v>274</v>
      </c>
      <c r="C11" s="21">
        <v>12092.0</v>
      </c>
      <c r="D11" s="21">
        <v>12686.0</v>
      </c>
      <c r="E11" s="21">
        <v>594.0</v>
      </c>
      <c r="F11" s="21">
        <v>84.0</v>
      </c>
      <c r="G11" s="21">
        <v>0.0</v>
      </c>
      <c r="H11" s="21">
        <v>84.0</v>
      </c>
      <c r="I11" s="32">
        <f t="shared" si="2"/>
        <v>1</v>
      </c>
      <c r="J11" s="37">
        <v>120.0</v>
      </c>
      <c r="K11" s="21">
        <v>193.0</v>
      </c>
      <c r="L11" s="21">
        <v>107.0</v>
      </c>
      <c r="M11" s="21">
        <v>173.0</v>
      </c>
      <c r="N11" s="38">
        <f t="shared" si="3"/>
        <v>0.3827993255</v>
      </c>
    </row>
    <row r="12" ht="14.25" customHeight="1">
      <c r="A12" s="5"/>
      <c r="B12" s="36" t="s">
        <v>275</v>
      </c>
      <c r="C12" s="21">
        <v>12686.0</v>
      </c>
      <c r="D12" s="21">
        <v>13025.0</v>
      </c>
      <c r="E12" s="21">
        <v>339.0</v>
      </c>
      <c r="F12" s="21">
        <v>55.0</v>
      </c>
      <c r="G12" s="21">
        <v>0.0</v>
      </c>
      <c r="H12" s="21">
        <v>55.0</v>
      </c>
      <c r="I12" s="32">
        <f t="shared" si="2"/>
        <v>1</v>
      </c>
      <c r="J12" s="37">
        <v>72.0</v>
      </c>
      <c r="K12" s="21">
        <v>105.0</v>
      </c>
      <c r="L12" s="21">
        <v>64.0</v>
      </c>
      <c r="M12" s="21">
        <v>98.0</v>
      </c>
      <c r="N12" s="38">
        <f t="shared" si="3"/>
        <v>0.401179941</v>
      </c>
    </row>
    <row r="13" ht="14.25" customHeight="1">
      <c r="A13" s="5"/>
      <c r="B13" s="36" t="s">
        <v>276</v>
      </c>
      <c r="C13" s="21">
        <v>13025.0</v>
      </c>
      <c r="D13" s="21">
        <v>13442.0</v>
      </c>
      <c r="E13" s="21">
        <v>417.0</v>
      </c>
      <c r="F13" s="21">
        <v>67.0</v>
      </c>
      <c r="G13" s="21">
        <v>0.0</v>
      </c>
      <c r="H13" s="21">
        <v>67.0</v>
      </c>
      <c r="I13" s="32">
        <f t="shared" si="2"/>
        <v>1</v>
      </c>
      <c r="J13" s="37">
        <v>93.0</v>
      </c>
      <c r="K13" s="21">
        <v>116.0</v>
      </c>
      <c r="L13" s="21">
        <v>84.0</v>
      </c>
      <c r="M13" s="21">
        <v>124.0</v>
      </c>
      <c r="N13" s="38">
        <f t="shared" si="3"/>
        <v>0.4244604317</v>
      </c>
    </row>
    <row r="14" ht="14.25" customHeight="1">
      <c r="A14" s="8"/>
      <c r="B14" s="39" t="s">
        <v>277</v>
      </c>
      <c r="C14" s="21">
        <v>13442.0</v>
      </c>
      <c r="D14" s="21">
        <v>13481.0</v>
      </c>
      <c r="E14" s="21">
        <v>39.0</v>
      </c>
      <c r="F14" s="21">
        <v>7.0</v>
      </c>
      <c r="G14" s="21">
        <v>7.0</v>
      </c>
      <c r="H14" s="21">
        <v>0.0</v>
      </c>
      <c r="I14" s="32">
        <f t="shared" si="2"/>
        <v>0</v>
      </c>
      <c r="J14" s="37">
        <v>11.0</v>
      </c>
      <c r="K14" s="21">
        <v>8.0</v>
      </c>
      <c r="L14" s="21">
        <v>7.0</v>
      </c>
      <c r="M14" s="21">
        <v>13.0</v>
      </c>
      <c r="N14" s="38">
        <f t="shared" si="3"/>
        <v>0.4615384615</v>
      </c>
    </row>
    <row r="15" ht="14.25" customHeight="1">
      <c r="A15" s="30" t="s">
        <v>278</v>
      </c>
      <c r="B15" s="31"/>
      <c r="C15" s="21">
        <v>13483.0</v>
      </c>
      <c r="D15" s="21">
        <v>21555.0</v>
      </c>
      <c r="E15" s="21">
        <v>8072.0</v>
      </c>
      <c r="F15" s="21">
        <v>994.0</v>
      </c>
      <c r="G15" s="21">
        <v>994.0</v>
      </c>
      <c r="H15" s="21">
        <v>0.0</v>
      </c>
      <c r="I15" s="32">
        <f t="shared" si="2"/>
        <v>0</v>
      </c>
      <c r="J15" s="37">
        <f t="shared" ref="J15:M15" si="4">SUM(J16:J20)</f>
        <v>1588</v>
      </c>
      <c r="K15" s="21">
        <f t="shared" si="4"/>
        <v>2490</v>
      </c>
      <c r="L15" s="21">
        <f t="shared" si="4"/>
        <v>1420</v>
      </c>
      <c r="M15" s="21">
        <f t="shared" si="4"/>
        <v>2625</v>
      </c>
      <c r="N15" s="38">
        <f t="shared" si="3"/>
        <v>0.370306537</v>
      </c>
    </row>
    <row r="16" ht="14.25" customHeight="1">
      <c r="A16" s="5"/>
      <c r="B16" s="36" t="s">
        <v>279</v>
      </c>
      <c r="C16" s="21">
        <v>13442.0</v>
      </c>
      <c r="D16" s="21">
        <v>16238.0</v>
      </c>
      <c r="E16" s="21">
        <v>2796.0</v>
      </c>
      <c r="F16" s="21">
        <v>359.0</v>
      </c>
      <c r="G16" s="21">
        <v>359.0</v>
      </c>
      <c r="H16" s="21">
        <v>0.0</v>
      </c>
      <c r="I16" s="32">
        <f t="shared" si="2"/>
        <v>0</v>
      </c>
      <c r="J16" s="37">
        <v>541.0</v>
      </c>
      <c r="K16" s="21">
        <v>846.0</v>
      </c>
      <c r="L16" s="21">
        <v>501.0</v>
      </c>
      <c r="M16" s="21">
        <v>907.0</v>
      </c>
      <c r="N16" s="38">
        <f t="shared" si="3"/>
        <v>0.3728085868</v>
      </c>
    </row>
    <row r="17" ht="14.25" customHeight="1">
      <c r="A17" s="5"/>
      <c r="B17" s="36" t="s">
        <v>280</v>
      </c>
      <c r="C17" s="21">
        <v>16238.0</v>
      </c>
      <c r="D17" s="21">
        <v>18041.0</v>
      </c>
      <c r="E17" s="21">
        <v>1803.0</v>
      </c>
      <c r="F17" s="21">
        <v>216.0</v>
      </c>
      <c r="G17" s="21">
        <v>216.0</v>
      </c>
      <c r="H17" s="21">
        <v>0.0</v>
      </c>
      <c r="I17" s="32">
        <f t="shared" si="2"/>
        <v>0</v>
      </c>
      <c r="J17" s="37">
        <v>353.0</v>
      </c>
      <c r="K17" s="21">
        <v>548.0</v>
      </c>
      <c r="L17" s="21">
        <v>337.0</v>
      </c>
      <c r="M17" s="21">
        <v>568.0</v>
      </c>
      <c r="N17" s="38">
        <f t="shared" si="3"/>
        <v>0.3820598007</v>
      </c>
    </row>
    <row r="18" ht="14.25" customHeight="1">
      <c r="A18" s="5"/>
      <c r="B18" s="36" t="s">
        <v>281</v>
      </c>
      <c r="C18" s="21">
        <v>18041.0</v>
      </c>
      <c r="D18" s="21">
        <v>19622.0</v>
      </c>
      <c r="E18" s="21">
        <v>1581.0</v>
      </c>
      <c r="F18" s="21">
        <v>214.0</v>
      </c>
      <c r="G18" s="21">
        <v>214.0</v>
      </c>
      <c r="H18" s="21">
        <v>0.0</v>
      </c>
      <c r="I18" s="32">
        <f t="shared" si="2"/>
        <v>0</v>
      </c>
      <c r="J18" s="37">
        <v>316.0</v>
      </c>
      <c r="K18" s="21">
        <v>467.0</v>
      </c>
      <c r="L18" s="21">
        <v>289.0</v>
      </c>
      <c r="M18" s="21">
        <v>512.0</v>
      </c>
      <c r="N18" s="38">
        <f t="shared" si="3"/>
        <v>0.3819444444</v>
      </c>
    </row>
    <row r="19" ht="14.25" customHeight="1">
      <c r="A19" s="5"/>
      <c r="B19" s="36" t="s">
        <v>282</v>
      </c>
      <c r="C19" s="21">
        <v>19622.0</v>
      </c>
      <c r="D19" s="21">
        <v>20660.0</v>
      </c>
      <c r="E19" s="21">
        <v>1038.0</v>
      </c>
      <c r="F19" s="21">
        <v>103.0</v>
      </c>
      <c r="G19" s="21">
        <v>103.0</v>
      </c>
      <c r="H19" s="21">
        <v>0.0</v>
      </c>
      <c r="I19" s="32">
        <f t="shared" si="2"/>
        <v>0</v>
      </c>
      <c r="J19" s="37">
        <v>204.0</v>
      </c>
      <c r="K19" s="21">
        <v>345.0</v>
      </c>
      <c r="L19" s="21">
        <v>150.0</v>
      </c>
      <c r="M19" s="21">
        <v>342.0</v>
      </c>
      <c r="N19" s="38">
        <f t="shared" si="3"/>
        <v>0.3400576369</v>
      </c>
    </row>
    <row r="20" ht="14.25" customHeight="1">
      <c r="A20" s="8"/>
      <c r="B20" s="39" t="s">
        <v>283</v>
      </c>
      <c r="C20" s="21">
        <v>20660.0</v>
      </c>
      <c r="D20" s="21">
        <v>21554.0</v>
      </c>
      <c r="E20" s="21">
        <v>894.0</v>
      </c>
      <c r="F20" s="21">
        <v>102.0</v>
      </c>
      <c r="G20" s="21">
        <v>102.0</v>
      </c>
      <c r="H20" s="21">
        <v>0.0</v>
      </c>
      <c r="I20" s="32">
        <f t="shared" si="2"/>
        <v>0</v>
      </c>
      <c r="J20" s="37">
        <v>174.0</v>
      </c>
      <c r="K20" s="21">
        <v>284.0</v>
      </c>
      <c r="L20" s="21">
        <v>143.0</v>
      </c>
      <c r="M20" s="21">
        <v>296.0</v>
      </c>
      <c r="N20" s="38">
        <f t="shared" si="3"/>
        <v>0.353400223</v>
      </c>
    </row>
    <row r="21" ht="14.25" customHeight="1">
      <c r="A21" s="30" t="s">
        <v>284</v>
      </c>
      <c r="B21" s="31"/>
      <c r="C21" s="21">
        <v>21563.0</v>
      </c>
      <c r="D21" s="21">
        <v>25384.0</v>
      </c>
      <c r="E21" s="21">
        <v>3821.0</v>
      </c>
      <c r="F21" s="21">
        <v>562.0</v>
      </c>
      <c r="G21" s="21">
        <v>0.0</v>
      </c>
      <c r="H21" s="21">
        <v>562.0</v>
      </c>
      <c r="I21" s="32">
        <f t="shared" si="2"/>
        <v>1</v>
      </c>
      <c r="J21" s="37">
        <v>703.0</v>
      </c>
      <c r="K21" s="21">
        <v>1125.0</v>
      </c>
      <c r="L21" s="21">
        <v>723.0</v>
      </c>
      <c r="M21" s="21">
        <v>1271.0</v>
      </c>
      <c r="N21" s="38">
        <f t="shared" si="3"/>
        <v>0.3731030874</v>
      </c>
    </row>
    <row r="22" ht="14.25" customHeight="1">
      <c r="A22" s="30" t="s">
        <v>285</v>
      </c>
      <c r="B22" s="31"/>
      <c r="C22" s="21">
        <v>25393.0</v>
      </c>
      <c r="D22" s="21">
        <v>26220.0</v>
      </c>
      <c r="E22" s="21">
        <v>827.0</v>
      </c>
      <c r="F22" s="21">
        <v>123.0</v>
      </c>
      <c r="G22" s="21">
        <v>62.0</v>
      </c>
      <c r="H22" s="21">
        <f>F22-G22</f>
        <v>61</v>
      </c>
      <c r="I22" s="32">
        <f t="shared" si="2"/>
        <v>0.4959349593</v>
      </c>
      <c r="J22" s="37">
        <v>153.0</v>
      </c>
      <c r="K22" s="21">
        <v>225.0</v>
      </c>
      <c r="L22" s="21">
        <v>174.0</v>
      </c>
      <c r="M22" s="21">
        <v>276.0</v>
      </c>
      <c r="N22" s="38">
        <f t="shared" si="3"/>
        <v>0.3949275362</v>
      </c>
    </row>
    <row r="23" ht="14.25" customHeight="1">
      <c r="A23" s="8"/>
      <c r="B23" s="39" t="s">
        <v>286</v>
      </c>
      <c r="C23" s="21">
        <v>25765.0</v>
      </c>
      <c r="D23" s="21">
        <v>26220.0</v>
      </c>
      <c r="E23" s="21">
        <v>455.0</v>
      </c>
      <c r="F23" s="21">
        <v>62.0</v>
      </c>
      <c r="G23" s="21">
        <v>62.0</v>
      </c>
      <c r="H23" s="21">
        <v>0.0</v>
      </c>
      <c r="I23" s="32">
        <f t="shared" si="2"/>
        <v>0</v>
      </c>
      <c r="J23" s="37">
        <v>83.0</v>
      </c>
      <c r="K23" s="21">
        <v>136.0</v>
      </c>
      <c r="L23" s="21">
        <v>92.0</v>
      </c>
      <c r="M23" s="21">
        <v>145.0</v>
      </c>
      <c r="N23" s="38">
        <f t="shared" si="3"/>
        <v>0.3837719298</v>
      </c>
    </row>
    <row r="24" ht="14.25" customHeight="1">
      <c r="A24" s="30" t="s">
        <v>287</v>
      </c>
      <c r="B24" s="31"/>
      <c r="C24" s="21">
        <v>26245.0</v>
      </c>
      <c r="D24" s="21">
        <v>26472.0</v>
      </c>
      <c r="E24" s="21">
        <v>227.0</v>
      </c>
      <c r="F24" s="21">
        <v>43.0</v>
      </c>
      <c r="G24" s="21">
        <v>0.0</v>
      </c>
      <c r="H24" s="21">
        <v>43.0</v>
      </c>
      <c r="I24" s="32">
        <f t="shared" si="2"/>
        <v>1</v>
      </c>
      <c r="J24" s="37">
        <v>42.0</v>
      </c>
      <c r="K24" s="21">
        <v>48.0</v>
      </c>
      <c r="L24" s="21">
        <v>45.0</v>
      </c>
      <c r="M24" s="21">
        <v>93.0</v>
      </c>
      <c r="N24" s="38">
        <f t="shared" si="3"/>
        <v>0.3815789474</v>
      </c>
    </row>
    <row r="25" ht="14.25" customHeight="1">
      <c r="A25" s="30" t="s">
        <v>288</v>
      </c>
      <c r="B25" s="31"/>
      <c r="C25" s="21">
        <v>26523.0</v>
      </c>
      <c r="D25" s="21">
        <v>27191.0</v>
      </c>
      <c r="E25" s="21">
        <v>668.0</v>
      </c>
      <c r="F25" s="21">
        <v>107.0</v>
      </c>
      <c r="G25" s="21">
        <v>0.0</v>
      </c>
      <c r="H25" s="21">
        <v>107.0</v>
      </c>
      <c r="I25" s="32">
        <f t="shared" si="2"/>
        <v>1</v>
      </c>
      <c r="J25" s="37">
        <v>139.0</v>
      </c>
      <c r="K25" s="21">
        <v>170.0</v>
      </c>
      <c r="L25" s="21">
        <v>147.0</v>
      </c>
      <c r="M25" s="21">
        <v>213.0</v>
      </c>
      <c r="N25" s="38">
        <f t="shared" si="3"/>
        <v>0.4275037369</v>
      </c>
    </row>
    <row r="26" ht="14.25" customHeight="1">
      <c r="A26" s="30" t="s">
        <v>289</v>
      </c>
      <c r="B26" s="31"/>
      <c r="C26" s="21">
        <v>27202.0</v>
      </c>
      <c r="D26" s="21">
        <v>27387.0</v>
      </c>
      <c r="E26" s="21">
        <v>185.0</v>
      </c>
      <c r="F26" s="21">
        <v>17.0</v>
      </c>
      <c r="G26" s="21">
        <v>0.0</v>
      </c>
      <c r="H26" s="21">
        <v>17.0</v>
      </c>
      <c r="I26" s="32">
        <f t="shared" si="2"/>
        <v>1</v>
      </c>
      <c r="J26" s="37">
        <v>26.0</v>
      </c>
      <c r="K26" s="21">
        <v>68.0</v>
      </c>
      <c r="L26" s="21">
        <v>26.0</v>
      </c>
      <c r="M26" s="21">
        <v>66.0</v>
      </c>
      <c r="N26" s="38">
        <f t="shared" si="3"/>
        <v>0.2795698925</v>
      </c>
    </row>
    <row r="27" ht="14.25" customHeight="1">
      <c r="A27" s="30" t="s">
        <v>290</v>
      </c>
      <c r="B27" s="31"/>
      <c r="C27" s="21">
        <v>27394.0</v>
      </c>
      <c r="D27" s="21">
        <v>27759.0</v>
      </c>
      <c r="E27" s="21">
        <v>365.0</v>
      </c>
      <c r="F27" s="21">
        <v>56.0</v>
      </c>
      <c r="G27" s="21">
        <v>0.0</v>
      </c>
      <c r="H27" s="21">
        <v>56.0</v>
      </c>
      <c r="I27" s="32">
        <f t="shared" si="2"/>
        <v>1</v>
      </c>
      <c r="J27" s="37">
        <v>60.0</v>
      </c>
      <c r="K27" s="21">
        <v>106.0</v>
      </c>
      <c r="L27" s="21">
        <v>79.0</v>
      </c>
      <c r="M27" s="21">
        <v>117.0</v>
      </c>
      <c r="N27" s="38">
        <f t="shared" si="3"/>
        <v>0.3839779006</v>
      </c>
    </row>
    <row r="28" ht="14.25" customHeight="1">
      <c r="A28" s="30" t="s">
        <v>291</v>
      </c>
      <c r="B28" s="31"/>
      <c r="C28" s="21">
        <v>27756.0</v>
      </c>
      <c r="D28" s="21">
        <v>27887.0</v>
      </c>
      <c r="E28" s="21">
        <v>131.0</v>
      </c>
      <c r="F28" s="21">
        <v>13.0</v>
      </c>
      <c r="G28" s="21">
        <v>0.0</v>
      </c>
      <c r="H28" s="21">
        <v>13.0</v>
      </c>
      <c r="I28" s="32">
        <f t="shared" si="2"/>
        <v>1</v>
      </c>
      <c r="J28" s="37">
        <v>16.0</v>
      </c>
      <c r="K28" s="21">
        <v>29.0</v>
      </c>
      <c r="L28" s="21">
        <v>24.0</v>
      </c>
      <c r="M28" s="21">
        <v>59.0</v>
      </c>
      <c r="N28" s="38">
        <f t="shared" si="3"/>
        <v>0.3125</v>
      </c>
    </row>
    <row r="29" ht="14.25" customHeight="1">
      <c r="A29" s="30" t="s">
        <v>292</v>
      </c>
      <c r="B29" s="31"/>
      <c r="C29" s="21">
        <v>27894.0</v>
      </c>
      <c r="D29" s="21">
        <v>28259.0</v>
      </c>
      <c r="E29" s="21">
        <v>365.0</v>
      </c>
      <c r="F29" s="21">
        <v>45.0</v>
      </c>
      <c r="G29" s="21">
        <v>0.0</v>
      </c>
      <c r="H29" s="21">
        <v>45.0</v>
      </c>
      <c r="I29" s="32">
        <f t="shared" si="2"/>
        <v>1</v>
      </c>
      <c r="J29" s="37">
        <v>67.0</v>
      </c>
      <c r="K29" s="21">
        <v>101.0</v>
      </c>
      <c r="L29" s="21">
        <v>64.0</v>
      </c>
      <c r="M29" s="21">
        <v>134.0</v>
      </c>
      <c r="N29" s="38">
        <f t="shared" si="3"/>
        <v>0.3579234973</v>
      </c>
    </row>
    <row r="30" ht="14.25" customHeight="1">
      <c r="A30" s="30" t="s">
        <v>293</v>
      </c>
      <c r="B30" s="31"/>
      <c r="C30" s="21">
        <v>28274.0</v>
      </c>
      <c r="D30" s="21">
        <v>29533.0</v>
      </c>
      <c r="E30" s="21">
        <v>1259.0</v>
      </c>
      <c r="F30" s="21">
        <v>204.0</v>
      </c>
      <c r="G30" s="21">
        <v>86.0</v>
      </c>
      <c r="H30" s="21">
        <v>118.0</v>
      </c>
      <c r="I30" s="32">
        <f t="shared" si="2"/>
        <v>0.5784313725</v>
      </c>
      <c r="J30" s="37">
        <v>280.0</v>
      </c>
      <c r="K30" s="21">
        <v>400.0</v>
      </c>
      <c r="L30" s="21">
        <v>315.0</v>
      </c>
      <c r="M30" s="21">
        <v>265.0</v>
      </c>
      <c r="N30" s="38">
        <f t="shared" si="3"/>
        <v>0.4722222222</v>
      </c>
    </row>
    <row r="31" ht="14.25" customHeight="1">
      <c r="A31" s="5"/>
      <c r="B31" s="36" t="s">
        <v>294</v>
      </c>
      <c r="C31" s="21">
        <v>28284.0</v>
      </c>
      <c r="D31" s="21">
        <v>28577.0</v>
      </c>
      <c r="E31" s="21">
        <v>293.0</v>
      </c>
      <c r="F31" s="21">
        <v>48.0</v>
      </c>
      <c r="G31" s="21">
        <v>48.0</v>
      </c>
      <c r="H31" s="21">
        <v>0.0</v>
      </c>
      <c r="I31" s="32">
        <f t="shared" si="2"/>
        <v>0</v>
      </c>
      <c r="J31" s="37">
        <v>68.0</v>
      </c>
      <c r="K31" s="21">
        <v>91.0</v>
      </c>
      <c r="L31" s="21">
        <v>78.0</v>
      </c>
      <c r="M31" s="21">
        <v>57.0</v>
      </c>
      <c r="N31" s="38">
        <f t="shared" si="3"/>
        <v>0.4965986395</v>
      </c>
    </row>
    <row r="32" ht="14.25" customHeight="1">
      <c r="A32" s="8"/>
      <c r="B32" s="39" t="s">
        <v>295</v>
      </c>
      <c r="C32" s="21">
        <v>28734.0</v>
      </c>
      <c r="D32" s="21">
        <v>28955.0</v>
      </c>
      <c r="E32" s="21">
        <v>221.0</v>
      </c>
      <c r="F32" s="21">
        <v>38.0</v>
      </c>
      <c r="G32" s="21">
        <v>38.0</v>
      </c>
      <c r="H32" s="21">
        <v>0.0</v>
      </c>
      <c r="I32" s="32">
        <f t="shared" si="2"/>
        <v>0</v>
      </c>
      <c r="J32" s="37">
        <v>56.0</v>
      </c>
      <c r="K32" s="21">
        <v>56.0</v>
      </c>
      <c r="L32" s="21">
        <v>57.0</v>
      </c>
      <c r="M32" s="21">
        <v>53.0</v>
      </c>
      <c r="N32" s="38">
        <f t="shared" si="3"/>
        <v>0.509009009</v>
      </c>
    </row>
    <row r="33" ht="14.25" customHeight="1">
      <c r="A33" s="8" t="s">
        <v>296</v>
      </c>
      <c r="B33" s="39"/>
      <c r="C33" s="40">
        <v>29558.0</v>
      </c>
      <c r="D33" s="40">
        <v>29674.0</v>
      </c>
      <c r="E33" s="40">
        <v>116.0</v>
      </c>
      <c r="F33" s="40">
        <v>15.0</v>
      </c>
      <c r="G33" s="40">
        <v>0.0</v>
      </c>
      <c r="H33" s="40">
        <v>15.0</v>
      </c>
      <c r="I33" s="41">
        <f t="shared" si="2"/>
        <v>1</v>
      </c>
      <c r="J33" s="42">
        <v>19.0</v>
      </c>
      <c r="K33" s="40">
        <v>35.0</v>
      </c>
      <c r="L33" s="40">
        <v>21.0</v>
      </c>
      <c r="M33" s="40">
        <v>42.0</v>
      </c>
      <c r="N33" s="43">
        <f t="shared" si="3"/>
        <v>0.3418803419</v>
      </c>
    </row>
    <row r="34" ht="14.25" customHeight="1">
      <c r="A34" s="37"/>
      <c r="B34" s="36"/>
      <c r="C34" s="21"/>
      <c r="D34" s="21"/>
      <c r="E34" s="21"/>
      <c r="F34" s="21"/>
      <c r="G34" s="21"/>
      <c r="H34" s="21"/>
      <c r="I34" s="32"/>
      <c r="J34" s="37"/>
      <c r="K34" s="21"/>
      <c r="L34" s="21"/>
      <c r="M34" s="21"/>
      <c r="N34" s="36"/>
    </row>
    <row r="35" ht="14.25" customHeight="1">
      <c r="A35" s="42" t="s">
        <v>297</v>
      </c>
      <c r="B35" s="39"/>
      <c r="C35" s="40"/>
      <c r="D35" s="40"/>
      <c r="E35" s="40">
        <f t="shared" ref="E35:F35" si="5">SUM(E3,E15,E21:E22,E24:E30,E33)</f>
        <v>29253</v>
      </c>
      <c r="F35" s="40">
        <f t="shared" si="5"/>
        <v>4125</v>
      </c>
      <c r="G35" s="40">
        <f>SUM(G15,G21:G30,G33)</f>
        <v>1204</v>
      </c>
      <c r="H35" s="40">
        <f>SUM(H3,H15,H21,H22,H24:H30,H33)</f>
        <v>2976</v>
      </c>
      <c r="I35" s="41">
        <f>H35/F35</f>
        <v>0.7214545455</v>
      </c>
      <c r="J35" s="42">
        <v>5863.0</v>
      </c>
      <c r="K35" s="40">
        <v>8952.0</v>
      </c>
      <c r="L35" s="40">
        <v>5492.0</v>
      </c>
      <c r="M35" s="40">
        <v>9594.0</v>
      </c>
      <c r="N35" s="43">
        <f>SUM(J35,L35)/SUM(J35:M35)</f>
        <v>0.3797531855</v>
      </c>
    </row>
    <row r="36" ht="14.25" customHeight="1">
      <c r="A36" s="44" t="s">
        <v>298</v>
      </c>
      <c r="J36" s="21"/>
      <c r="K36" s="21"/>
      <c r="L36" s="21"/>
      <c r="M36" s="21"/>
      <c r="N36" s="21"/>
    </row>
    <row r="37" ht="14.25" customHeight="1">
      <c r="J37" s="45"/>
      <c r="K37" s="45"/>
      <c r="L37" s="45"/>
      <c r="M37" s="45"/>
      <c r="N37" s="21"/>
    </row>
    <row r="38" ht="14.25" customHeight="1">
      <c r="J38" s="21"/>
      <c r="K38" s="21"/>
      <c r="L38" s="21"/>
      <c r="M38" s="21"/>
      <c r="N38" s="21"/>
    </row>
    <row r="39" ht="14.25" customHeight="1">
      <c r="J39" s="21"/>
      <c r="K39" s="21"/>
      <c r="L39" s="21"/>
      <c r="M39" s="21"/>
      <c r="N39" s="21"/>
    </row>
    <row r="40" ht="14.25" customHeight="1">
      <c r="J40" s="21"/>
      <c r="K40" s="21"/>
      <c r="L40" s="21"/>
      <c r="M40" s="21"/>
      <c r="N40" s="21"/>
    </row>
    <row r="41" ht="14.25" customHeight="1">
      <c r="J41" s="21"/>
      <c r="K41" s="21"/>
      <c r="L41" s="21"/>
      <c r="M41" s="21"/>
      <c r="N41" s="21"/>
    </row>
    <row r="42" ht="14.25" customHeight="1">
      <c r="J42" s="21"/>
      <c r="K42" s="21"/>
      <c r="L42" s="21"/>
      <c r="M42" s="21"/>
      <c r="N42" s="21"/>
    </row>
    <row r="43" ht="14.25" customHeight="1">
      <c r="J43" s="21"/>
      <c r="K43" s="21"/>
      <c r="L43" s="21"/>
      <c r="M43" s="21"/>
      <c r="N43" s="21"/>
    </row>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5">
    <mergeCell ref="H1:H2"/>
    <mergeCell ref="I1:I2"/>
    <mergeCell ref="J1:J2"/>
    <mergeCell ref="K1:K2"/>
    <mergeCell ref="L1:L2"/>
    <mergeCell ref="M1:M2"/>
    <mergeCell ref="N1:N2"/>
    <mergeCell ref="A1:A2"/>
    <mergeCell ref="B1:B2"/>
    <mergeCell ref="C1:C2"/>
    <mergeCell ref="D1:D2"/>
    <mergeCell ref="E1:E2"/>
    <mergeCell ref="F1:F2"/>
    <mergeCell ref="G1:G2"/>
    <mergeCell ref="A36:I4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88"/>
    <col customWidth="1" min="2" max="13" width="9.13"/>
    <col customWidth="1" min="14" max="26" width="8.63"/>
  </cols>
  <sheetData>
    <row r="1" ht="14.25" customHeight="1">
      <c r="A1" s="46" t="s">
        <v>297</v>
      </c>
      <c r="B1" s="47"/>
      <c r="C1" s="47"/>
      <c r="D1" s="47"/>
      <c r="E1" s="47"/>
      <c r="F1" s="47"/>
      <c r="G1" s="47"/>
      <c r="H1" s="47"/>
      <c r="I1" s="47"/>
      <c r="J1" s="47"/>
      <c r="K1" s="47"/>
      <c r="L1" s="47"/>
      <c r="M1" s="47"/>
    </row>
    <row r="2" ht="14.25" customHeight="1">
      <c r="A2" s="48"/>
      <c r="B2" s="48" t="s">
        <v>299</v>
      </c>
      <c r="C2" s="48" t="s">
        <v>300</v>
      </c>
      <c r="D2" s="48" t="s">
        <v>301</v>
      </c>
      <c r="E2" s="48" t="s">
        <v>302</v>
      </c>
      <c r="F2" s="48" t="s">
        <v>303</v>
      </c>
      <c r="G2" s="48" t="s">
        <v>304</v>
      </c>
      <c r="H2" s="48" t="s">
        <v>305</v>
      </c>
      <c r="I2" s="48" t="s">
        <v>306</v>
      </c>
      <c r="J2" s="48" t="s">
        <v>307</v>
      </c>
      <c r="K2" s="48" t="s">
        <v>308</v>
      </c>
      <c r="L2" s="48" t="s">
        <v>309</v>
      </c>
      <c r="M2" s="48" t="s">
        <v>310</v>
      </c>
    </row>
    <row r="3" ht="14.25" customHeight="1">
      <c r="A3" s="48" t="s">
        <v>311</v>
      </c>
      <c r="B3" s="49">
        <v>4.33E-6</v>
      </c>
      <c r="C3" s="50">
        <v>4.65E-6</v>
      </c>
      <c r="D3" s="50">
        <v>1.81E-6</v>
      </c>
      <c r="E3" s="50">
        <v>1.36E-5</v>
      </c>
      <c r="F3" s="50">
        <v>3.95E-6</v>
      </c>
      <c r="G3" s="50">
        <v>7.39E-6</v>
      </c>
      <c r="H3" s="50">
        <v>8.7E-5</v>
      </c>
      <c r="I3" s="50">
        <v>6.26E-6</v>
      </c>
      <c r="J3" s="50">
        <v>5.55E-6</v>
      </c>
      <c r="K3" s="50">
        <v>4.09E-6</v>
      </c>
      <c r="L3" s="50">
        <v>2.43E-5</v>
      </c>
      <c r="M3" s="51">
        <v>3.0E-6</v>
      </c>
    </row>
    <row r="4" ht="14.25" customHeight="1">
      <c r="A4" s="48" t="s">
        <v>312</v>
      </c>
      <c r="B4" s="52">
        <v>5.99E-6</v>
      </c>
      <c r="C4" s="53">
        <v>7.03E-6</v>
      </c>
      <c r="D4" s="53">
        <v>9.19E-6</v>
      </c>
      <c r="E4" s="53">
        <v>9.85E-6</v>
      </c>
      <c r="F4" s="53">
        <v>2.39E-6</v>
      </c>
      <c r="G4" s="53">
        <v>1.06E-5</v>
      </c>
      <c r="H4" s="53">
        <v>1.58285E-4</v>
      </c>
      <c r="I4" s="53">
        <v>4.46E-6</v>
      </c>
      <c r="J4" s="53">
        <v>8.33E-6</v>
      </c>
      <c r="K4" s="53">
        <v>6.52E-6</v>
      </c>
      <c r="L4" s="53">
        <v>1.53E-5</v>
      </c>
      <c r="M4" s="54">
        <v>1.65E-6</v>
      </c>
    </row>
    <row r="5" ht="14.25" customHeight="1">
      <c r="A5" s="48" t="s">
        <v>313</v>
      </c>
      <c r="B5" s="52">
        <v>9.81E-6</v>
      </c>
      <c r="C5" s="53">
        <v>1.29E-5</v>
      </c>
      <c r="D5" s="53">
        <v>3.87E-6</v>
      </c>
      <c r="E5" s="53">
        <v>1.4E-5</v>
      </c>
      <c r="F5" s="53">
        <v>3.57E-6</v>
      </c>
      <c r="G5" s="53">
        <v>7.17E-6</v>
      </c>
      <c r="H5" s="53">
        <v>8.07E-5</v>
      </c>
      <c r="I5" s="53">
        <v>2.47E-6</v>
      </c>
      <c r="J5" s="53">
        <v>5.49E-6</v>
      </c>
      <c r="K5" s="53">
        <v>2.17E-6</v>
      </c>
      <c r="L5" s="53">
        <v>1.45E-5</v>
      </c>
      <c r="M5" s="54">
        <v>1.22E-6</v>
      </c>
    </row>
    <row r="6" ht="14.25" customHeight="1">
      <c r="A6" s="48" t="s">
        <v>314</v>
      </c>
      <c r="B6" s="52">
        <v>3.37E-6</v>
      </c>
      <c r="C6" s="53">
        <v>7.86E-6</v>
      </c>
      <c r="D6" s="53">
        <v>6.82E-6</v>
      </c>
      <c r="E6" s="53">
        <v>9.68E-6</v>
      </c>
      <c r="F6" s="53">
        <v>4.11E-6</v>
      </c>
      <c r="G6" s="53">
        <v>7.71E-6</v>
      </c>
      <c r="H6" s="53">
        <v>9.52E-5</v>
      </c>
      <c r="I6" s="53">
        <v>7.31E-6</v>
      </c>
      <c r="J6" s="53">
        <v>6.08E-6</v>
      </c>
      <c r="K6" s="53">
        <v>5.52E-6</v>
      </c>
      <c r="L6" s="53">
        <v>8.83E-6</v>
      </c>
      <c r="M6" s="54">
        <v>1.4E-6</v>
      </c>
    </row>
    <row r="7" ht="14.25" customHeight="1">
      <c r="A7" s="48" t="s">
        <v>315</v>
      </c>
      <c r="B7" s="52">
        <v>9.12E-6</v>
      </c>
      <c r="C7" s="53">
        <v>9.96E-6</v>
      </c>
      <c r="D7" s="53">
        <v>4.28E-6</v>
      </c>
      <c r="E7" s="53">
        <v>1.51E-5</v>
      </c>
      <c r="F7" s="53">
        <v>8.6E-6</v>
      </c>
      <c r="G7" s="53">
        <v>8.69E-6</v>
      </c>
      <c r="H7" s="53">
        <v>7.75E-5</v>
      </c>
      <c r="I7" s="53">
        <v>4.46E-6</v>
      </c>
      <c r="J7" s="53">
        <v>8.51E-6</v>
      </c>
      <c r="K7" s="53">
        <v>5.97E-6</v>
      </c>
      <c r="L7" s="53">
        <v>2.9E-5</v>
      </c>
      <c r="M7" s="54">
        <v>1.71E-5</v>
      </c>
    </row>
    <row r="8" ht="14.25" customHeight="1">
      <c r="A8" s="48" t="s">
        <v>316</v>
      </c>
      <c r="B8" s="52">
        <v>6.66E-6</v>
      </c>
      <c r="C8" s="53">
        <v>1.45E-5</v>
      </c>
      <c r="D8" s="53">
        <v>9.820000000000001E-6</v>
      </c>
      <c r="E8" s="53">
        <v>1.22E-5</v>
      </c>
      <c r="F8" s="53">
        <v>1.94E-6</v>
      </c>
      <c r="G8" s="53">
        <v>1.02E-5</v>
      </c>
      <c r="H8" s="53">
        <v>7.66E-5</v>
      </c>
      <c r="I8" s="53">
        <v>4.11E-6</v>
      </c>
      <c r="J8" s="53">
        <v>6.16E-6</v>
      </c>
      <c r="K8" s="53">
        <v>9.56E-6</v>
      </c>
      <c r="L8" s="53">
        <v>1.82E-5</v>
      </c>
      <c r="M8" s="54">
        <v>2.53E-5</v>
      </c>
    </row>
    <row r="9" ht="14.25" customHeight="1">
      <c r="A9" s="48" t="s">
        <v>317</v>
      </c>
      <c r="B9" s="52">
        <v>8.58E-6</v>
      </c>
      <c r="C9" s="53">
        <v>1.76E-5</v>
      </c>
      <c r="D9" s="53">
        <v>2.02E-6</v>
      </c>
      <c r="E9" s="53">
        <v>1.18E-5</v>
      </c>
      <c r="F9" s="53">
        <v>3.75E-6</v>
      </c>
      <c r="G9" s="53">
        <v>1.27E-5</v>
      </c>
      <c r="H9" s="53">
        <v>4.0E-5</v>
      </c>
      <c r="I9" s="53">
        <v>3.63E-6</v>
      </c>
      <c r="J9" s="53">
        <v>3.42E-6</v>
      </c>
      <c r="K9" s="53">
        <v>3.68E-6</v>
      </c>
      <c r="L9" s="53">
        <v>1.35E-5</v>
      </c>
      <c r="M9" s="54">
        <v>1.32E-5</v>
      </c>
    </row>
    <row r="10" ht="14.25" customHeight="1">
      <c r="A10" s="48" t="s">
        <v>318</v>
      </c>
      <c r="B10" s="52">
        <v>5.51E-6</v>
      </c>
      <c r="C10" s="53">
        <v>1.37E-5</v>
      </c>
      <c r="D10" s="53">
        <v>9.92E-6</v>
      </c>
      <c r="E10" s="53">
        <v>6.25E-6</v>
      </c>
      <c r="F10" s="53">
        <v>4.96E-6</v>
      </c>
      <c r="G10" s="53">
        <v>1.19E-5</v>
      </c>
      <c r="H10" s="53">
        <v>6.33E-5</v>
      </c>
      <c r="I10" s="53">
        <v>6.68E-6</v>
      </c>
      <c r="J10" s="53">
        <v>6.91E-6</v>
      </c>
      <c r="K10" s="53">
        <v>7.6E-6</v>
      </c>
      <c r="L10" s="53">
        <v>9.19E-6</v>
      </c>
      <c r="M10" s="54">
        <v>1.17E-5</v>
      </c>
    </row>
    <row r="11" ht="14.25" customHeight="1">
      <c r="A11" s="48" t="s">
        <v>319</v>
      </c>
      <c r="B11" s="52">
        <v>5.61E-6</v>
      </c>
      <c r="C11" s="53">
        <v>9.56E-6</v>
      </c>
      <c r="D11" s="53">
        <v>3.53E-6</v>
      </c>
      <c r="E11" s="53">
        <v>1.32E-5</v>
      </c>
      <c r="F11" s="53">
        <v>8.18E-6</v>
      </c>
      <c r="G11" s="53">
        <v>1.9E-5</v>
      </c>
      <c r="H11" s="53">
        <v>6.45E-5</v>
      </c>
      <c r="I11" s="53">
        <v>7.95E-7</v>
      </c>
      <c r="J11" s="53">
        <v>7.68E-6</v>
      </c>
      <c r="K11" s="53">
        <v>1.03E-5</v>
      </c>
      <c r="L11" s="53">
        <v>2.14E-5</v>
      </c>
      <c r="M11" s="54">
        <v>6.85E-6</v>
      </c>
    </row>
    <row r="12" ht="14.25" customHeight="1">
      <c r="A12" s="48" t="s">
        <v>320</v>
      </c>
      <c r="B12" s="52">
        <v>6.3E-6</v>
      </c>
      <c r="C12" s="53">
        <v>1.79E-5</v>
      </c>
      <c r="D12" s="53">
        <v>1.38E-5</v>
      </c>
      <c r="E12" s="53">
        <v>1.51E-5</v>
      </c>
      <c r="F12" s="53">
        <v>2.5E-6</v>
      </c>
      <c r="G12" s="53">
        <v>1.92E-5</v>
      </c>
      <c r="H12" s="53">
        <v>6.23E-5</v>
      </c>
      <c r="I12" s="53">
        <v>1.74E-6</v>
      </c>
      <c r="J12" s="53">
        <v>5.52E-6</v>
      </c>
      <c r="K12" s="53">
        <v>1.53E-5</v>
      </c>
      <c r="L12" s="53">
        <v>1.73E-5</v>
      </c>
      <c r="M12" s="54">
        <v>7.74E-6</v>
      </c>
    </row>
    <row r="13" ht="14.25" customHeight="1">
      <c r="A13" s="48" t="s">
        <v>321</v>
      </c>
      <c r="B13" s="52">
        <v>1.34E-5</v>
      </c>
      <c r="C13" s="53">
        <v>2.26E-5</v>
      </c>
      <c r="D13" s="53">
        <v>8.14E-6</v>
      </c>
      <c r="E13" s="53">
        <v>9.45E-6</v>
      </c>
      <c r="F13" s="53">
        <v>2.86E-6</v>
      </c>
      <c r="G13" s="53">
        <v>2.09E-5</v>
      </c>
      <c r="H13" s="53">
        <v>5.91E-5</v>
      </c>
      <c r="I13" s="53">
        <v>4.6E-6</v>
      </c>
      <c r="J13" s="53">
        <v>6.76E-6</v>
      </c>
      <c r="K13" s="53">
        <v>2.65E-6</v>
      </c>
      <c r="L13" s="53">
        <v>1.25E-5</v>
      </c>
      <c r="M13" s="54">
        <v>7.84E-6</v>
      </c>
    </row>
    <row r="14" ht="14.25" customHeight="1">
      <c r="A14" s="48" t="s">
        <v>322</v>
      </c>
      <c r="B14" s="52">
        <v>1.88E-6</v>
      </c>
      <c r="C14" s="53">
        <v>1.89E-5</v>
      </c>
      <c r="D14" s="53">
        <v>5.72E-6</v>
      </c>
      <c r="E14" s="53">
        <v>7.37E-6</v>
      </c>
      <c r="F14" s="53">
        <v>8.25E-6</v>
      </c>
      <c r="G14" s="53">
        <v>1.12E-5</v>
      </c>
      <c r="H14" s="53">
        <v>6.92E-5</v>
      </c>
      <c r="I14" s="53">
        <v>1.91E-6</v>
      </c>
      <c r="J14" s="53">
        <v>9.41E-6</v>
      </c>
      <c r="K14" s="53">
        <v>9.16E-6</v>
      </c>
      <c r="L14" s="53">
        <v>6.8E-6</v>
      </c>
      <c r="M14" s="54">
        <v>6.06E-6</v>
      </c>
    </row>
    <row r="15" ht="14.25" customHeight="1">
      <c r="A15" s="48" t="s">
        <v>323</v>
      </c>
      <c r="B15" s="52">
        <v>6.93E-6</v>
      </c>
      <c r="C15" s="53">
        <v>1.81E-5</v>
      </c>
      <c r="D15" s="53">
        <v>3.59E-6</v>
      </c>
      <c r="E15" s="53">
        <v>1.75E-5</v>
      </c>
      <c r="F15" s="53">
        <v>5.39E-6</v>
      </c>
      <c r="G15" s="53">
        <v>1.25E-5</v>
      </c>
      <c r="H15" s="53">
        <v>8.84E-5</v>
      </c>
      <c r="I15" s="53">
        <v>2.27E-6</v>
      </c>
      <c r="J15" s="53">
        <v>9.03E-6</v>
      </c>
      <c r="K15" s="53">
        <v>4.69E-6</v>
      </c>
      <c r="L15" s="53">
        <v>1.62E-5</v>
      </c>
      <c r="M15" s="54">
        <v>1.1E-5</v>
      </c>
    </row>
    <row r="16" ht="14.25" customHeight="1">
      <c r="A16" s="48" t="s">
        <v>324</v>
      </c>
      <c r="B16" s="52">
        <v>5.66E-6</v>
      </c>
      <c r="C16" s="53">
        <v>2.19E-5</v>
      </c>
      <c r="D16" s="53">
        <v>8.75E-6</v>
      </c>
      <c r="E16" s="53">
        <v>1.48E-5</v>
      </c>
      <c r="F16" s="53">
        <v>1.19E-6</v>
      </c>
      <c r="G16" s="53">
        <v>1.72E-5</v>
      </c>
      <c r="H16" s="53">
        <v>8.56E-5</v>
      </c>
      <c r="I16" s="53">
        <v>3.11E-6</v>
      </c>
      <c r="J16" s="53">
        <v>5.6E-6</v>
      </c>
      <c r="K16" s="53">
        <v>5.31E-6</v>
      </c>
      <c r="L16" s="53">
        <v>1.54E-5</v>
      </c>
      <c r="M16" s="54">
        <v>1.07E-5</v>
      </c>
    </row>
    <row r="17" ht="14.25" customHeight="1">
      <c r="A17" s="48" t="s">
        <v>325</v>
      </c>
      <c r="B17" s="52">
        <v>1.06E-5</v>
      </c>
      <c r="C17" s="53">
        <v>4.2E-5</v>
      </c>
      <c r="D17" s="53">
        <v>4.9100000000000004E-6</v>
      </c>
      <c r="E17" s="53">
        <v>1.3E-5</v>
      </c>
      <c r="F17" s="53">
        <v>4.29E-6</v>
      </c>
      <c r="G17" s="53">
        <v>9.42E-6</v>
      </c>
      <c r="H17" s="53">
        <v>5.99E-5</v>
      </c>
      <c r="I17" s="53">
        <v>2.18E-6</v>
      </c>
      <c r="J17" s="53">
        <v>7.5E-6</v>
      </c>
      <c r="K17" s="53">
        <v>1.45E-6</v>
      </c>
      <c r="L17" s="53">
        <v>7.88E-6</v>
      </c>
      <c r="M17" s="54">
        <v>8.29E-6</v>
      </c>
    </row>
    <row r="18" ht="14.25" customHeight="1">
      <c r="A18" s="48" t="s">
        <v>326</v>
      </c>
      <c r="B18" s="55">
        <v>4.61E-6</v>
      </c>
      <c r="C18" s="56">
        <v>3.39E-5</v>
      </c>
      <c r="D18" s="56">
        <v>6.91E-6</v>
      </c>
      <c r="E18" s="56">
        <v>7.15E-6</v>
      </c>
      <c r="F18" s="56">
        <v>3.82E-6</v>
      </c>
      <c r="G18" s="56">
        <v>1.0E-5</v>
      </c>
      <c r="H18" s="56">
        <v>8.76E-5</v>
      </c>
      <c r="I18" s="56">
        <v>4.41E-6</v>
      </c>
      <c r="J18" s="56">
        <v>6.17E-6</v>
      </c>
      <c r="K18" s="56">
        <v>2.83E-6</v>
      </c>
      <c r="L18" s="56">
        <v>7.72E-6</v>
      </c>
      <c r="M18" s="57">
        <v>5.05E-6</v>
      </c>
    </row>
    <row r="19" ht="14.25" customHeight="1">
      <c r="A19" s="48"/>
      <c r="B19" s="21"/>
      <c r="C19" s="21"/>
      <c r="D19" s="21"/>
      <c r="E19" s="21"/>
      <c r="F19" s="21"/>
      <c r="G19" s="21"/>
      <c r="H19" s="21"/>
      <c r="I19" s="21"/>
      <c r="J19" s="21"/>
      <c r="K19" s="21"/>
      <c r="L19" s="21"/>
      <c r="M19" s="21"/>
    </row>
    <row r="20" ht="14.25" customHeight="1">
      <c r="A20" s="46" t="s">
        <v>327</v>
      </c>
      <c r="B20" s="47"/>
      <c r="C20" s="47"/>
      <c r="D20" s="47"/>
      <c r="E20" s="47"/>
      <c r="F20" s="47"/>
      <c r="G20" s="47"/>
      <c r="H20" s="47"/>
      <c r="I20" s="47"/>
      <c r="J20" s="47"/>
      <c r="K20" s="47"/>
      <c r="L20" s="47"/>
      <c r="M20" s="47"/>
    </row>
    <row r="21" ht="14.25" customHeight="1">
      <c r="A21" s="48"/>
      <c r="B21" s="48" t="s">
        <v>299</v>
      </c>
      <c r="C21" s="48" t="s">
        <v>300</v>
      </c>
      <c r="D21" s="48" t="s">
        <v>301</v>
      </c>
      <c r="E21" s="48" t="s">
        <v>302</v>
      </c>
      <c r="F21" s="48" t="s">
        <v>303</v>
      </c>
      <c r="G21" s="48" t="s">
        <v>304</v>
      </c>
      <c r="H21" s="48" t="s">
        <v>305</v>
      </c>
      <c r="I21" s="48" t="s">
        <v>306</v>
      </c>
      <c r="J21" s="48" t="s">
        <v>307</v>
      </c>
      <c r="K21" s="48" t="s">
        <v>308</v>
      </c>
      <c r="L21" s="48" t="s">
        <v>309</v>
      </c>
      <c r="M21" s="48" t="s">
        <v>310</v>
      </c>
    </row>
    <row r="22" ht="14.25" customHeight="1">
      <c r="A22" s="48" t="s">
        <v>311</v>
      </c>
      <c r="B22" s="49">
        <v>3.99E-6</v>
      </c>
      <c r="C22" s="50">
        <v>3.78E-6</v>
      </c>
      <c r="D22" s="50">
        <v>1.74E-6</v>
      </c>
      <c r="E22" s="50">
        <v>1.07E-5</v>
      </c>
      <c r="F22" s="50">
        <v>3.16E-6</v>
      </c>
      <c r="G22" s="50">
        <v>4.1E-6</v>
      </c>
      <c r="H22" s="50">
        <v>7.46E-5</v>
      </c>
      <c r="I22" s="50">
        <v>3.24E-6</v>
      </c>
      <c r="J22" s="50">
        <v>4.25E-6</v>
      </c>
      <c r="K22" s="50">
        <v>3.23E-6</v>
      </c>
      <c r="L22" s="50">
        <v>1.42E-5</v>
      </c>
      <c r="M22" s="51">
        <v>4.02E-6</v>
      </c>
    </row>
    <row r="23" ht="14.25" customHeight="1">
      <c r="A23" s="48" t="s">
        <v>312</v>
      </c>
      <c r="B23" s="52">
        <v>3.86E-6</v>
      </c>
      <c r="C23" s="53">
        <v>2.8E-6</v>
      </c>
      <c r="D23" s="53">
        <v>5.76E-6</v>
      </c>
      <c r="E23" s="53">
        <v>6.86E-6</v>
      </c>
      <c r="F23" s="53">
        <v>2.72E-6</v>
      </c>
      <c r="G23" s="53">
        <v>6.41E-6</v>
      </c>
      <c r="H23" s="53">
        <v>1.17356E-4</v>
      </c>
      <c r="I23" s="53">
        <v>1.76E-6</v>
      </c>
      <c r="J23" s="53">
        <v>3.84E-6</v>
      </c>
      <c r="K23" s="53">
        <v>4.37E-6</v>
      </c>
      <c r="L23" s="53">
        <v>1.05E-5</v>
      </c>
      <c r="M23" s="54">
        <v>1.19E-6</v>
      </c>
    </row>
    <row r="24" ht="14.25" customHeight="1">
      <c r="A24" s="48" t="s">
        <v>313</v>
      </c>
      <c r="B24" s="52">
        <v>6.48E-6</v>
      </c>
      <c r="C24" s="53">
        <v>6.7E-6</v>
      </c>
      <c r="D24" s="53">
        <v>2.85E-6</v>
      </c>
      <c r="E24" s="53">
        <v>8.15E-6</v>
      </c>
      <c r="F24" s="53">
        <v>2.22E-6</v>
      </c>
      <c r="G24" s="53">
        <v>4.5E-6</v>
      </c>
      <c r="H24" s="53">
        <v>5.94E-5</v>
      </c>
      <c r="I24" s="53">
        <v>3.09E-6</v>
      </c>
      <c r="J24" s="53">
        <v>3.4E-6</v>
      </c>
      <c r="K24" s="53">
        <v>3.13E-6</v>
      </c>
      <c r="L24" s="53">
        <v>7.53E-6</v>
      </c>
      <c r="M24" s="54">
        <v>9.06E-7</v>
      </c>
    </row>
    <row r="25" ht="14.25" customHeight="1">
      <c r="A25" s="48" t="s">
        <v>314</v>
      </c>
      <c r="B25" s="52">
        <v>2.83E-6</v>
      </c>
      <c r="C25" s="53">
        <v>6.04E-6</v>
      </c>
      <c r="D25" s="53">
        <v>7.41E-6</v>
      </c>
      <c r="E25" s="53">
        <v>7.97E-6</v>
      </c>
      <c r="F25" s="53">
        <v>3.68E-6</v>
      </c>
      <c r="G25" s="53">
        <v>5.28E-6</v>
      </c>
      <c r="H25" s="53">
        <v>8.7E-5</v>
      </c>
      <c r="I25" s="53">
        <v>4.64E-6</v>
      </c>
      <c r="J25" s="53">
        <v>4.56E-6</v>
      </c>
      <c r="K25" s="53">
        <v>2.79E-6</v>
      </c>
      <c r="L25" s="53">
        <v>4.12E-6</v>
      </c>
      <c r="M25" s="54">
        <v>1.55E-6</v>
      </c>
    </row>
    <row r="26" ht="14.25" customHeight="1">
      <c r="A26" s="48" t="s">
        <v>315</v>
      </c>
      <c r="B26" s="52">
        <v>6.06E-6</v>
      </c>
      <c r="C26" s="53">
        <v>7.0E-6</v>
      </c>
      <c r="D26" s="53">
        <v>2.7E-6</v>
      </c>
      <c r="E26" s="53">
        <v>1.04E-5</v>
      </c>
      <c r="F26" s="53">
        <v>1.47E-5</v>
      </c>
      <c r="G26" s="53">
        <v>7.33E-6</v>
      </c>
      <c r="H26" s="53">
        <v>6.1E-5</v>
      </c>
      <c r="I26" s="53">
        <v>5.18E-6</v>
      </c>
      <c r="J26" s="53">
        <v>5.83E-6</v>
      </c>
      <c r="K26" s="53">
        <v>7.02E-6</v>
      </c>
      <c r="L26" s="53">
        <v>1.55E-5</v>
      </c>
      <c r="M26" s="54">
        <v>1.47E-5</v>
      </c>
    </row>
    <row r="27" ht="14.25" customHeight="1">
      <c r="A27" s="48" t="s">
        <v>316</v>
      </c>
      <c r="B27" s="52">
        <v>3.55E-6</v>
      </c>
      <c r="C27" s="53">
        <v>9.39E-6</v>
      </c>
      <c r="D27" s="53">
        <v>6.8E-6</v>
      </c>
      <c r="E27" s="53">
        <v>3.86E-6</v>
      </c>
      <c r="F27" s="53">
        <v>1.07E-6</v>
      </c>
      <c r="G27" s="53">
        <v>6.92E-6</v>
      </c>
      <c r="H27" s="53">
        <v>5.25E-5</v>
      </c>
      <c r="I27" s="53">
        <v>1.14E-6</v>
      </c>
      <c r="J27" s="53">
        <v>7.71E-6</v>
      </c>
      <c r="K27" s="53">
        <v>9.01E-6</v>
      </c>
      <c r="L27" s="53">
        <v>8.0E-6</v>
      </c>
      <c r="M27" s="54">
        <v>1.16E-5</v>
      </c>
    </row>
    <row r="28" ht="14.25" customHeight="1">
      <c r="A28" s="48" t="s">
        <v>317</v>
      </c>
      <c r="B28" s="52">
        <v>5.75E-6</v>
      </c>
      <c r="C28" s="53">
        <v>8.16E-6</v>
      </c>
      <c r="D28" s="53">
        <v>1.73E-6</v>
      </c>
      <c r="E28" s="53">
        <v>1.52E-5</v>
      </c>
      <c r="F28" s="53">
        <v>2.14E-6</v>
      </c>
      <c r="G28" s="53">
        <v>5.74E-6</v>
      </c>
      <c r="H28" s="53">
        <v>2.88E-5</v>
      </c>
      <c r="I28" s="53">
        <v>1.62E-6</v>
      </c>
      <c r="J28" s="53">
        <v>2.52E-6</v>
      </c>
      <c r="K28" s="53">
        <v>1.2E-6</v>
      </c>
      <c r="L28" s="53">
        <v>7.68E-6</v>
      </c>
      <c r="M28" s="54">
        <v>7.11E-6</v>
      </c>
    </row>
    <row r="29" ht="14.25" customHeight="1">
      <c r="A29" s="48" t="s">
        <v>318</v>
      </c>
      <c r="B29" s="52">
        <v>9.97E-6</v>
      </c>
      <c r="C29" s="53">
        <v>9.77E-6</v>
      </c>
      <c r="D29" s="53">
        <v>7.03E-6</v>
      </c>
      <c r="E29" s="53">
        <v>4.63E-6</v>
      </c>
      <c r="F29" s="53">
        <v>4.94E-6</v>
      </c>
      <c r="G29" s="53">
        <v>8.74E-6</v>
      </c>
      <c r="H29" s="53">
        <v>5.15E-5</v>
      </c>
      <c r="I29" s="53">
        <v>1.88E-5</v>
      </c>
      <c r="J29" s="53">
        <v>8.71E-6</v>
      </c>
      <c r="K29" s="53">
        <v>7.0E-6</v>
      </c>
      <c r="L29" s="53">
        <v>8.83E-6</v>
      </c>
      <c r="M29" s="54">
        <v>5.69E-6</v>
      </c>
    </row>
    <row r="30" ht="14.25" customHeight="1">
      <c r="A30" s="48" t="s">
        <v>319</v>
      </c>
      <c r="B30" s="52">
        <v>4.62E-6</v>
      </c>
      <c r="C30" s="53">
        <v>5.75E-6</v>
      </c>
      <c r="D30" s="53">
        <v>1.88E-6</v>
      </c>
      <c r="E30" s="53">
        <v>7.73E-6</v>
      </c>
      <c r="F30" s="53">
        <v>2.83E-6</v>
      </c>
      <c r="G30" s="53">
        <v>1.29E-5</v>
      </c>
      <c r="H30" s="53">
        <v>5.35E-5</v>
      </c>
      <c r="I30" s="53">
        <v>8.44E-7</v>
      </c>
      <c r="J30" s="53">
        <v>5.35E-6</v>
      </c>
      <c r="K30" s="53">
        <v>4.17E-6</v>
      </c>
      <c r="L30" s="53">
        <v>1.04E-5</v>
      </c>
      <c r="M30" s="54">
        <v>4.6E-6</v>
      </c>
    </row>
    <row r="31" ht="14.25" customHeight="1">
      <c r="A31" s="48" t="s">
        <v>320</v>
      </c>
      <c r="B31" s="52">
        <v>4.31E-6</v>
      </c>
      <c r="C31" s="53">
        <v>8.81E-6</v>
      </c>
      <c r="D31" s="53">
        <v>7.41E-6</v>
      </c>
      <c r="E31" s="53">
        <v>9.35E-6</v>
      </c>
      <c r="F31" s="53">
        <v>4.77E-7</v>
      </c>
      <c r="G31" s="53">
        <v>1.14E-5</v>
      </c>
      <c r="H31" s="53">
        <v>3.97E-5</v>
      </c>
      <c r="I31" s="53">
        <v>3.06E-6</v>
      </c>
      <c r="J31" s="53">
        <v>5.08E-6</v>
      </c>
      <c r="K31" s="53">
        <v>9.31E-6</v>
      </c>
      <c r="L31" s="53">
        <v>7.81E-6</v>
      </c>
      <c r="M31" s="54">
        <v>5.26E-6</v>
      </c>
    </row>
    <row r="32" ht="14.25" customHeight="1">
      <c r="A32" s="48" t="s">
        <v>321</v>
      </c>
      <c r="B32" s="52">
        <v>7.2E-6</v>
      </c>
      <c r="C32" s="53">
        <v>1.24E-5</v>
      </c>
      <c r="D32" s="53">
        <v>5.34E-6</v>
      </c>
      <c r="E32" s="53">
        <v>1.27E-5</v>
      </c>
      <c r="F32" s="53">
        <v>9.17E-7</v>
      </c>
      <c r="G32" s="53">
        <v>8.62E-6</v>
      </c>
      <c r="H32" s="53">
        <v>3.75E-5</v>
      </c>
      <c r="I32" s="53">
        <v>2.52E-6</v>
      </c>
      <c r="J32" s="53">
        <v>2.44E-6</v>
      </c>
      <c r="K32" s="53">
        <v>2.63E-6</v>
      </c>
      <c r="L32" s="53">
        <v>6.03E-6</v>
      </c>
      <c r="M32" s="54">
        <v>7.16E-6</v>
      </c>
    </row>
    <row r="33" ht="14.25" customHeight="1">
      <c r="A33" s="48" t="s">
        <v>322</v>
      </c>
      <c r="B33" s="52">
        <v>1.07E-6</v>
      </c>
      <c r="C33" s="53">
        <v>1.0E-5</v>
      </c>
      <c r="D33" s="53">
        <v>3.66E-6</v>
      </c>
      <c r="E33" s="53">
        <v>3.42E-6</v>
      </c>
      <c r="F33" s="53">
        <v>1.74E-6</v>
      </c>
      <c r="G33" s="53">
        <v>5.93E-6</v>
      </c>
      <c r="H33" s="53">
        <v>5.56E-5</v>
      </c>
      <c r="I33" s="53">
        <v>2.3E-6</v>
      </c>
      <c r="J33" s="53">
        <v>6.91E-6</v>
      </c>
      <c r="K33" s="53">
        <v>5.07E-6</v>
      </c>
      <c r="L33" s="53">
        <v>3.85E-6</v>
      </c>
      <c r="M33" s="54">
        <v>4.12E-6</v>
      </c>
    </row>
    <row r="34" ht="14.25" customHeight="1">
      <c r="A34" s="48" t="s">
        <v>323</v>
      </c>
      <c r="B34" s="52">
        <v>3.58E-6</v>
      </c>
      <c r="C34" s="53">
        <v>9.97E-6</v>
      </c>
      <c r="D34" s="53">
        <v>2.69E-6</v>
      </c>
      <c r="E34" s="53">
        <v>9.44E-6</v>
      </c>
      <c r="F34" s="53">
        <v>2.59E-6</v>
      </c>
      <c r="G34" s="53">
        <v>4.57E-6</v>
      </c>
      <c r="H34" s="53">
        <v>7.01E-5</v>
      </c>
      <c r="I34" s="53">
        <v>2.11E-6</v>
      </c>
      <c r="J34" s="53">
        <v>3.91E-6</v>
      </c>
      <c r="K34" s="53">
        <v>3.11E-6</v>
      </c>
      <c r="L34" s="53">
        <v>8.01E-6</v>
      </c>
      <c r="M34" s="54">
        <v>6.74E-6</v>
      </c>
    </row>
    <row r="35" ht="14.25" customHeight="1">
      <c r="A35" s="48" t="s">
        <v>324</v>
      </c>
      <c r="B35" s="52">
        <v>3.65E-6</v>
      </c>
      <c r="C35" s="53">
        <v>1.07E-5</v>
      </c>
      <c r="D35" s="53">
        <v>8.24E-6</v>
      </c>
      <c r="E35" s="53">
        <v>8.61E-6</v>
      </c>
      <c r="F35" s="53">
        <v>7.45E-7</v>
      </c>
      <c r="G35" s="53">
        <v>3.95E-6</v>
      </c>
      <c r="H35" s="53">
        <v>7.38E-5</v>
      </c>
      <c r="I35" s="53">
        <v>1.89E-6</v>
      </c>
      <c r="J35" s="53">
        <v>3.7E-6</v>
      </c>
      <c r="K35" s="53">
        <v>3.35E-6</v>
      </c>
      <c r="L35" s="53">
        <v>9.64E-6</v>
      </c>
      <c r="M35" s="54">
        <v>6.85E-6</v>
      </c>
    </row>
    <row r="36" ht="14.25" customHeight="1">
      <c r="A36" s="48" t="s">
        <v>325</v>
      </c>
      <c r="B36" s="52">
        <v>8.36E-6</v>
      </c>
      <c r="C36" s="53">
        <v>2.43E-5</v>
      </c>
      <c r="D36" s="53">
        <v>2.8E-6</v>
      </c>
      <c r="E36" s="53">
        <v>9.49E-6</v>
      </c>
      <c r="F36" s="53">
        <v>1.74E-6</v>
      </c>
      <c r="G36" s="53">
        <v>8.09E-6</v>
      </c>
      <c r="H36" s="53">
        <v>4.58E-5</v>
      </c>
      <c r="I36" s="53">
        <v>2.01E-6</v>
      </c>
      <c r="J36" s="53">
        <v>5.47E-6</v>
      </c>
      <c r="K36" s="53">
        <v>9.27E-7</v>
      </c>
      <c r="L36" s="53">
        <v>5.57E-6</v>
      </c>
      <c r="M36" s="54">
        <v>5.35E-6</v>
      </c>
    </row>
    <row r="37" ht="14.25" customHeight="1">
      <c r="A37" s="48" t="s">
        <v>326</v>
      </c>
      <c r="B37" s="55">
        <v>2.06E-6</v>
      </c>
      <c r="C37" s="56">
        <v>1.84E-5</v>
      </c>
      <c r="D37" s="56">
        <v>3.94E-6</v>
      </c>
      <c r="E37" s="56">
        <v>4.97E-6</v>
      </c>
      <c r="F37" s="56">
        <v>3.78E-6</v>
      </c>
      <c r="G37" s="56">
        <v>6.51E-6</v>
      </c>
      <c r="H37" s="56">
        <v>6.92E-5</v>
      </c>
      <c r="I37" s="56">
        <v>2.6E-6</v>
      </c>
      <c r="J37" s="56">
        <v>4.68E-6</v>
      </c>
      <c r="K37" s="56">
        <v>2.08E-6</v>
      </c>
      <c r="L37" s="56">
        <v>4.2E-6</v>
      </c>
      <c r="M37" s="57">
        <v>2.74E-6</v>
      </c>
    </row>
    <row r="38" ht="14.25" customHeight="1">
      <c r="A38" s="48"/>
      <c r="B38" s="53"/>
      <c r="C38" s="53"/>
      <c r="D38" s="53"/>
      <c r="E38" s="53"/>
      <c r="F38" s="53"/>
      <c r="G38" s="53"/>
      <c r="H38" s="53"/>
      <c r="I38" s="53"/>
      <c r="J38" s="53"/>
      <c r="K38" s="53"/>
      <c r="L38" s="53"/>
      <c r="M38" s="53"/>
    </row>
    <row r="39" ht="14.25" customHeight="1">
      <c r="A39" s="46" t="s">
        <v>328</v>
      </c>
      <c r="B39" s="47"/>
      <c r="C39" s="47"/>
      <c r="D39" s="47"/>
      <c r="E39" s="47"/>
      <c r="F39" s="47"/>
      <c r="G39" s="47"/>
      <c r="H39" s="47"/>
      <c r="I39" s="47"/>
      <c r="J39" s="47"/>
      <c r="K39" s="47"/>
      <c r="L39" s="47"/>
      <c r="M39" s="47"/>
    </row>
    <row r="40" ht="14.25" customHeight="1">
      <c r="A40" s="48"/>
      <c r="B40" s="48" t="s">
        <v>299</v>
      </c>
      <c r="C40" s="48" t="s">
        <v>300</v>
      </c>
      <c r="D40" s="48" t="s">
        <v>301</v>
      </c>
      <c r="E40" s="48" t="s">
        <v>302</v>
      </c>
      <c r="F40" s="48" t="s">
        <v>303</v>
      </c>
      <c r="G40" s="48" t="s">
        <v>304</v>
      </c>
      <c r="H40" s="48" t="s">
        <v>305</v>
      </c>
      <c r="I40" s="48" t="s">
        <v>306</v>
      </c>
      <c r="J40" s="48" t="s">
        <v>307</v>
      </c>
      <c r="K40" s="48" t="s">
        <v>308</v>
      </c>
      <c r="L40" s="48" t="s">
        <v>309</v>
      </c>
      <c r="M40" s="48" t="s">
        <v>310</v>
      </c>
    </row>
    <row r="41" ht="14.25" customHeight="1">
      <c r="A41" s="48" t="s">
        <v>311</v>
      </c>
      <c r="B41" s="49">
        <v>4.88E-6</v>
      </c>
      <c r="C41" s="50">
        <v>3.41E-6</v>
      </c>
      <c r="D41" s="50">
        <v>2.14E-6</v>
      </c>
      <c r="E41" s="50">
        <v>1.25E-5</v>
      </c>
      <c r="F41" s="50">
        <v>3.57E-6</v>
      </c>
      <c r="G41" s="50">
        <v>7.35E-6</v>
      </c>
      <c r="H41" s="50">
        <v>5.85E-5</v>
      </c>
      <c r="I41" s="50">
        <v>7.79E-6</v>
      </c>
      <c r="J41" s="50">
        <v>5.78E-6</v>
      </c>
      <c r="K41" s="50">
        <v>4.25E-6</v>
      </c>
      <c r="L41" s="50">
        <v>1.13E-5</v>
      </c>
      <c r="M41" s="51">
        <v>4.05E-6</v>
      </c>
    </row>
    <row r="42" ht="14.25" customHeight="1">
      <c r="A42" s="48" t="s">
        <v>312</v>
      </c>
      <c r="B42" s="52">
        <v>2.54E-6</v>
      </c>
      <c r="C42" s="53">
        <v>1.39E-6</v>
      </c>
      <c r="D42" s="53">
        <v>9.47E-6</v>
      </c>
      <c r="E42" s="53">
        <v>4.82E-6</v>
      </c>
      <c r="F42" s="53">
        <v>7.26E-6</v>
      </c>
      <c r="G42" s="53">
        <v>9.09E-6</v>
      </c>
      <c r="H42" s="53">
        <v>8.88E-5</v>
      </c>
      <c r="I42" s="53">
        <v>4.14E-6</v>
      </c>
      <c r="J42" s="53">
        <v>6.6E-6</v>
      </c>
      <c r="K42" s="53">
        <v>9.4E-6</v>
      </c>
      <c r="L42" s="53">
        <v>9.23E-6</v>
      </c>
      <c r="M42" s="54">
        <v>1.18E-6</v>
      </c>
    </row>
    <row r="43" ht="14.25" customHeight="1">
      <c r="A43" s="48" t="s">
        <v>313</v>
      </c>
      <c r="B43" s="52">
        <v>5.86E-6</v>
      </c>
      <c r="C43" s="53">
        <v>8.78E-6</v>
      </c>
      <c r="D43" s="53">
        <v>5.75E-6</v>
      </c>
      <c r="E43" s="53">
        <v>7.22E-6</v>
      </c>
      <c r="F43" s="53">
        <v>1.39E-6</v>
      </c>
      <c r="G43" s="53">
        <v>5.27E-6</v>
      </c>
      <c r="H43" s="53">
        <v>4.55E-5</v>
      </c>
      <c r="I43" s="53">
        <v>7.33E-6</v>
      </c>
      <c r="J43" s="53">
        <v>3.41E-6</v>
      </c>
      <c r="K43" s="53">
        <v>1.89E-6</v>
      </c>
      <c r="L43" s="53">
        <v>7.95E-6</v>
      </c>
      <c r="M43" s="54">
        <v>1.9E-6</v>
      </c>
    </row>
    <row r="44" ht="14.25" customHeight="1">
      <c r="A44" s="48" t="s">
        <v>314</v>
      </c>
      <c r="B44" s="52">
        <v>1.63E-5</v>
      </c>
      <c r="C44" s="53">
        <v>6.67E-6</v>
      </c>
      <c r="D44" s="53">
        <v>9.63E-6</v>
      </c>
      <c r="E44" s="53">
        <v>8.32E-6</v>
      </c>
      <c r="F44" s="53">
        <v>6.53E-6</v>
      </c>
      <c r="G44" s="53">
        <v>8.79E-6</v>
      </c>
      <c r="H44" s="53">
        <v>5.5E-5</v>
      </c>
      <c r="I44" s="53">
        <v>8.68E-6</v>
      </c>
      <c r="J44" s="53">
        <v>6.96E-6</v>
      </c>
      <c r="K44" s="53">
        <v>4.36E-6</v>
      </c>
      <c r="L44" s="53">
        <v>6.08E-6</v>
      </c>
      <c r="M44" s="54">
        <v>2.93E-6</v>
      </c>
    </row>
    <row r="45" ht="14.25" customHeight="1">
      <c r="A45" s="48" t="s">
        <v>315</v>
      </c>
      <c r="B45" s="52">
        <v>9.21E-6</v>
      </c>
      <c r="C45" s="53">
        <v>7.94E-6</v>
      </c>
      <c r="D45" s="53">
        <v>4.77E-6</v>
      </c>
      <c r="E45" s="53">
        <v>1.04E-5</v>
      </c>
      <c r="F45" s="53">
        <v>4.57E-6</v>
      </c>
      <c r="G45" s="53">
        <v>8.0E-6</v>
      </c>
      <c r="H45" s="53">
        <v>4.87E-5</v>
      </c>
      <c r="I45" s="53">
        <v>1.72E-6</v>
      </c>
      <c r="J45" s="53">
        <v>8.04E-6</v>
      </c>
      <c r="K45" s="53">
        <v>4.24E-6</v>
      </c>
      <c r="L45" s="53">
        <v>1.39E-5</v>
      </c>
      <c r="M45" s="54">
        <v>1.03E-5</v>
      </c>
    </row>
    <row r="46" ht="14.25" customHeight="1">
      <c r="A46" s="48" t="s">
        <v>316</v>
      </c>
      <c r="B46" s="52">
        <v>9.33E-6</v>
      </c>
      <c r="C46" s="53">
        <v>9.77E-6</v>
      </c>
      <c r="D46" s="53">
        <v>1.04E-5</v>
      </c>
      <c r="E46" s="53">
        <v>1.85E-5</v>
      </c>
      <c r="F46" s="53">
        <v>4.35E-6</v>
      </c>
      <c r="G46" s="53">
        <v>2.37E-5</v>
      </c>
      <c r="H46" s="53">
        <v>3.39E-5</v>
      </c>
      <c r="I46" s="53">
        <v>9.13E-7</v>
      </c>
      <c r="J46" s="53">
        <v>6.5E-6</v>
      </c>
      <c r="K46" s="53">
        <v>1.42E-5</v>
      </c>
      <c r="L46" s="53">
        <v>1.17E-5</v>
      </c>
      <c r="M46" s="54">
        <v>1.28E-5</v>
      </c>
    </row>
    <row r="47" ht="14.25" customHeight="1">
      <c r="A47" s="48" t="s">
        <v>317</v>
      </c>
      <c r="B47" s="52">
        <v>4.95E-6</v>
      </c>
      <c r="C47" s="53">
        <v>1.38E-5</v>
      </c>
      <c r="D47" s="53">
        <v>1.19E-6</v>
      </c>
      <c r="E47" s="53">
        <v>1.04E-5</v>
      </c>
      <c r="F47" s="53">
        <v>4.34E-6</v>
      </c>
      <c r="G47" s="53">
        <v>5.6E-6</v>
      </c>
      <c r="H47" s="53">
        <v>3.65E-5</v>
      </c>
      <c r="I47" s="53">
        <v>1.01E-5</v>
      </c>
      <c r="J47" s="53">
        <v>5.96E-6</v>
      </c>
      <c r="K47" s="53">
        <v>2.7E-6</v>
      </c>
      <c r="L47" s="53">
        <v>1.31E-5</v>
      </c>
      <c r="M47" s="54">
        <v>7.35E-6</v>
      </c>
    </row>
    <row r="48" ht="14.25" customHeight="1">
      <c r="A48" s="48" t="s">
        <v>318</v>
      </c>
      <c r="B48" s="52">
        <v>9.39E-6</v>
      </c>
      <c r="C48" s="53">
        <v>7.88E-6</v>
      </c>
      <c r="D48" s="53">
        <v>1.57E-5</v>
      </c>
      <c r="E48" s="53">
        <v>9.09E-6</v>
      </c>
      <c r="F48" s="53">
        <v>5.74E-6</v>
      </c>
      <c r="G48" s="53">
        <v>1.26E-5</v>
      </c>
      <c r="H48" s="53">
        <v>3.73E-5</v>
      </c>
      <c r="I48" s="53">
        <v>1.14E-5</v>
      </c>
      <c r="J48" s="53">
        <v>5.69E-6</v>
      </c>
      <c r="K48" s="53">
        <v>4.56E-6</v>
      </c>
      <c r="L48" s="53">
        <v>8.25E-6</v>
      </c>
      <c r="M48" s="54">
        <v>8.15E-6</v>
      </c>
    </row>
    <row r="49" ht="14.25" customHeight="1">
      <c r="A49" s="48" t="s">
        <v>319</v>
      </c>
      <c r="B49" s="52">
        <v>4.07E-6</v>
      </c>
      <c r="C49" s="53">
        <v>5.37E-6</v>
      </c>
      <c r="D49" s="53">
        <v>5.03E-6</v>
      </c>
      <c r="E49" s="53">
        <v>9.04E-6</v>
      </c>
      <c r="F49" s="53">
        <v>6.98E-7</v>
      </c>
      <c r="G49" s="53">
        <v>1.36E-5</v>
      </c>
      <c r="H49" s="53">
        <v>4.2E-5</v>
      </c>
      <c r="I49" s="53">
        <v>2.14E-7</v>
      </c>
      <c r="J49" s="53">
        <v>6.34E-6</v>
      </c>
      <c r="K49" s="53">
        <v>4.98E-6</v>
      </c>
      <c r="L49" s="53">
        <v>9.25E-6</v>
      </c>
      <c r="M49" s="54">
        <v>6.07E-6</v>
      </c>
    </row>
    <row r="50" ht="14.25" customHeight="1">
      <c r="A50" s="48" t="s">
        <v>320</v>
      </c>
      <c r="B50" s="52">
        <v>4.02E-6</v>
      </c>
      <c r="C50" s="53">
        <v>1.01E-5</v>
      </c>
      <c r="D50" s="53">
        <v>1.4E-5</v>
      </c>
      <c r="E50" s="53">
        <v>1.96E-5</v>
      </c>
      <c r="F50" s="53">
        <v>5.7E-7</v>
      </c>
      <c r="G50" s="53">
        <v>8.43E-6</v>
      </c>
      <c r="H50" s="53">
        <v>6.21E-5</v>
      </c>
      <c r="I50" s="53">
        <v>2.25E-6</v>
      </c>
      <c r="J50" s="53">
        <v>1.93E-7</v>
      </c>
      <c r="K50" s="53">
        <v>1.39E-5</v>
      </c>
      <c r="L50" s="53">
        <v>1.07E-5</v>
      </c>
      <c r="M50" s="54">
        <v>8.47E-6</v>
      </c>
    </row>
    <row r="51" ht="14.25" customHeight="1">
      <c r="A51" s="48" t="s">
        <v>321</v>
      </c>
      <c r="B51" s="52">
        <v>1.32E-5</v>
      </c>
      <c r="C51" s="53">
        <v>2.76E-5</v>
      </c>
      <c r="D51" s="53">
        <v>8.27E-6</v>
      </c>
      <c r="E51" s="53">
        <v>1.85E-5</v>
      </c>
      <c r="F51" s="53">
        <v>1.14E-5</v>
      </c>
      <c r="G51" s="53">
        <v>1.03E-5</v>
      </c>
      <c r="H51" s="53">
        <v>4.36E-5</v>
      </c>
      <c r="I51" s="53">
        <v>8.14E-8</v>
      </c>
      <c r="J51" s="53">
        <v>9.2E-6</v>
      </c>
      <c r="K51" s="53">
        <v>2.72E-6</v>
      </c>
      <c r="L51" s="53">
        <v>4.47E-6</v>
      </c>
      <c r="M51" s="54">
        <v>5.87E-6</v>
      </c>
    </row>
    <row r="52" ht="14.25" customHeight="1">
      <c r="A52" s="48" t="s">
        <v>322</v>
      </c>
      <c r="B52" s="52">
        <v>5.69E-6</v>
      </c>
      <c r="C52" s="53">
        <v>1.49E-5</v>
      </c>
      <c r="D52" s="53">
        <v>1.15E-5</v>
      </c>
      <c r="E52" s="53">
        <v>4.74E-6</v>
      </c>
      <c r="F52" s="53">
        <v>7.4E-6</v>
      </c>
      <c r="G52" s="53">
        <v>2.3E-5</v>
      </c>
      <c r="H52" s="53">
        <v>4.49E-5</v>
      </c>
      <c r="I52" s="53">
        <v>1.3E-6</v>
      </c>
      <c r="J52" s="53">
        <v>7.9E-6</v>
      </c>
      <c r="K52" s="53">
        <v>1.45E-5</v>
      </c>
      <c r="L52" s="53">
        <v>5.27E-6</v>
      </c>
      <c r="M52" s="54">
        <v>3.69E-6</v>
      </c>
    </row>
    <row r="53" ht="14.25" customHeight="1">
      <c r="A53" s="48" t="s">
        <v>323</v>
      </c>
      <c r="B53" s="52">
        <v>4.77E-6</v>
      </c>
      <c r="C53" s="53">
        <v>1.31E-5</v>
      </c>
      <c r="D53" s="53">
        <v>7.22E-6</v>
      </c>
      <c r="E53" s="53">
        <v>1.07E-5</v>
      </c>
      <c r="F53" s="53">
        <v>6.28E-6</v>
      </c>
      <c r="G53" s="53">
        <v>1.11E-5</v>
      </c>
      <c r="H53" s="53">
        <v>5.45E-5</v>
      </c>
      <c r="I53" s="53">
        <v>5.11E-6</v>
      </c>
      <c r="J53" s="53">
        <v>9.2E-6</v>
      </c>
      <c r="K53" s="53">
        <v>2.79E-6</v>
      </c>
      <c r="L53" s="53">
        <v>1.17E-5</v>
      </c>
      <c r="M53" s="54">
        <v>7.65E-6</v>
      </c>
    </row>
    <row r="54" ht="14.25" customHeight="1">
      <c r="A54" s="48" t="s">
        <v>324</v>
      </c>
      <c r="B54" s="52">
        <v>6.88E-6</v>
      </c>
      <c r="C54" s="53">
        <v>1.67E-5</v>
      </c>
      <c r="D54" s="53">
        <v>1.03E-5</v>
      </c>
      <c r="E54" s="53">
        <v>1.25E-5</v>
      </c>
      <c r="F54" s="53">
        <v>3.13E-6</v>
      </c>
      <c r="G54" s="53">
        <v>1.15E-5</v>
      </c>
      <c r="H54" s="53">
        <v>5.94E-5</v>
      </c>
      <c r="I54" s="53">
        <v>7.89E-6</v>
      </c>
      <c r="J54" s="53">
        <v>2.32E-6</v>
      </c>
      <c r="K54" s="53">
        <v>6.45E-6</v>
      </c>
      <c r="L54" s="53">
        <v>1.32E-5</v>
      </c>
      <c r="M54" s="54">
        <v>1.03E-5</v>
      </c>
    </row>
    <row r="55" ht="14.25" customHeight="1">
      <c r="A55" s="48" t="s">
        <v>325</v>
      </c>
      <c r="B55" s="52">
        <v>1.26E-5</v>
      </c>
      <c r="C55" s="53">
        <v>3.33E-5</v>
      </c>
      <c r="D55" s="53">
        <v>4.62E-6</v>
      </c>
      <c r="E55" s="53">
        <v>8.56E-6</v>
      </c>
      <c r="F55" s="53">
        <v>8.45E-6</v>
      </c>
      <c r="G55" s="53">
        <v>5.67E-6</v>
      </c>
      <c r="H55" s="53">
        <v>3.15E-5</v>
      </c>
      <c r="I55" s="53">
        <v>5.12E-6</v>
      </c>
      <c r="J55" s="53">
        <v>5.16E-6</v>
      </c>
      <c r="K55" s="53">
        <v>3.49E-6</v>
      </c>
      <c r="L55" s="53">
        <v>9.4E-6</v>
      </c>
      <c r="M55" s="54">
        <v>7.14E-6</v>
      </c>
    </row>
    <row r="56" ht="14.25" customHeight="1">
      <c r="A56" s="48" t="s">
        <v>326</v>
      </c>
      <c r="B56" s="55">
        <v>6.68E-6</v>
      </c>
      <c r="C56" s="56">
        <v>2.28E-5</v>
      </c>
      <c r="D56" s="56">
        <v>7.35E-6</v>
      </c>
      <c r="E56" s="56">
        <v>5.76E-6</v>
      </c>
      <c r="F56" s="56">
        <v>6.55E-6</v>
      </c>
      <c r="G56" s="56">
        <v>1.03E-5</v>
      </c>
      <c r="H56" s="56">
        <v>5.19E-5</v>
      </c>
      <c r="I56" s="56">
        <v>5.64E-6</v>
      </c>
      <c r="J56" s="56">
        <v>9.68E-6</v>
      </c>
      <c r="K56" s="56">
        <v>2.59E-6</v>
      </c>
      <c r="L56" s="56">
        <v>5.42E-6</v>
      </c>
      <c r="M56" s="57">
        <v>3.94E-6</v>
      </c>
    </row>
    <row r="57" ht="14.25" customHeight="1">
      <c r="A57" s="48"/>
      <c r="B57" s="53"/>
      <c r="C57" s="53"/>
      <c r="D57" s="53"/>
      <c r="E57" s="53"/>
      <c r="F57" s="53"/>
      <c r="G57" s="53"/>
      <c r="H57" s="53"/>
      <c r="I57" s="53"/>
      <c r="J57" s="53"/>
      <c r="K57" s="53"/>
      <c r="L57" s="53"/>
      <c r="M57" s="53"/>
    </row>
    <row r="58" ht="14.25" customHeight="1">
      <c r="A58" s="46" t="s">
        <v>329</v>
      </c>
      <c r="B58" s="47"/>
      <c r="C58" s="47"/>
      <c r="D58" s="47"/>
      <c r="E58" s="47"/>
      <c r="F58" s="47"/>
      <c r="G58" s="47"/>
      <c r="H58" s="47"/>
      <c r="I58" s="47"/>
      <c r="J58" s="47"/>
      <c r="K58" s="47"/>
      <c r="L58" s="47"/>
      <c r="M58" s="47"/>
    </row>
    <row r="59" ht="14.25" customHeight="1">
      <c r="A59" s="48"/>
      <c r="B59" s="48" t="s">
        <v>299</v>
      </c>
      <c r="C59" s="48" t="s">
        <v>300</v>
      </c>
      <c r="D59" s="48" t="s">
        <v>301</v>
      </c>
      <c r="E59" s="48" t="s">
        <v>302</v>
      </c>
      <c r="F59" s="48" t="s">
        <v>303</v>
      </c>
      <c r="G59" s="48" t="s">
        <v>304</v>
      </c>
      <c r="H59" s="48" t="s">
        <v>305</v>
      </c>
      <c r="I59" s="48" t="s">
        <v>306</v>
      </c>
      <c r="J59" s="48" t="s">
        <v>307</v>
      </c>
      <c r="K59" s="48" t="s">
        <v>308</v>
      </c>
      <c r="L59" s="48" t="s">
        <v>309</v>
      </c>
      <c r="M59" s="48" t="s">
        <v>310</v>
      </c>
    </row>
    <row r="60" ht="14.25" customHeight="1">
      <c r="A60" s="48" t="s">
        <v>311</v>
      </c>
      <c r="B60" s="49">
        <v>3.72E-6</v>
      </c>
      <c r="C60" s="50">
        <v>4.85E-6</v>
      </c>
      <c r="D60" s="50">
        <v>1.76E-6</v>
      </c>
      <c r="E60" s="50">
        <v>1.52E-5</v>
      </c>
      <c r="F60" s="50">
        <v>2.91E-6</v>
      </c>
      <c r="G60" s="50">
        <v>8.17E-6</v>
      </c>
      <c r="H60" s="50">
        <v>8.82E-5</v>
      </c>
      <c r="I60" s="50">
        <v>6.95E-6</v>
      </c>
      <c r="J60" s="50">
        <v>5.81E-6</v>
      </c>
      <c r="K60" s="50">
        <v>4.56E-6</v>
      </c>
      <c r="L60" s="50">
        <v>2.5E-5</v>
      </c>
      <c r="M60" s="51">
        <v>2.77E-6</v>
      </c>
    </row>
    <row r="61" ht="14.25" customHeight="1">
      <c r="A61" s="48" t="s">
        <v>312</v>
      </c>
      <c r="B61" s="52">
        <v>5.96E-6</v>
      </c>
      <c r="C61" s="53">
        <v>7.66E-6</v>
      </c>
      <c r="D61" s="53">
        <v>8.67E-6</v>
      </c>
      <c r="E61" s="53">
        <v>1.05E-5</v>
      </c>
      <c r="F61" s="53">
        <v>2.39E-6</v>
      </c>
      <c r="G61" s="53">
        <v>1.01E-5</v>
      </c>
      <c r="H61" s="53">
        <v>1.40403E-4</v>
      </c>
      <c r="I61" s="53">
        <v>4.45E-6</v>
      </c>
      <c r="J61" s="53">
        <v>9.24E-6</v>
      </c>
      <c r="K61" s="53">
        <v>6.11E-6</v>
      </c>
      <c r="L61" s="53">
        <v>1.9E-5</v>
      </c>
      <c r="M61" s="54">
        <v>1.67E-6</v>
      </c>
    </row>
    <row r="62" ht="14.25" customHeight="1">
      <c r="A62" s="48" t="s">
        <v>313</v>
      </c>
      <c r="B62" s="52">
        <v>9.0E-6</v>
      </c>
      <c r="C62" s="53">
        <v>9.18E-6</v>
      </c>
      <c r="D62" s="53">
        <v>4.06E-6</v>
      </c>
      <c r="E62" s="53">
        <v>1.45E-5</v>
      </c>
      <c r="F62" s="53">
        <v>4.28E-6</v>
      </c>
      <c r="G62" s="53">
        <v>5.56E-6</v>
      </c>
      <c r="H62" s="53">
        <v>6.98E-5</v>
      </c>
      <c r="I62" s="53">
        <v>2.68E-6</v>
      </c>
      <c r="J62" s="53">
        <v>6.29E-6</v>
      </c>
      <c r="K62" s="53">
        <v>2.19E-6</v>
      </c>
      <c r="L62" s="53">
        <v>1.54E-5</v>
      </c>
      <c r="M62" s="54">
        <v>1.66E-6</v>
      </c>
    </row>
    <row r="63" ht="14.25" customHeight="1">
      <c r="A63" s="48" t="s">
        <v>314</v>
      </c>
      <c r="B63" s="52">
        <v>3.89E-6</v>
      </c>
      <c r="C63" s="53">
        <v>7.09E-6</v>
      </c>
      <c r="D63" s="53">
        <v>8.0E-6</v>
      </c>
      <c r="E63" s="53">
        <v>9.7E-6</v>
      </c>
      <c r="F63" s="53">
        <v>4.12E-6</v>
      </c>
      <c r="G63" s="53">
        <v>7.87E-6</v>
      </c>
      <c r="H63" s="53">
        <v>9.22E-5</v>
      </c>
      <c r="I63" s="53">
        <v>6.66E-6</v>
      </c>
      <c r="J63" s="53">
        <v>6.74E-6</v>
      </c>
      <c r="K63" s="53">
        <v>4.46E-6</v>
      </c>
      <c r="L63" s="53">
        <v>6.61E-6</v>
      </c>
      <c r="M63" s="54">
        <v>1.43E-6</v>
      </c>
    </row>
    <row r="64" ht="14.25" customHeight="1">
      <c r="A64" s="48" t="s">
        <v>315</v>
      </c>
      <c r="B64" s="52">
        <v>1.09E-5</v>
      </c>
      <c r="C64" s="53">
        <v>9.87E-6</v>
      </c>
      <c r="D64" s="53">
        <v>2.9E-6</v>
      </c>
      <c r="E64" s="53">
        <v>1.6E-5</v>
      </c>
      <c r="F64" s="53">
        <v>4.62E-6</v>
      </c>
      <c r="G64" s="53">
        <v>9.06E-6</v>
      </c>
      <c r="H64" s="53">
        <v>7.97E-5</v>
      </c>
      <c r="I64" s="53">
        <v>3.43E-6</v>
      </c>
      <c r="J64" s="53">
        <v>9.27E-6</v>
      </c>
      <c r="K64" s="53">
        <v>6.39E-6</v>
      </c>
      <c r="L64" s="53">
        <v>2.67E-5</v>
      </c>
      <c r="M64" s="54">
        <v>1.47E-5</v>
      </c>
    </row>
    <row r="65" ht="14.25" customHeight="1">
      <c r="A65" s="48" t="s">
        <v>316</v>
      </c>
      <c r="B65" s="52">
        <v>5.42E-6</v>
      </c>
      <c r="C65" s="53">
        <v>1.5E-5</v>
      </c>
      <c r="D65" s="53">
        <v>9.98E-6</v>
      </c>
      <c r="E65" s="53">
        <v>8.52E-6</v>
      </c>
      <c r="F65" s="53">
        <v>1.06E-6</v>
      </c>
      <c r="G65" s="53">
        <v>7.69E-6</v>
      </c>
      <c r="H65" s="53">
        <v>7.96E-5</v>
      </c>
      <c r="I65" s="53">
        <v>5.59E-6</v>
      </c>
      <c r="J65" s="53">
        <v>6.1E-6</v>
      </c>
      <c r="K65" s="53">
        <v>1.02E-5</v>
      </c>
      <c r="L65" s="53">
        <v>2.05E-5</v>
      </c>
      <c r="M65" s="54">
        <v>2.16E-5</v>
      </c>
    </row>
    <row r="66" ht="14.25" customHeight="1">
      <c r="A66" s="48" t="s">
        <v>317</v>
      </c>
      <c r="B66" s="52">
        <v>7.97E-6</v>
      </c>
      <c r="C66" s="53">
        <v>1.86E-5</v>
      </c>
      <c r="D66" s="53">
        <v>1.97E-6</v>
      </c>
      <c r="E66" s="53">
        <v>1.15E-5</v>
      </c>
      <c r="F66" s="53">
        <v>4.29E-6</v>
      </c>
      <c r="G66" s="53">
        <v>1.08E-5</v>
      </c>
      <c r="H66" s="53">
        <v>4.03E-5</v>
      </c>
      <c r="I66" s="53">
        <v>4.07E-6</v>
      </c>
      <c r="J66" s="53">
        <v>3.64E-6</v>
      </c>
      <c r="K66" s="53">
        <v>3.38E-6</v>
      </c>
      <c r="L66" s="53">
        <v>1.22E-5</v>
      </c>
      <c r="M66" s="54">
        <v>1.41E-5</v>
      </c>
    </row>
    <row r="67" ht="14.25" customHeight="1">
      <c r="A67" s="48" t="s">
        <v>318</v>
      </c>
      <c r="B67" s="52">
        <v>4.88E-6</v>
      </c>
      <c r="C67" s="53">
        <v>1.34E-5</v>
      </c>
      <c r="D67" s="53">
        <v>1.02E-5</v>
      </c>
      <c r="E67" s="53">
        <v>6.56E-6</v>
      </c>
      <c r="F67" s="53">
        <v>4.87E-6</v>
      </c>
      <c r="G67" s="53">
        <v>9.43E-6</v>
      </c>
      <c r="H67" s="53">
        <v>6.21E-5</v>
      </c>
      <c r="I67" s="53">
        <v>6.41E-6</v>
      </c>
      <c r="J67" s="53">
        <v>6.79E-6</v>
      </c>
      <c r="K67" s="53">
        <v>8.39E-6</v>
      </c>
      <c r="L67" s="53">
        <v>9.34E-6</v>
      </c>
      <c r="M67" s="54">
        <v>1.06E-5</v>
      </c>
    </row>
    <row r="68" ht="14.25" customHeight="1">
      <c r="A68" s="48" t="s">
        <v>319</v>
      </c>
      <c r="B68" s="52">
        <v>5.28E-6</v>
      </c>
      <c r="C68" s="53">
        <v>1.14E-5</v>
      </c>
      <c r="D68" s="53">
        <v>3.21E-6</v>
      </c>
      <c r="E68" s="53">
        <v>1.53E-5</v>
      </c>
      <c r="F68" s="53">
        <v>4.22E-6</v>
      </c>
      <c r="G68" s="53">
        <v>1.82E-5</v>
      </c>
      <c r="H68" s="53">
        <v>5.96E-5</v>
      </c>
      <c r="I68" s="53">
        <v>8.57E-7</v>
      </c>
      <c r="J68" s="53">
        <v>7.99E-6</v>
      </c>
      <c r="K68" s="53">
        <v>1.2E-5</v>
      </c>
      <c r="L68" s="53">
        <v>2.41E-5</v>
      </c>
      <c r="M68" s="54">
        <v>6.28E-6</v>
      </c>
    </row>
    <row r="69" ht="14.25" customHeight="1">
      <c r="A69" s="48" t="s">
        <v>320</v>
      </c>
      <c r="B69" s="52">
        <v>5.87E-6</v>
      </c>
      <c r="C69" s="53">
        <v>1.96E-5</v>
      </c>
      <c r="D69" s="53">
        <v>1.41E-5</v>
      </c>
      <c r="E69" s="53">
        <v>1.71E-5</v>
      </c>
      <c r="F69" s="53">
        <v>3.12E-6</v>
      </c>
      <c r="G69" s="53">
        <v>2.38E-5</v>
      </c>
      <c r="H69" s="53">
        <v>6.09E-5</v>
      </c>
      <c r="I69" s="53">
        <v>1.12E-6</v>
      </c>
      <c r="J69" s="53">
        <v>4.37E-6</v>
      </c>
      <c r="K69" s="53">
        <v>1.43E-5</v>
      </c>
      <c r="L69" s="53">
        <v>1.74E-5</v>
      </c>
      <c r="M69" s="54">
        <v>8.32E-6</v>
      </c>
    </row>
    <row r="70" ht="14.25" customHeight="1">
      <c r="A70" s="48" t="s">
        <v>321</v>
      </c>
      <c r="B70" s="52">
        <v>1.3E-5</v>
      </c>
      <c r="C70" s="53">
        <v>2.43E-5</v>
      </c>
      <c r="D70" s="53">
        <v>6.68E-6</v>
      </c>
      <c r="E70" s="53">
        <v>9.67E-6</v>
      </c>
      <c r="F70" s="53">
        <v>3.18E-6</v>
      </c>
      <c r="G70" s="53">
        <v>2.08E-5</v>
      </c>
      <c r="H70" s="53">
        <v>5.45E-5</v>
      </c>
      <c r="I70" s="53">
        <v>4.66E-6</v>
      </c>
      <c r="J70" s="53">
        <v>6.24E-6</v>
      </c>
      <c r="K70" s="53">
        <v>2.39E-6</v>
      </c>
      <c r="L70" s="53">
        <v>1.28E-5</v>
      </c>
      <c r="M70" s="54">
        <v>6.82E-6</v>
      </c>
    </row>
    <row r="71" ht="14.25" customHeight="1">
      <c r="A71" s="48" t="s">
        <v>322</v>
      </c>
      <c r="B71" s="52">
        <v>1.78E-6</v>
      </c>
      <c r="C71" s="53">
        <v>2.0E-5</v>
      </c>
      <c r="D71" s="53">
        <v>5.39E-6</v>
      </c>
      <c r="E71" s="53">
        <v>7.27E-6</v>
      </c>
      <c r="F71" s="53">
        <v>1.05E-5</v>
      </c>
      <c r="G71" s="53">
        <v>1.35E-5</v>
      </c>
      <c r="H71" s="53">
        <v>6.85E-5</v>
      </c>
      <c r="I71" s="53">
        <v>1.82E-6</v>
      </c>
      <c r="J71" s="53">
        <v>9.05E-6</v>
      </c>
      <c r="K71" s="53">
        <v>1.02E-5</v>
      </c>
      <c r="L71" s="53">
        <v>7.03E-6</v>
      </c>
      <c r="M71" s="54">
        <v>6.86E-6</v>
      </c>
    </row>
    <row r="72" ht="14.25" customHeight="1">
      <c r="A72" s="48" t="s">
        <v>323</v>
      </c>
      <c r="B72" s="52">
        <v>7.59E-6</v>
      </c>
      <c r="C72" s="53">
        <v>1.47E-5</v>
      </c>
      <c r="D72" s="53">
        <v>3.13E-6</v>
      </c>
      <c r="E72" s="53">
        <v>1.75E-5</v>
      </c>
      <c r="F72" s="53">
        <v>6.01E-6</v>
      </c>
      <c r="G72" s="53">
        <v>1.18E-5</v>
      </c>
      <c r="H72" s="53">
        <v>8.52E-5</v>
      </c>
      <c r="I72" s="53">
        <v>2.36E-6</v>
      </c>
      <c r="J72" s="53">
        <v>7.36E-6</v>
      </c>
      <c r="K72" s="53">
        <v>5.3E-6</v>
      </c>
      <c r="L72" s="53">
        <v>1.65E-5</v>
      </c>
      <c r="M72" s="54">
        <v>1.15E-5</v>
      </c>
    </row>
    <row r="73" ht="14.25" customHeight="1">
      <c r="A73" s="48" t="s">
        <v>324</v>
      </c>
      <c r="B73" s="52">
        <v>5.78E-6</v>
      </c>
      <c r="C73" s="53">
        <v>2.37E-5</v>
      </c>
      <c r="D73" s="53">
        <v>8.12E-6</v>
      </c>
      <c r="E73" s="53">
        <v>1.67E-5</v>
      </c>
      <c r="F73" s="53">
        <v>1.31E-6</v>
      </c>
      <c r="G73" s="53">
        <v>1.22E-5</v>
      </c>
      <c r="H73" s="53">
        <v>8.46E-5</v>
      </c>
      <c r="I73" s="53">
        <v>3.46E-6</v>
      </c>
      <c r="J73" s="53">
        <v>5.78E-6</v>
      </c>
      <c r="K73" s="53">
        <v>6.03E-6</v>
      </c>
      <c r="L73" s="53">
        <v>1.32E-5</v>
      </c>
      <c r="M73" s="54">
        <v>1.13E-5</v>
      </c>
    </row>
    <row r="74" ht="14.25" customHeight="1">
      <c r="A74" s="48" t="s">
        <v>325</v>
      </c>
      <c r="B74" s="52">
        <v>9.63E-6</v>
      </c>
      <c r="C74" s="53">
        <v>4.03E-5</v>
      </c>
      <c r="D74" s="53">
        <v>3.86E-6</v>
      </c>
      <c r="E74" s="53">
        <v>1.25E-5</v>
      </c>
      <c r="F74" s="53">
        <v>4.42E-6</v>
      </c>
      <c r="G74" s="53">
        <v>9.46E-6</v>
      </c>
      <c r="H74" s="53">
        <v>5.81E-5</v>
      </c>
      <c r="I74" s="53">
        <v>2.3E-6</v>
      </c>
      <c r="J74" s="53">
        <v>7.84E-6</v>
      </c>
      <c r="K74" s="53">
        <v>1.57E-6</v>
      </c>
      <c r="L74" s="53">
        <v>8.0E-6</v>
      </c>
      <c r="M74" s="54">
        <v>8.38E-6</v>
      </c>
    </row>
    <row r="75" ht="14.25" customHeight="1">
      <c r="A75" s="48" t="s">
        <v>326</v>
      </c>
      <c r="B75" s="55">
        <v>5.07E-6</v>
      </c>
      <c r="C75" s="56">
        <v>3.59E-5</v>
      </c>
      <c r="D75" s="56">
        <v>7.27E-6</v>
      </c>
      <c r="E75" s="56">
        <v>9.18E-6</v>
      </c>
      <c r="F75" s="56">
        <v>3.93E-6</v>
      </c>
      <c r="G75" s="56">
        <v>8.64E-6</v>
      </c>
      <c r="H75" s="56">
        <v>8.32E-5</v>
      </c>
      <c r="I75" s="56">
        <v>3.33E-6</v>
      </c>
      <c r="J75" s="56">
        <v>6.21E-6</v>
      </c>
      <c r="K75" s="56">
        <v>3.0E-6</v>
      </c>
      <c r="L75" s="56">
        <v>7.34E-6</v>
      </c>
      <c r="M75" s="57">
        <v>4.7E-6</v>
      </c>
    </row>
    <row r="76" ht="14.25" customHeight="1">
      <c r="A76" s="48"/>
      <c r="B76" s="53"/>
      <c r="C76" s="53"/>
      <c r="D76" s="53"/>
      <c r="E76" s="53"/>
      <c r="F76" s="53"/>
      <c r="G76" s="53"/>
      <c r="H76" s="53"/>
      <c r="I76" s="53"/>
      <c r="J76" s="53"/>
      <c r="K76" s="53"/>
      <c r="L76" s="53"/>
      <c r="M76" s="53"/>
    </row>
    <row r="77" ht="14.25" customHeight="1">
      <c r="A77" s="46" t="s">
        <v>330</v>
      </c>
      <c r="B77" s="47"/>
      <c r="C77" s="47"/>
      <c r="D77" s="47"/>
      <c r="E77" s="47"/>
      <c r="F77" s="47"/>
      <c r="G77" s="47"/>
      <c r="H77" s="47"/>
      <c r="I77" s="47"/>
      <c r="J77" s="47"/>
      <c r="K77" s="47"/>
      <c r="L77" s="47"/>
      <c r="M77" s="47"/>
    </row>
    <row r="78" ht="14.25" customHeight="1">
      <c r="A78" s="48"/>
      <c r="B78" s="48" t="s">
        <v>299</v>
      </c>
      <c r="C78" s="48" t="s">
        <v>300</v>
      </c>
      <c r="D78" s="48" t="s">
        <v>301</v>
      </c>
      <c r="E78" s="48" t="s">
        <v>302</v>
      </c>
      <c r="F78" s="48" t="s">
        <v>303</v>
      </c>
      <c r="G78" s="48" t="s">
        <v>304</v>
      </c>
      <c r="H78" s="48" t="s">
        <v>305</v>
      </c>
      <c r="I78" s="48" t="s">
        <v>306</v>
      </c>
      <c r="J78" s="48" t="s">
        <v>307</v>
      </c>
      <c r="K78" s="48" t="s">
        <v>308</v>
      </c>
      <c r="L78" s="48" t="s">
        <v>309</v>
      </c>
      <c r="M78" s="48" t="s">
        <v>310</v>
      </c>
    </row>
    <row r="79" ht="14.25" customHeight="1">
      <c r="A79" s="48" t="s">
        <v>311</v>
      </c>
      <c r="B79" s="49">
        <v>3.77E-6</v>
      </c>
      <c r="C79" s="50">
        <v>2.86E-6</v>
      </c>
      <c r="D79" s="50">
        <v>1.92E-6</v>
      </c>
      <c r="E79" s="50">
        <v>8.51E-6</v>
      </c>
      <c r="F79" s="50">
        <v>3.24E-6</v>
      </c>
      <c r="G79" s="50">
        <v>1.9E-6</v>
      </c>
      <c r="H79" s="50">
        <v>4.17E-5</v>
      </c>
      <c r="I79" s="50">
        <v>4.08E-6</v>
      </c>
      <c r="J79" s="50">
        <v>5.08E-6</v>
      </c>
      <c r="K79" s="50">
        <v>2.92E-6</v>
      </c>
      <c r="L79" s="50">
        <v>8.79E-6</v>
      </c>
      <c r="M79" s="51">
        <v>6.75E-7</v>
      </c>
    </row>
    <row r="80" ht="14.25" customHeight="1">
      <c r="A80" s="48" t="s">
        <v>312</v>
      </c>
      <c r="B80" s="52">
        <v>8.27E-7</v>
      </c>
      <c r="C80" s="53">
        <v>6.32E-6</v>
      </c>
      <c r="D80" s="53">
        <v>6.37E-6</v>
      </c>
      <c r="E80" s="53">
        <v>7.21E-6</v>
      </c>
      <c r="F80" s="53">
        <v>4.74E-7</v>
      </c>
      <c r="G80" s="53">
        <v>1.43E-5</v>
      </c>
      <c r="H80" s="53">
        <v>4.97E-5</v>
      </c>
      <c r="I80" s="53">
        <v>0.0</v>
      </c>
      <c r="J80" s="53">
        <v>1.73E-5</v>
      </c>
      <c r="K80" s="53">
        <v>8.21E-6</v>
      </c>
      <c r="L80" s="53">
        <v>3.87E-6</v>
      </c>
      <c r="M80" s="54">
        <v>5.14E-6</v>
      </c>
    </row>
    <row r="81" ht="14.25" customHeight="1">
      <c r="A81" s="48" t="s">
        <v>313</v>
      </c>
      <c r="B81" s="52">
        <v>5.4E-6</v>
      </c>
      <c r="C81" s="53">
        <v>9.94E-6</v>
      </c>
      <c r="D81" s="53">
        <v>7.45E-6</v>
      </c>
      <c r="E81" s="53">
        <v>1.23E-6</v>
      </c>
      <c r="F81" s="53">
        <v>0.0</v>
      </c>
      <c r="G81" s="53">
        <v>8.24E-6</v>
      </c>
      <c r="H81" s="53">
        <v>2.35E-5</v>
      </c>
      <c r="I81" s="53">
        <v>0.0</v>
      </c>
      <c r="J81" s="53">
        <v>4.86E-6</v>
      </c>
      <c r="K81" s="53">
        <v>2.66E-6</v>
      </c>
      <c r="L81" s="53">
        <v>3.45E-6</v>
      </c>
      <c r="M81" s="54">
        <v>2.03E-6</v>
      </c>
    </row>
    <row r="82" ht="14.25" customHeight="1">
      <c r="A82" s="48" t="s">
        <v>314</v>
      </c>
      <c r="B82" s="52">
        <v>1.07E-5</v>
      </c>
      <c r="C82" s="53">
        <v>5.66E-6</v>
      </c>
      <c r="D82" s="53">
        <v>4.27E-6</v>
      </c>
      <c r="E82" s="53">
        <v>3.22E-6</v>
      </c>
      <c r="F82" s="53">
        <v>6.98E-7</v>
      </c>
      <c r="G82" s="53">
        <v>7.82E-6</v>
      </c>
      <c r="H82" s="53">
        <v>5.93E-5</v>
      </c>
      <c r="I82" s="53">
        <v>3.15E-6</v>
      </c>
      <c r="J82" s="53">
        <v>3.0E-6</v>
      </c>
      <c r="K82" s="53">
        <v>2.77E-6</v>
      </c>
      <c r="L82" s="53">
        <v>7.55E-6</v>
      </c>
      <c r="M82" s="54">
        <v>2.8E-7</v>
      </c>
    </row>
    <row r="83" ht="14.25" customHeight="1">
      <c r="A83" s="48" t="s">
        <v>315</v>
      </c>
      <c r="B83" s="52">
        <v>8.81E-6</v>
      </c>
      <c r="C83" s="53">
        <v>5.01E-6</v>
      </c>
      <c r="D83" s="53">
        <v>3.75E-6</v>
      </c>
      <c r="E83" s="53">
        <v>5.4E-6</v>
      </c>
      <c r="F83" s="53">
        <v>4.27E-6</v>
      </c>
      <c r="G83" s="53">
        <v>1.38E-5</v>
      </c>
      <c r="H83" s="53">
        <v>2.54E-5</v>
      </c>
      <c r="I83" s="53">
        <v>2.42E-6</v>
      </c>
      <c r="J83" s="53">
        <v>7.14E-6</v>
      </c>
      <c r="K83" s="53">
        <v>4.38E-6</v>
      </c>
      <c r="L83" s="53">
        <v>1.12E-5</v>
      </c>
      <c r="M83" s="54">
        <v>1.29E-5</v>
      </c>
    </row>
    <row r="84" ht="14.25" customHeight="1">
      <c r="A84" s="48" t="s">
        <v>316</v>
      </c>
      <c r="B84" s="52">
        <v>3.97E-6</v>
      </c>
      <c r="C84" s="53">
        <v>5.8E-6</v>
      </c>
      <c r="D84" s="53">
        <v>6.8E-6</v>
      </c>
      <c r="E84" s="53">
        <v>0.0</v>
      </c>
      <c r="F84" s="53">
        <v>0.0</v>
      </c>
      <c r="G84" s="53">
        <v>3.25E-5</v>
      </c>
      <c r="H84" s="53">
        <v>7.12E-6</v>
      </c>
      <c r="I84" s="53">
        <v>0.0</v>
      </c>
      <c r="J84" s="53">
        <v>1.08E-5</v>
      </c>
      <c r="K84" s="53">
        <v>1.11E-5</v>
      </c>
      <c r="L84" s="53">
        <v>6.88E-6</v>
      </c>
      <c r="M84" s="54">
        <v>8.29E-6</v>
      </c>
    </row>
    <row r="85" ht="14.25" customHeight="1">
      <c r="A85" s="48" t="s">
        <v>317</v>
      </c>
      <c r="B85" s="52">
        <v>5.34E-6</v>
      </c>
      <c r="C85" s="53">
        <v>4.15E-6</v>
      </c>
      <c r="D85" s="53">
        <v>2.11E-6</v>
      </c>
      <c r="E85" s="53">
        <v>7.38E-6</v>
      </c>
      <c r="F85" s="53">
        <v>0.0</v>
      </c>
      <c r="G85" s="53">
        <v>5.68E-6</v>
      </c>
      <c r="H85" s="53">
        <v>3.25E-5</v>
      </c>
      <c r="I85" s="53">
        <v>1.1E-5</v>
      </c>
      <c r="J85" s="53">
        <v>3.3E-6</v>
      </c>
      <c r="K85" s="53">
        <v>5.15E-6</v>
      </c>
      <c r="L85" s="53">
        <v>2.64E-6</v>
      </c>
      <c r="M85" s="54">
        <v>6.48E-6</v>
      </c>
    </row>
    <row r="86" ht="14.25" customHeight="1">
      <c r="A86" s="48" t="s">
        <v>318</v>
      </c>
      <c r="B86" s="52">
        <v>3.6E-7</v>
      </c>
      <c r="C86" s="53">
        <v>4.75E-6</v>
      </c>
      <c r="D86" s="53">
        <v>1.62E-5</v>
      </c>
      <c r="E86" s="53">
        <v>2.79E-6</v>
      </c>
      <c r="F86" s="53">
        <v>7.93E-6</v>
      </c>
      <c r="G86" s="53">
        <v>4.45E-6</v>
      </c>
      <c r="H86" s="53">
        <v>2.63E-5</v>
      </c>
      <c r="I86" s="53">
        <v>1.03E-5</v>
      </c>
      <c r="J86" s="53">
        <v>8.55E-6</v>
      </c>
      <c r="K86" s="53">
        <v>5.89E-6</v>
      </c>
      <c r="L86" s="53">
        <v>3.01E-6</v>
      </c>
      <c r="M86" s="54">
        <v>3.95E-6</v>
      </c>
    </row>
    <row r="87" ht="14.25" customHeight="1">
      <c r="A87" s="48" t="s">
        <v>319</v>
      </c>
      <c r="B87" s="52">
        <v>4.5E-6</v>
      </c>
      <c r="C87" s="53">
        <v>4.53E-6</v>
      </c>
      <c r="D87" s="53">
        <v>2.87E-6</v>
      </c>
      <c r="E87" s="53">
        <v>9.67E-6</v>
      </c>
      <c r="F87" s="53">
        <v>4.52E-6</v>
      </c>
      <c r="G87" s="53">
        <v>1.2E-5</v>
      </c>
      <c r="H87" s="53">
        <v>2.14E-5</v>
      </c>
      <c r="I87" s="53">
        <v>5.6E-7</v>
      </c>
      <c r="J87" s="53">
        <v>5.59E-6</v>
      </c>
      <c r="K87" s="53">
        <v>1.06E-5</v>
      </c>
      <c r="L87" s="53">
        <v>1.19E-5</v>
      </c>
      <c r="M87" s="54">
        <v>2.23E-6</v>
      </c>
    </row>
    <row r="88" ht="14.25" customHeight="1">
      <c r="A88" s="48" t="s">
        <v>320</v>
      </c>
      <c r="B88" s="52">
        <v>4.68E-6</v>
      </c>
      <c r="C88" s="53">
        <v>7.32E-6</v>
      </c>
      <c r="D88" s="53">
        <v>8.49E-6</v>
      </c>
      <c r="E88" s="53">
        <v>3.31E-5</v>
      </c>
      <c r="F88" s="53">
        <v>0.0</v>
      </c>
      <c r="G88" s="53">
        <v>1.78E-5</v>
      </c>
      <c r="H88" s="53">
        <v>2.89E-5</v>
      </c>
      <c r="I88" s="53">
        <v>0.0</v>
      </c>
      <c r="J88" s="53">
        <v>8.18E-6</v>
      </c>
      <c r="K88" s="53">
        <v>1.49E-5</v>
      </c>
      <c r="L88" s="53">
        <v>7.12E-6</v>
      </c>
      <c r="M88" s="54">
        <v>1.37E-6</v>
      </c>
    </row>
    <row r="89" ht="14.25" customHeight="1">
      <c r="A89" s="48" t="s">
        <v>321</v>
      </c>
      <c r="B89" s="52">
        <v>9.94E-6</v>
      </c>
      <c r="C89" s="53">
        <v>9.44E-6</v>
      </c>
      <c r="D89" s="53">
        <v>6.46E-6</v>
      </c>
      <c r="E89" s="53">
        <v>2.09E-5</v>
      </c>
      <c r="F89" s="53">
        <v>0.0</v>
      </c>
      <c r="G89" s="53">
        <v>9.72E-6</v>
      </c>
      <c r="H89" s="53">
        <v>2.8E-5</v>
      </c>
      <c r="I89" s="53">
        <v>1.26E-5</v>
      </c>
      <c r="J89" s="53">
        <v>0.0</v>
      </c>
      <c r="K89" s="53">
        <v>1.75E-6</v>
      </c>
      <c r="L89" s="53">
        <v>5.56E-6</v>
      </c>
      <c r="M89" s="54">
        <v>0.0</v>
      </c>
    </row>
    <row r="90" ht="14.25" customHeight="1">
      <c r="A90" s="48" t="s">
        <v>322</v>
      </c>
      <c r="B90" s="52">
        <v>8.03E-6</v>
      </c>
      <c r="C90" s="53">
        <v>5.96E-6</v>
      </c>
      <c r="D90" s="53">
        <v>1.6E-5</v>
      </c>
      <c r="E90" s="53">
        <v>9.96E-6</v>
      </c>
      <c r="F90" s="53">
        <v>6.67E-6</v>
      </c>
      <c r="G90" s="53">
        <v>3.86E-6</v>
      </c>
      <c r="H90" s="53">
        <v>4.39E-5</v>
      </c>
      <c r="I90" s="53">
        <v>2.47E-6</v>
      </c>
      <c r="J90" s="53">
        <v>6.34E-6</v>
      </c>
      <c r="K90" s="53">
        <v>6.14E-6</v>
      </c>
      <c r="L90" s="53">
        <v>2.96E-6</v>
      </c>
      <c r="M90" s="54">
        <v>8.55E-7</v>
      </c>
    </row>
    <row r="91" ht="14.25" customHeight="1">
      <c r="A91" s="48" t="s">
        <v>323</v>
      </c>
      <c r="B91" s="52">
        <v>1.79E-6</v>
      </c>
      <c r="C91" s="53">
        <v>1.27E-5</v>
      </c>
      <c r="D91" s="53">
        <v>4.85E-6</v>
      </c>
      <c r="E91" s="53">
        <v>1.5E-5</v>
      </c>
      <c r="F91" s="53">
        <v>6.24E-6</v>
      </c>
      <c r="G91" s="53">
        <v>5.78E-6</v>
      </c>
      <c r="H91" s="53">
        <v>4.01E-5</v>
      </c>
      <c r="I91" s="53">
        <v>7.37E-6</v>
      </c>
      <c r="J91" s="53">
        <v>7.9E-6</v>
      </c>
      <c r="K91" s="53">
        <v>4.69E-6</v>
      </c>
      <c r="L91" s="53">
        <v>2.51E-6</v>
      </c>
      <c r="M91" s="54">
        <v>1.21E-5</v>
      </c>
    </row>
    <row r="92" ht="14.25" customHeight="1">
      <c r="A92" s="48" t="s">
        <v>324</v>
      </c>
      <c r="B92" s="52">
        <v>4.13E-6</v>
      </c>
      <c r="C92" s="53">
        <v>7.81E-6</v>
      </c>
      <c r="D92" s="53">
        <v>1.03E-5</v>
      </c>
      <c r="E92" s="53">
        <v>7.86E-6</v>
      </c>
      <c r="F92" s="53">
        <v>5.7E-6</v>
      </c>
      <c r="G92" s="53">
        <v>5.82E-6</v>
      </c>
      <c r="H92" s="53">
        <v>3.43E-5</v>
      </c>
      <c r="I92" s="53">
        <v>1.64E-6</v>
      </c>
      <c r="J92" s="53">
        <v>6.68E-6</v>
      </c>
      <c r="K92" s="53">
        <v>4.92E-6</v>
      </c>
      <c r="L92" s="53">
        <v>7.47E-6</v>
      </c>
      <c r="M92" s="54">
        <v>8.93E-6</v>
      </c>
    </row>
    <row r="93" ht="14.25" customHeight="1">
      <c r="A93" s="48" t="s">
        <v>325</v>
      </c>
      <c r="B93" s="52">
        <v>3.92E-6</v>
      </c>
      <c r="C93" s="53">
        <v>1.95E-5</v>
      </c>
      <c r="D93" s="53">
        <v>9.57E-6</v>
      </c>
      <c r="E93" s="53">
        <v>6.18E-6</v>
      </c>
      <c r="F93" s="53">
        <v>4.79E-6</v>
      </c>
      <c r="G93" s="53">
        <v>1.69E-5</v>
      </c>
      <c r="H93" s="53">
        <v>2.51E-5</v>
      </c>
      <c r="I93" s="53">
        <v>1.05E-6</v>
      </c>
      <c r="J93" s="53">
        <v>3.59E-6</v>
      </c>
      <c r="K93" s="53">
        <v>4.77E-6</v>
      </c>
      <c r="L93" s="53">
        <v>3.81E-6</v>
      </c>
      <c r="M93" s="54">
        <v>2.08E-6</v>
      </c>
    </row>
    <row r="94" ht="14.25" customHeight="1">
      <c r="A94" s="48" t="s">
        <v>326</v>
      </c>
      <c r="B94" s="55">
        <v>7.19E-7</v>
      </c>
      <c r="C94" s="56">
        <v>2.36E-5</v>
      </c>
      <c r="D94" s="56">
        <v>4.6E-6</v>
      </c>
      <c r="E94" s="56">
        <v>2.15E-6</v>
      </c>
      <c r="F94" s="56">
        <v>6.02E-6</v>
      </c>
      <c r="G94" s="56">
        <v>8.19E-6</v>
      </c>
      <c r="H94" s="56">
        <v>4.46E-5</v>
      </c>
      <c r="I94" s="56">
        <v>2.0E-6</v>
      </c>
      <c r="J94" s="56">
        <v>3.84E-6</v>
      </c>
      <c r="K94" s="56">
        <v>6.59E-7</v>
      </c>
      <c r="L94" s="56">
        <v>3.05E-6</v>
      </c>
      <c r="M94" s="57">
        <v>4.41E-7</v>
      </c>
    </row>
    <row r="95" ht="14.25" customHeight="1">
      <c r="A95" s="48"/>
      <c r="B95" s="53"/>
      <c r="C95" s="53"/>
      <c r="D95" s="53"/>
      <c r="E95" s="53"/>
      <c r="F95" s="53"/>
      <c r="G95" s="53"/>
      <c r="H95" s="53"/>
      <c r="I95" s="53"/>
      <c r="J95" s="53"/>
      <c r="K95" s="53"/>
      <c r="L95" s="53"/>
      <c r="M95" s="53"/>
    </row>
    <row r="96" ht="14.25" customHeight="1">
      <c r="A96" s="46" t="s">
        <v>331</v>
      </c>
      <c r="B96" s="47"/>
      <c r="C96" s="47"/>
      <c r="D96" s="47"/>
      <c r="E96" s="47"/>
      <c r="F96" s="47"/>
      <c r="G96" s="47"/>
      <c r="H96" s="47"/>
      <c r="I96" s="47"/>
      <c r="J96" s="47"/>
      <c r="K96" s="47"/>
      <c r="L96" s="47"/>
      <c r="M96" s="47"/>
    </row>
    <row r="97" ht="14.25" customHeight="1">
      <c r="A97" s="48"/>
      <c r="B97" s="48" t="s">
        <v>299</v>
      </c>
      <c r="C97" s="48" t="s">
        <v>300</v>
      </c>
      <c r="D97" s="48" t="s">
        <v>301</v>
      </c>
      <c r="E97" s="48" t="s">
        <v>302</v>
      </c>
      <c r="F97" s="48" t="s">
        <v>303</v>
      </c>
      <c r="G97" s="48" t="s">
        <v>304</v>
      </c>
      <c r="H97" s="48" t="s">
        <v>305</v>
      </c>
      <c r="I97" s="48" t="s">
        <v>306</v>
      </c>
      <c r="J97" s="48" t="s">
        <v>307</v>
      </c>
      <c r="K97" s="48" t="s">
        <v>308</v>
      </c>
      <c r="L97" s="48" t="s">
        <v>309</v>
      </c>
      <c r="M97" s="48" t="s">
        <v>310</v>
      </c>
    </row>
    <row r="98" ht="14.25" customHeight="1">
      <c r="A98" s="48" t="s">
        <v>311</v>
      </c>
      <c r="B98" s="49">
        <v>3.14E-6</v>
      </c>
      <c r="C98" s="50">
        <v>2.8E-6</v>
      </c>
      <c r="D98" s="50">
        <v>2.06E-6</v>
      </c>
      <c r="E98" s="50">
        <v>1.02E-5</v>
      </c>
      <c r="F98" s="50">
        <v>3.64E-6</v>
      </c>
      <c r="G98" s="50">
        <v>3.89E-6</v>
      </c>
      <c r="H98" s="50">
        <v>5.8E-5</v>
      </c>
      <c r="I98" s="50">
        <v>2.05E-5</v>
      </c>
      <c r="J98" s="50">
        <v>5.13E-6</v>
      </c>
      <c r="K98" s="50">
        <v>2.27E-6</v>
      </c>
      <c r="L98" s="50">
        <v>9.37E-6</v>
      </c>
      <c r="M98" s="51">
        <v>1.02E-6</v>
      </c>
    </row>
    <row r="99" ht="14.25" customHeight="1">
      <c r="A99" s="48" t="s">
        <v>312</v>
      </c>
      <c r="B99" s="52">
        <v>6.29E-6</v>
      </c>
      <c r="C99" s="53">
        <v>2.26E-6</v>
      </c>
      <c r="D99" s="53">
        <v>6.87E-6</v>
      </c>
      <c r="E99" s="53">
        <v>4.58E-6</v>
      </c>
      <c r="F99" s="53">
        <v>6.99E-7</v>
      </c>
      <c r="G99" s="53">
        <v>4.67E-6</v>
      </c>
      <c r="H99" s="53">
        <v>7.29E-5</v>
      </c>
      <c r="I99" s="53">
        <v>3.61E-6</v>
      </c>
      <c r="J99" s="53">
        <v>4.01E-7</v>
      </c>
      <c r="K99" s="53">
        <v>8.53E-6</v>
      </c>
      <c r="L99" s="53">
        <v>8.15E-6</v>
      </c>
      <c r="M99" s="54">
        <v>0.0</v>
      </c>
    </row>
    <row r="100" ht="14.25" customHeight="1">
      <c r="A100" s="48" t="s">
        <v>313</v>
      </c>
      <c r="B100" s="52">
        <v>5.23E-6</v>
      </c>
      <c r="C100" s="53">
        <v>1.08E-5</v>
      </c>
      <c r="D100" s="53">
        <v>6.8E-7</v>
      </c>
      <c r="E100" s="53">
        <v>7.05E-6</v>
      </c>
      <c r="F100" s="53">
        <v>1.53E-6</v>
      </c>
      <c r="G100" s="53">
        <v>5.7E-6</v>
      </c>
      <c r="H100" s="53">
        <v>4.35E-5</v>
      </c>
      <c r="I100" s="53">
        <v>6.52E-6</v>
      </c>
      <c r="J100" s="53">
        <v>3.62E-6</v>
      </c>
      <c r="K100" s="53">
        <v>1.08E-6</v>
      </c>
      <c r="L100" s="53">
        <v>4.74E-6</v>
      </c>
      <c r="M100" s="54">
        <v>1.27E-6</v>
      </c>
    </row>
    <row r="101" ht="14.25" customHeight="1">
      <c r="A101" s="48" t="s">
        <v>314</v>
      </c>
      <c r="B101" s="52">
        <v>2.92E-6</v>
      </c>
      <c r="C101" s="53">
        <v>4.21E-6</v>
      </c>
      <c r="D101" s="53">
        <v>3.4E-6</v>
      </c>
      <c r="E101" s="53">
        <v>2.99E-6</v>
      </c>
      <c r="F101" s="53">
        <v>2.46E-6</v>
      </c>
      <c r="G101" s="53">
        <v>4.84E-6</v>
      </c>
      <c r="H101" s="53">
        <v>5.73E-5</v>
      </c>
      <c r="I101" s="53">
        <v>5.68E-6</v>
      </c>
      <c r="J101" s="53">
        <v>6.0E-6</v>
      </c>
      <c r="K101" s="53">
        <v>3.94E-6</v>
      </c>
      <c r="L101" s="53">
        <v>5.94E-6</v>
      </c>
      <c r="M101" s="54">
        <v>1.72E-6</v>
      </c>
    </row>
    <row r="102" ht="14.25" customHeight="1">
      <c r="A102" s="48" t="s">
        <v>315</v>
      </c>
      <c r="B102" s="52">
        <v>7.89E-6</v>
      </c>
      <c r="C102" s="53">
        <v>5.02E-6</v>
      </c>
      <c r="D102" s="53">
        <v>2.29E-5</v>
      </c>
      <c r="E102" s="53">
        <v>9.37E-6</v>
      </c>
      <c r="F102" s="53">
        <v>3.45E-6</v>
      </c>
      <c r="G102" s="53">
        <v>6.68E-6</v>
      </c>
      <c r="H102" s="53">
        <v>4.04E-5</v>
      </c>
      <c r="I102" s="53">
        <v>4.4E-6</v>
      </c>
      <c r="J102" s="53">
        <v>4.6E-6</v>
      </c>
      <c r="K102" s="53">
        <v>2.54E-6</v>
      </c>
      <c r="L102" s="53">
        <v>1.3E-5</v>
      </c>
      <c r="M102" s="54">
        <v>5.56E-6</v>
      </c>
    </row>
    <row r="103" ht="14.25" customHeight="1">
      <c r="A103" s="48" t="s">
        <v>316</v>
      </c>
      <c r="B103" s="52">
        <v>4.35E-6</v>
      </c>
      <c r="C103" s="53">
        <v>1.03E-5</v>
      </c>
      <c r="D103" s="53">
        <v>1.07E-5</v>
      </c>
      <c r="E103" s="53">
        <v>7.24E-6</v>
      </c>
      <c r="F103" s="53">
        <v>0.0</v>
      </c>
      <c r="G103" s="53">
        <v>8.52E-6</v>
      </c>
      <c r="H103" s="53">
        <v>4.98E-5</v>
      </c>
      <c r="I103" s="53">
        <v>4.71E-7</v>
      </c>
      <c r="J103" s="53">
        <v>2.37E-5</v>
      </c>
      <c r="K103" s="53">
        <v>3.41E-6</v>
      </c>
      <c r="L103" s="53">
        <v>1.88E-5</v>
      </c>
      <c r="M103" s="54">
        <v>6.8E-6</v>
      </c>
    </row>
    <row r="104" ht="14.25" customHeight="1">
      <c r="A104" s="48" t="s">
        <v>317</v>
      </c>
      <c r="B104" s="52">
        <v>1.0E-5</v>
      </c>
      <c r="C104" s="53">
        <v>1.42E-5</v>
      </c>
      <c r="D104" s="53">
        <v>2.17E-6</v>
      </c>
      <c r="E104" s="53">
        <v>1.4E-5</v>
      </c>
      <c r="F104" s="53">
        <v>8.31E-7</v>
      </c>
      <c r="G104" s="53">
        <v>9.06E-6</v>
      </c>
      <c r="H104" s="53">
        <v>2.99E-5</v>
      </c>
      <c r="I104" s="53">
        <v>2.92E-6</v>
      </c>
      <c r="J104" s="53">
        <v>4.8E-6</v>
      </c>
      <c r="K104" s="53">
        <v>1.51E-6</v>
      </c>
      <c r="L104" s="53">
        <v>8.99E-6</v>
      </c>
      <c r="M104" s="54">
        <v>3.73E-6</v>
      </c>
    </row>
    <row r="105" ht="14.25" customHeight="1">
      <c r="A105" s="48" t="s">
        <v>318</v>
      </c>
      <c r="B105" s="52">
        <v>4.21E-6</v>
      </c>
      <c r="C105" s="53">
        <v>1.06E-5</v>
      </c>
      <c r="D105" s="53">
        <v>9.04E-6</v>
      </c>
      <c r="E105" s="53">
        <v>2.65E-6</v>
      </c>
      <c r="F105" s="53">
        <v>2.98E-6</v>
      </c>
      <c r="G105" s="53">
        <v>6.58E-6</v>
      </c>
      <c r="H105" s="53">
        <v>4.43E-5</v>
      </c>
      <c r="I105" s="53">
        <v>9.73E-6</v>
      </c>
      <c r="J105" s="53">
        <v>5.0E-6</v>
      </c>
      <c r="K105" s="53">
        <v>2.37E-6</v>
      </c>
      <c r="L105" s="53">
        <v>2.61E-6</v>
      </c>
      <c r="M105" s="54">
        <v>7.27E-6</v>
      </c>
    </row>
    <row r="106" ht="14.25" customHeight="1">
      <c r="A106" s="48" t="s">
        <v>319</v>
      </c>
      <c r="B106" s="52">
        <v>2.59E-6</v>
      </c>
      <c r="C106" s="53">
        <v>5.4E-6</v>
      </c>
      <c r="D106" s="53">
        <v>2.62E-6</v>
      </c>
      <c r="E106" s="53">
        <v>1.06E-5</v>
      </c>
      <c r="F106" s="53">
        <v>3.46E-7</v>
      </c>
      <c r="G106" s="53">
        <v>3.4E-6</v>
      </c>
      <c r="H106" s="53">
        <v>2.84E-5</v>
      </c>
      <c r="I106" s="53">
        <v>1.52E-6</v>
      </c>
      <c r="J106" s="53">
        <v>1.49E-6</v>
      </c>
      <c r="K106" s="53">
        <v>6.92E-6</v>
      </c>
      <c r="L106" s="53">
        <v>1.03E-5</v>
      </c>
      <c r="M106" s="54">
        <v>4.55E-6</v>
      </c>
    </row>
    <row r="107" ht="14.25" customHeight="1">
      <c r="A107" s="48" t="s">
        <v>320</v>
      </c>
      <c r="B107" s="52">
        <v>2.54E-6</v>
      </c>
      <c r="C107" s="53">
        <v>1.1E-5</v>
      </c>
      <c r="D107" s="53">
        <v>7.22E-6</v>
      </c>
      <c r="E107" s="53">
        <v>4.82E-6</v>
      </c>
      <c r="F107" s="53">
        <v>7.35E-7</v>
      </c>
      <c r="G107" s="53">
        <v>6.68E-6</v>
      </c>
      <c r="H107" s="53">
        <v>2.22E-5</v>
      </c>
      <c r="I107" s="53">
        <v>3.56E-7</v>
      </c>
      <c r="J107" s="53">
        <v>3.17E-7</v>
      </c>
      <c r="K107" s="53">
        <v>7.75E-6</v>
      </c>
      <c r="L107" s="53">
        <v>1.01E-5</v>
      </c>
      <c r="M107" s="54">
        <v>4.21E-6</v>
      </c>
    </row>
    <row r="108" ht="14.25" customHeight="1">
      <c r="A108" s="48" t="s">
        <v>321</v>
      </c>
      <c r="B108" s="52">
        <v>1.03E-5</v>
      </c>
      <c r="C108" s="53">
        <v>1.63E-5</v>
      </c>
      <c r="D108" s="53">
        <v>5.33E-6</v>
      </c>
      <c r="E108" s="53">
        <v>1.44E-5</v>
      </c>
      <c r="F108" s="53">
        <v>0.0</v>
      </c>
      <c r="G108" s="53">
        <v>6.29E-6</v>
      </c>
      <c r="H108" s="53">
        <v>3.51E-5</v>
      </c>
      <c r="I108" s="53">
        <v>1.44E-6</v>
      </c>
      <c r="J108" s="53">
        <v>2.49E-7</v>
      </c>
      <c r="K108" s="53">
        <v>4.15E-8</v>
      </c>
      <c r="L108" s="53">
        <v>9.16E-6</v>
      </c>
      <c r="M108" s="54">
        <v>1.26E-6</v>
      </c>
    </row>
    <row r="109" ht="14.25" customHeight="1">
      <c r="A109" s="48" t="s">
        <v>322</v>
      </c>
      <c r="B109" s="52">
        <v>2.1E-6</v>
      </c>
      <c r="C109" s="53">
        <v>1.21E-5</v>
      </c>
      <c r="D109" s="53">
        <v>5.84E-6</v>
      </c>
      <c r="E109" s="53">
        <v>5.63E-6</v>
      </c>
      <c r="F109" s="53">
        <v>1.22E-6</v>
      </c>
      <c r="G109" s="53">
        <v>3.29E-6</v>
      </c>
      <c r="H109" s="53">
        <v>3.99E-5</v>
      </c>
      <c r="I109" s="53">
        <v>1.49E-6</v>
      </c>
      <c r="J109" s="53">
        <v>3.68E-6</v>
      </c>
      <c r="K109" s="53">
        <v>7.5E-6</v>
      </c>
      <c r="L109" s="53">
        <v>3.64E-6</v>
      </c>
      <c r="M109" s="54">
        <v>6.34E-6</v>
      </c>
    </row>
    <row r="110" ht="14.25" customHeight="1">
      <c r="A110" s="48" t="s">
        <v>323</v>
      </c>
      <c r="B110" s="52">
        <v>4.85E-6</v>
      </c>
      <c r="C110" s="53">
        <v>1.21E-5</v>
      </c>
      <c r="D110" s="53">
        <v>5.3E-6</v>
      </c>
      <c r="E110" s="53">
        <v>1.23E-5</v>
      </c>
      <c r="F110" s="53">
        <v>7.17E-6</v>
      </c>
      <c r="G110" s="53">
        <v>6.36E-6</v>
      </c>
      <c r="H110" s="53">
        <v>4.86E-5</v>
      </c>
      <c r="I110" s="53">
        <v>2.11E-6</v>
      </c>
      <c r="J110" s="53">
        <v>6.46E-6</v>
      </c>
      <c r="K110" s="53">
        <v>3.27E-6</v>
      </c>
      <c r="L110" s="53">
        <v>9.98E-6</v>
      </c>
      <c r="M110" s="54">
        <v>4.83E-6</v>
      </c>
    </row>
    <row r="111" ht="14.25" customHeight="1">
      <c r="A111" s="48" t="s">
        <v>324</v>
      </c>
      <c r="B111" s="52">
        <v>5.03E-6</v>
      </c>
      <c r="C111" s="53">
        <v>9.86E-6</v>
      </c>
      <c r="D111" s="53">
        <v>9.71E-6</v>
      </c>
      <c r="E111" s="53">
        <v>5.21E-6</v>
      </c>
      <c r="F111" s="53">
        <v>1.98E-6</v>
      </c>
      <c r="G111" s="53">
        <v>1.04E-5</v>
      </c>
      <c r="H111" s="53">
        <v>5.47E-5</v>
      </c>
      <c r="I111" s="53">
        <v>2.88E-6</v>
      </c>
      <c r="J111" s="53">
        <v>2.73E-6</v>
      </c>
      <c r="K111" s="53">
        <v>4.52E-6</v>
      </c>
      <c r="L111" s="53">
        <v>1.55E-5</v>
      </c>
      <c r="M111" s="54">
        <v>3.34E-6</v>
      </c>
    </row>
    <row r="112" ht="14.25" customHeight="1">
      <c r="A112" s="48" t="s">
        <v>325</v>
      </c>
      <c r="B112" s="52">
        <v>1.07E-5</v>
      </c>
      <c r="C112" s="53">
        <v>3.86E-5</v>
      </c>
      <c r="D112" s="53">
        <v>4.26E-6</v>
      </c>
      <c r="E112" s="53">
        <v>6.94E-6</v>
      </c>
      <c r="F112" s="53">
        <v>1.37E-6</v>
      </c>
      <c r="G112" s="53">
        <v>1.86E-5</v>
      </c>
      <c r="H112" s="53">
        <v>3.38E-5</v>
      </c>
      <c r="I112" s="53">
        <v>1.25E-6</v>
      </c>
      <c r="J112" s="53">
        <v>8.68E-6</v>
      </c>
      <c r="K112" s="53">
        <v>9.91E-7</v>
      </c>
      <c r="L112" s="53">
        <v>2.59E-6</v>
      </c>
      <c r="M112" s="54">
        <v>4.15E-6</v>
      </c>
    </row>
    <row r="113" ht="14.25" customHeight="1">
      <c r="A113" s="48" t="s">
        <v>326</v>
      </c>
      <c r="B113" s="55">
        <v>3.24E-6</v>
      </c>
      <c r="C113" s="56">
        <v>2.64E-5</v>
      </c>
      <c r="D113" s="56">
        <v>5.32E-6</v>
      </c>
      <c r="E113" s="56">
        <v>4.08E-6</v>
      </c>
      <c r="F113" s="56">
        <v>5.36E-6</v>
      </c>
      <c r="G113" s="56">
        <v>7.24E-6</v>
      </c>
      <c r="H113" s="56">
        <v>4.64E-5</v>
      </c>
      <c r="I113" s="56">
        <v>5.19E-6</v>
      </c>
      <c r="J113" s="56">
        <v>4.67E-6</v>
      </c>
      <c r="K113" s="56">
        <v>1.62E-6</v>
      </c>
      <c r="L113" s="56">
        <v>2.54E-6</v>
      </c>
      <c r="M113" s="57">
        <v>2.66E-6</v>
      </c>
    </row>
    <row r="114" ht="14.25" customHeight="1">
      <c r="A114" s="48"/>
      <c r="B114" s="53"/>
      <c r="C114" s="53"/>
      <c r="D114" s="53"/>
      <c r="E114" s="53"/>
      <c r="F114" s="53"/>
      <c r="G114" s="53"/>
      <c r="H114" s="53"/>
      <c r="I114" s="53"/>
      <c r="J114" s="53"/>
      <c r="K114" s="53"/>
      <c r="L114" s="53"/>
      <c r="M114" s="53"/>
    </row>
    <row r="115" ht="14.25" customHeight="1">
      <c r="A115" s="46" t="s">
        <v>332</v>
      </c>
      <c r="B115" s="47"/>
      <c r="C115" s="47"/>
      <c r="D115" s="47"/>
      <c r="E115" s="47"/>
      <c r="F115" s="47"/>
      <c r="G115" s="47"/>
      <c r="H115" s="47"/>
      <c r="I115" s="47"/>
      <c r="J115" s="47"/>
      <c r="K115" s="47"/>
      <c r="L115" s="47"/>
      <c r="M115" s="47"/>
    </row>
    <row r="116" ht="14.25" customHeight="1">
      <c r="A116" s="48"/>
      <c r="B116" s="48" t="s">
        <v>299</v>
      </c>
      <c r="C116" s="48" t="s">
        <v>300</v>
      </c>
      <c r="D116" s="48" t="s">
        <v>301</v>
      </c>
      <c r="E116" s="48" t="s">
        <v>302</v>
      </c>
      <c r="F116" s="48" t="s">
        <v>303</v>
      </c>
      <c r="G116" s="48" t="s">
        <v>304</v>
      </c>
      <c r="H116" s="48" t="s">
        <v>305</v>
      </c>
      <c r="I116" s="48" t="s">
        <v>306</v>
      </c>
      <c r="J116" s="48" t="s">
        <v>307</v>
      </c>
      <c r="K116" s="48" t="s">
        <v>308</v>
      </c>
      <c r="L116" s="48" t="s">
        <v>309</v>
      </c>
      <c r="M116" s="48" t="s">
        <v>310</v>
      </c>
    </row>
    <row r="117" ht="14.25" customHeight="1">
      <c r="A117" s="48" t="s">
        <v>311</v>
      </c>
      <c r="B117" s="49">
        <v>4.47E-6</v>
      </c>
      <c r="C117" s="50">
        <v>4.24E-6</v>
      </c>
      <c r="D117" s="50">
        <v>1.81E-6</v>
      </c>
      <c r="E117" s="50">
        <v>9.86E-6</v>
      </c>
      <c r="F117" s="50">
        <v>5.04E-6</v>
      </c>
      <c r="G117" s="50">
        <v>6.54E-6</v>
      </c>
      <c r="H117" s="50">
        <v>9.62E-5</v>
      </c>
      <c r="I117" s="50">
        <v>4.76E-6</v>
      </c>
      <c r="J117" s="50">
        <v>4.88E-6</v>
      </c>
      <c r="K117" s="50">
        <v>3.28E-6</v>
      </c>
      <c r="L117" s="50">
        <v>1.87E-5</v>
      </c>
      <c r="M117" s="51">
        <v>4.03E-6</v>
      </c>
    </row>
    <row r="118" ht="14.25" customHeight="1">
      <c r="A118" s="48" t="s">
        <v>312</v>
      </c>
      <c r="B118" s="52">
        <v>4.07E-6</v>
      </c>
      <c r="C118" s="53">
        <v>5.32E-6</v>
      </c>
      <c r="D118" s="53">
        <v>1.1E-5</v>
      </c>
      <c r="E118" s="53">
        <v>8.85E-6</v>
      </c>
      <c r="F118" s="53">
        <v>1.88E-6</v>
      </c>
      <c r="G118" s="53">
        <v>7.58E-6</v>
      </c>
      <c r="H118" s="53">
        <v>1.59696E-4</v>
      </c>
      <c r="I118" s="53">
        <v>2.79E-6</v>
      </c>
      <c r="J118" s="53">
        <v>6.99E-6</v>
      </c>
      <c r="K118" s="53">
        <v>3.75E-6</v>
      </c>
      <c r="L118" s="53">
        <v>9.64E-6</v>
      </c>
      <c r="M118" s="54">
        <v>1.59E-6</v>
      </c>
    </row>
    <row r="119" ht="14.25" customHeight="1">
      <c r="A119" s="48" t="s">
        <v>313</v>
      </c>
      <c r="B119" s="52">
        <v>7.95E-6</v>
      </c>
      <c r="C119" s="53">
        <v>1.26E-5</v>
      </c>
      <c r="D119" s="53">
        <v>3.38E-6</v>
      </c>
      <c r="E119" s="53">
        <v>1.05E-5</v>
      </c>
      <c r="F119" s="53">
        <v>1.38E-6</v>
      </c>
      <c r="G119" s="53">
        <v>5.16E-6</v>
      </c>
      <c r="H119" s="53">
        <v>8.43E-5</v>
      </c>
      <c r="I119" s="53">
        <v>1.85E-6</v>
      </c>
      <c r="J119" s="53">
        <v>2.51E-6</v>
      </c>
      <c r="K119" s="53">
        <v>1.58E-6</v>
      </c>
      <c r="L119" s="53">
        <v>9.48E-6</v>
      </c>
      <c r="M119" s="54">
        <v>1.49E-6</v>
      </c>
    </row>
    <row r="120" ht="14.25" customHeight="1">
      <c r="A120" s="48" t="s">
        <v>314</v>
      </c>
      <c r="B120" s="52">
        <v>2.27E-6</v>
      </c>
      <c r="C120" s="53">
        <v>7.18E-6</v>
      </c>
      <c r="D120" s="53">
        <v>6.01E-6</v>
      </c>
      <c r="E120" s="53">
        <v>6.35E-6</v>
      </c>
      <c r="F120" s="53">
        <v>4.34E-6</v>
      </c>
      <c r="G120" s="53">
        <v>6.7E-6</v>
      </c>
      <c r="H120" s="53">
        <v>1.03382E-4</v>
      </c>
      <c r="I120" s="53">
        <v>5.13E-6</v>
      </c>
      <c r="J120" s="53">
        <v>4.94E-6</v>
      </c>
      <c r="K120" s="53">
        <v>3.33E-6</v>
      </c>
      <c r="L120" s="53">
        <v>4.54E-6</v>
      </c>
      <c r="M120" s="54">
        <v>1.25E-6</v>
      </c>
    </row>
    <row r="121" ht="14.25" customHeight="1">
      <c r="A121" s="48" t="s">
        <v>315</v>
      </c>
      <c r="B121" s="52">
        <v>9.0E-6</v>
      </c>
      <c r="C121" s="53">
        <v>1.35E-5</v>
      </c>
      <c r="D121" s="53">
        <v>2.12E-6</v>
      </c>
      <c r="E121" s="53">
        <v>1.14E-5</v>
      </c>
      <c r="F121" s="53">
        <v>3.72E-6</v>
      </c>
      <c r="G121" s="53">
        <v>9.6E-6</v>
      </c>
      <c r="H121" s="53">
        <v>8.09E-5</v>
      </c>
      <c r="I121" s="53">
        <v>2.62E-6</v>
      </c>
      <c r="J121" s="53">
        <v>6.07E-6</v>
      </c>
      <c r="K121" s="53">
        <v>3.69E-6</v>
      </c>
      <c r="L121" s="53">
        <v>1.76E-5</v>
      </c>
      <c r="M121" s="54">
        <v>1.25E-5</v>
      </c>
    </row>
    <row r="122" ht="14.25" customHeight="1">
      <c r="A122" s="48" t="s">
        <v>316</v>
      </c>
      <c r="B122" s="52">
        <v>4.69E-6</v>
      </c>
      <c r="C122" s="53">
        <v>1.42E-5</v>
      </c>
      <c r="D122" s="53">
        <v>9.39E-6</v>
      </c>
      <c r="E122" s="53">
        <v>5.61E-6</v>
      </c>
      <c r="F122" s="53">
        <v>6.0E-6</v>
      </c>
      <c r="G122" s="53">
        <v>1.9E-5</v>
      </c>
      <c r="H122" s="53">
        <v>6.26E-5</v>
      </c>
      <c r="I122" s="53">
        <v>1.01E-6</v>
      </c>
      <c r="J122" s="53">
        <v>4.94E-6</v>
      </c>
      <c r="K122" s="53">
        <v>7.62E-6</v>
      </c>
      <c r="L122" s="53">
        <v>1.61E-5</v>
      </c>
      <c r="M122" s="54">
        <v>1.7E-5</v>
      </c>
    </row>
    <row r="123" ht="14.25" customHeight="1">
      <c r="A123" s="48" t="s">
        <v>317</v>
      </c>
      <c r="B123" s="52">
        <v>1.44E-5</v>
      </c>
      <c r="C123" s="53">
        <v>1.51E-5</v>
      </c>
      <c r="D123" s="53">
        <v>2.21E-6</v>
      </c>
      <c r="E123" s="53">
        <v>1.17E-5</v>
      </c>
      <c r="F123" s="53">
        <v>1.61E-6</v>
      </c>
      <c r="G123" s="53">
        <v>1.19E-5</v>
      </c>
      <c r="H123" s="53">
        <v>4.74E-5</v>
      </c>
      <c r="I123" s="53">
        <v>1.64E-6</v>
      </c>
      <c r="J123" s="53">
        <v>3.01E-6</v>
      </c>
      <c r="K123" s="53">
        <v>1.14E-6</v>
      </c>
      <c r="L123" s="53">
        <v>1.5E-5</v>
      </c>
      <c r="M123" s="54">
        <v>1.18E-5</v>
      </c>
    </row>
    <row r="124" ht="14.25" customHeight="1">
      <c r="A124" s="48" t="s">
        <v>318</v>
      </c>
      <c r="B124" s="52">
        <v>4.21E-6</v>
      </c>
      <c r="C124" s="53">
        <v>1.12E-5</v>
      </c>
      <c r="D124" s="53">
        <v>7.94E-6</v>
      </c>
      <c r="E124" s="53">
        <v>5.4E-6</v>
      </c>
      <c r="F124" s="53">
        <v>6.34E-6</v>
      </c>
      <c r="G124" s="53">
        <v>1.24E-5</v>
      </c>
      <c r="H124" s="53">
        <v>6.44E-5</v>
      </c>
      <c r="I124" s="53">
        <v>5.35E-6</v>
      </c>
      <c r="J124" s="53">
        <v>6.46E-6</v>
      </c>
      <c r="K124" s="53">
        <v>3.9E-6</v>
      </c>
      <c r="L124" s="53">
        <v>9.24E-6</v>
      </c>
      <c r="M124" s="54">
        <v>8.67E-6</v>
      </c>
    </row>
    <row r="125" ht="14.25" customHeight="1">
      <c r="A125" s="48" t="s">
        <v>319</v>
      </c>
      <c r="B125" s="52">
        <v>7.66E-6</v>
      </c>
      <c r="C125" s="53">
        <v>9.67E-6</v>
      </c>
      <c r="D125" s="53">
        <v>2.33E-6</v>
      </c>
      <c r="E125" s="53">
        <v>9.21E-6</v>
      </c>
      <c r="F125" s="53">
        <v>3.75E-6</v>
      </c>
      <c r="G125" s="53">
        <v>1.12E-5</v>
      </c>
      <c r="H125" s="53">
        <v>6.99E-5</v>
      </c>
      <c r="I125" s="53">
        <v>4.65E-7</v>
      </c>
      <c r="J125" s="53">
        <v>6.22E-6</v>
      </c>
      <c r="K125" s="53">
        <v>4.53E-6</v>
      </c>
      <c r="L125" s="53">
        <v>1.56E-5</v>
      </c>
      <c r="M125" s="54">
        <v>3.78E-6</v>
      </c>
    </row>
    <row r="126" ht="14.25" customHeight="1">
      <c r="A126" s="48" t="s">
        <v>320</v>
      </c>
      <c r="B126" s="52">
        <v>7.74E-6</v>
      </c>
      <c r="C126" s="53">
        <v>1.5E-5</v>
      </c>
      <c r="D126" s="53">
        <v>1.67E-5</v>
      </c>
      <c r="E126" s="53">
        <v>4.49E-6</v>
      </c>
      <c r="F126" s="53">
        <v>1.84E-6</v>
      </c>
      <c r="G126" s="53">
        <v>1.94E-5</v>
      </c>
      <c r="H126" s="53">
        <v>6.4E-5</v>
      </c>
      <c r="I126" s="53">
        <v>8.52E-7</v>
      </c>
      <c r="J126" s="53">
        <v>1.31E-5</v>
      </c>
      <c r="K126" s="53">
        <v>9.65E-6</v>
      </c>
      <c r="L126" s="53">
        <v>1.47E-5</v>
      </c>
      <c r="M126" s="54">
        <v>5.7E-6</v>
      </c>
    </row>
    <row r="127" ht="14.25" customHeight="1">
      <c r="A127" s="48" t="s">
        <v>321</v>
      </c>
      <c r="B127" s="52">
        <v>1.49E-5</v>
      </c>
      <c r="C127" s="53">
        <v>1.99E-5</v>
      </c>
      <c r="D127" s="53">
        <v>5.71E-6</v>
      </c>
      <c r="E127" s="53">
        <v>8.99E-6</v>
      </c>
      <c r="F127" s="53">
        <v>1.5E-6</v>
      </c>
      <c r="G127" s="53">
        <v>2.82E-5</v>
      </c>
      <c r="H127" s="53">
        <v>4.15E-5</v>
      </c>
      <c r="I127" s="53">
        <v>4.62E-6</v>
      </c>
      <c r="J127" s="53">
        <v>3.39E-6</v>
      </c>
      <c r="K127" s="53">
        <v>2.86E-6</v>
      </c>
      <c r="L127" s="53">
        <v>1.4E-5</v>
      </c>
      <c r="M127" s="54">
        <v>6.1E-6</v>
      </c>
    </row>
    <row r="128" ht="14.25" customHeight="1">
      <c r="A128" s="48" t="s">
        <v>322</v>
      </c>
      <c r="B128" s="52">
        <v>2.42E-6</v>
      </c>
      <c r="C128" s="53">
        <v>1.2E-5</v>
      </c>
      <c r="D128" s="53">
        <v>8.13E-6</v>
      </c>
      <c r="E128" s="53">
        <v>1.12E-5</v>
      </c>
      <c r="F128" s="53">
        <v>4.18E-6</v>
      </c>
      <c r="G128" s="53">
        <v>1.03E-5</v>
      </c>
      <c r="H128" s="53">
        <v>6.86E-5</v>
      </c>
      <c r="I128" s="53">
        <v>2.72E-6</v>
      </c>
      <c r="J128" s="53">
        <v>1.03E-5</v>
      </c>
      <c r="K128" s="53">
        <v>8.42E-6</v>
      </c>
      <c r="L128" s="53">
        <v>5.56E-6</v>
      </c>
      <c r="M128" s="54">
        <v>3.38E-6</v>
      </c>
    </row>
    <row r="129" ht="14.25" customHeight="1">
      <c r="A129" s="48" t="s">
        <v>323</v>
      </c>
      <c r="B129" s="52">
        <v>7.43E-6</v>
      </c>
      <c r="C129" s="53">
        <v>1.5E-5</v>
      </c>
      <c r="D129" s="53">
        <v>2.49E-6</v>
      </c>
      <c r="E129" s="53">
        <v>1.2E-5</v>
      </c>
      <c r="F129" s="53">
        <v>3.6E-6</v>
      </c>
      <c r="G129" s="53">
        <v>6.98E-6</v>
      </c>
      <c r="H129" s="53">
        <v>9.44E-5</v>
      </c>
      <c r="I129" s="53">
        <v>1.93E-6</v>
      </c>
      <c r="J129" s="53">
        <v>6.65E-6</v>
      </c>
      <c r="K129" s="53">
        <v>2.33E-6</v>
      </c>
      <c r="L129" s="53">
        <v>1.33E-5</v>
      </c>
      <c r="M129" s="54">
        <v>8.89E-6</v>
      </c>
    </row>
    <row r="130" ht="14.25" customHeight="1">
      <c r="A130" s="48" t="s">
        <v>324</v>
      </c>
      <c r="B130" s="52">
        <v>4.89E-6</v>
      </c>
      <c r="C130" s="53">
        <v>1.94E-5</v>
      </c>
      <c r="D130" s="53">
        <v>9.08E-6</v>
      </c>
      <c r="E130" s="53">
        <v>8.87E-6</v>
      </c>
      <c r="F130" s="53">
        <v>6.7E-7</v>
      </c>
      <c r="G130" s="53">
        <v>1.31E-5</v>
      </c>
      <c r="H130" s="53">
        <v>8.91E-5</v>
      </c>
      <c r="I130" s="53">
        <v>1.82E-6</v>
      </c>
      <c r="J130" s="53">
        <v>5.25E-6</v>
      </c>
      <c r="K130" s="53">
        <v>3.87E-6</v>
      </c>
      <c r="L130" s="53">
        <v>1.6E-5</v>
      </c>
      <c r="M130" s="54">
        <v>7.65E-6</v>
      </c>
    </row>
    <row r="131" ht="14.25" customHeight="1">
      <c r="A131" s="48" t="s">
        <v>325</v>
      </c>
      <c r="B131" s="52">
        <v>1.29E-5</v>
      </c>
      <c r="C131" s="53">
        <v>4.52E-5</v>
      </c>
      <c r="D131" s="53">
        <v>4.8E-6</v>
      </c>
      <c r="E131" s="53">
        <v>1.01E-5</v>
      </c>
      <c r="F131" s="53">
        <v>4.84E-6</v>
      </c>
      <c r="G131" s="53">
        <v>8.21E-6</v>
      </c>
      <c r="H131" s="53">
        <v>6.25E-5</v>
      </c>
      <c r="I131" s="53">
        <v>1.43E-6</v>
      </c>
      <c r="J131" s="53">
        <v>7.5E-6</v>
      </c>
      <c r="K131" s="53">
        <v>1.11E-6</v>
      </c>
      <c r="L131" s="53">
        <v>9.42E-6</v>
      </c>
      <c r="M131" s="54">
        <v>1.01E-5</v>
      </c>
    </row>
    <row r="132" ht="14.25" customHeight="1">
      <c r="A132" s="48" t="s">
        <v>326</v>
      </c>
      <c r="B132" s="55">
        <v>3.19E-6</v>
      </c>
      <c r="C132" s="56">
        <v>3.42E-5</v>
      </c>
      <c r="D132" s="56">
        <v>4.11E-6</v>
      </c>
      <c r="E132" s="56">
        <v>7.03E-6</v>
      </c>
      <c r="F132" s="56">
        <v>4.26E-6</v>
      </c>
      <c r="G132" s="56">
        <v>7.55E-6</v>
      </c>
      <c r="H132" s="56">
        <v>8.85E-5</v>
      </c>
      <c r="I132" s="56">
        <v>3.2E-6</v>
      </c>
      <c r="J132" s="56">
        <v>4.53E-6</v>
      </c>
      <c r="K132" s="56">
        <v>2.44E-6</v>
      </c>
      <c r="L132" s="56">
        <v>5.47E-6</v>
      </c>
      <c r="M132" s="57">
        <v>3.29E-6</v>
      </c>
    </row>
    <row r="133" ht="14.25" customHeight="1">
      <c r="A133" s="48"/>
      <c r="B133" s="21"/>
      <c r="C133" s="21"/>
      <c r="D133" s="21"/>
      <c r="E133" s="21"/>
      <c r="F133" s="21"/>
      <c r="G133" s="21"/>
      <c r="H133" s="21"/>
      <c r="I133" s="21"/>
      <c r="J133" s="21"/>
      <c r="K133" s="21"/>
      <c r="L133" s="21"/>
      <c r="M133" s="21"/>
    </row>
    <row r="134" ht="14.25" customHeight="1">
      <c r="A134" s="58" t="s">
        <v>333</v>
      </c>
    </row>
    <row r="135" ht="14.25" customHeight="1"/>
    <row r="136" ht="14.25" customHeight="1"/>
    <row r="137" ht="14.25" customHeight="1"/>
    <row r="138" ht="14.25" customHeight="1">
      <c r="A138" s="25"/>
      <c r="B138" s="25"/>
      <c r="C138" s="25"/>
      <c r="D138" s="25"/>
      <c r="E138" s="25"/>
      <c r="F138" s="25"/>
      <c r="G138" s="25"/>
      <c r="H138" s="25"/>
      <c r="I138" s="25"/>
      <c r="J138" s="25"/>
      <c r="K138" s="25"/>
      <c r="L138" s="25"/>
      <c r="M138" s="25"/>
    </row>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34:M137"/>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38"/>
    <col customWidth="1" min="2" max="26" width="8.63"/>
  </cols>
  <sheetData>
    <row r="1" ht="14.25" customHeight="1">
      <c r="A1" s="46" t="s">
        <v>334</v>
      </c>
      <c r="B1" s="47"/>
      <c r="C1" s="47"/>
      <c r="D1" s="47"/>
      <c r="E1" s="47"/>
      <c r="F1" s="47"/>
      <c r="G1" s="47"/>
      <c r="H1" s="47"/>
      <c r="I1" s="47"/>
      <c r="J1" s="47"/>
      <c r="K1" s="47"/>
      <c r="L1" s="47"/>
      <c r="M1" s="47"/>
    </row>
    <row r="2" ht="14.25" customHeight="1">
      <c r="A2" s="48"/>
      <c r="B2" s="48" t="s">
        <v>299</v>
      </c>
      <c r="C2" s="48" t="s">
        <v>300</v>
      </c>
      <c r="D2" s="48" t="s">
        <v>301</v>
      </c>
      <c r="E2" s="48" t="s">
        <v>302</v>
      </c>
      <c r="F2" s="48" t="s">
        <v>303</v>
      </c>
      <c r="G2" s="48" t="s">
        <v>304</v>
      </c>
      <c r="H2" s="48" t="s">
        <v>305</v>
      </c>
      <c r="I2" s="48" t="s">
        <v>306</v>
      </c>
      <c r="J2" s="48" t="s">
        <v>307</v>
      </c>
      <c r="K2" s="48" t="s">
        <v>308</v>
      </c>
      <c r="L2" s="48" t="s">
        <v>309</v>
      </c>
      <c r="M2" s="48" t="s">
        <v>310</v>
      </c>
    </row>
    <row r="3" ht="14.25" customHeight="1">
      <c r="A3" s="48" t="s">
        <v>311</v>
      </c>
      <c r="B3" s="59">
        <v>0.0177</v>
      </c>
      <c r="C3" s="60">
        <v>0.354</v>
      </c>
      <c r="D3" s="61">
        <v>0.0531</v>
      </c>
      <c r="E3" s="60">
        <v>0.8148</v>
      </c>
      <c r="F3" s="62">
        <v>0.037</v>
      </c>
      <c r="G3" s="61">
        <v>0.8148</v>
      </c>
      <c r="H3" s="60">
        <v>0.9512</v>
      </c>
      <c r="I3" s="60">
        <v>0.0488</v>
      </c>
      <c r="J3" s="61">
        <v>0.1463</v>
      </c>
      <c r="K3" s="60">
        <v>0.0556</v>
      </c>
      <c r="L3" s="60">
        <v>0.7778</v>
      </c>
      <c r="M3" s="63">
        <v>0.0</v>
      </c>
    </row>
    <row r="4" ht="14.25" customHeight="1">
      <c r="A4" s="48" t="s">
        <v>312</v>
      </c>
      <c r="B4" s="64">
        <v>0.0182</v>
      </c>
      <c r="C4" s="65">
        <v>0.3939</v>
      </c>
      <c r="D4" s="66">
        <v>0.097</v>
      </c>
      <c r="E4" s="65">
        <v>0.7353</v>
      </c>
      <c r="F4" s="65">
        <v>0.0</v>
      </c>
      <c r="G4" s="66">
        <v>0.8529</v>
      </c>
      <c r="H4" s="67">
        <v>1.0</v>
      </c>
      <c r="I4" s="65">
        <v>0.0</v>
      </c>
      <c r="J4" s="66">
        <v>0.1875</v>
      </c>
      <c r="K4" s="65">
        <v>0.0822</v>
      </c>
      <c r="L4" s="65">
        <v>0.5479</v>
      </c>
      <c r="M4" s="68">
        <v>0.0</v>
      </c>
    </row>
    <row r="5" ht="14.25" customHeight="1">
      <c r="A5" s="48" t="s">
        <v>313</v>
      </c>
      <c r="B5" s="64">
        <v>0.0517</v>
      </c>
      <c r="C5" s="65">
        <v>0.4828</v>
      </c>
      <c r="D5" s="66">
        <v>0.0517</v>
      </c>
      <c r="E5" s="65">
        <v>0.6818</v>
      </c>
      <c r="F5" s="65">
        <v>0.0455</v>
      </c>
      <c r="G5" s="66">
        <v>0.5</v>
      </c>
      <c r="H5" s="65">
        <v>1.0</v>
      </c>
      <c r="I5" s="65">
        <v>0.0</v>
      </c>
      <c r="J5" s="66">
        <v>0.1667</v>
      </c>
      <c r="K5" s="65">
        <v>0.0208</v>
      </c>
      <c r="L5" s="65">
        <v>0.2917</v>
      </c>
      <c r="M5" s="68">
        <v>0.0208</v>
      </c>
    </row>
    <row r="6" ht="14.25" customHeight="1">
      <c r="A6" s="48" t="s">
        <v>314</v>
      </c>
      <c r="B6" s="69">
        <v>0.0068</v>
      </c>
      <c r="C6" s="65">
        <v>0.3401</v>
      </c>
      <c r="D6" s="66">
        <v>0.0476</v>
      </c>
      <c r="E6" s="65">
        <v>0.8276</v>
      </c>
      <c r="F6" s="65">
        <v>0.1724</v>
      </c>
      <c r="G6" s="66">
        <v>0.1724</v>
      </c>
      <c r="H6" s="65">
        <v>0.9483</v>
      </c>
      <c r="I6" s="65">
        <v>0.0345</v>
      </c>
      <c r="J6" s="66">
        <v>0.1207</v>
      </c>
      <c r="K6" s="65">
        <v>0.0455</v>
      </c>
      <c r="L6" s="65">
        <v>0.3182</v>
      </c>
      <c r="M6" s="68">
        <v>0.0</v>
      </c>
    </row>
    <row r="7" ht="14.25" customHeight="1">
      <c r="A7" s="48" t="s">
        <v>315</v>
      </c>
      <c r="B7" s="64">
        <v>0.0164</v>
      </c>
      <c r="C7" s="65">
        <v>0.2951</v>
      </c>
      <c r="D7" s="66">
        <v>0.0</v>
      </c>
      <c r="E7" s="65">
        <v>0.3333</v>
      </c>
      <c r="F7" s="65">
        <v>0.0</v>
      </c>
      <c r="G7" s="66">
        <v>0.3333</v>
      </c>
      <c r="H7" s="65">
        <v>1.0</v>
      </c>
      <c r="I7" s="65">
        <v>0.0</v>
      </c>
      <c r="J7" s="66">
        <v>0.0</v>
      </c>
      <c r="K7" s="65">
        <v>0.0</v>
      </c>
      <c r="L7" s="67">
        <v>1.0</v>
      </c>
      <c r="M7" s="68">
        <v>0.0909</v>
      </c>
    </row>
    <row r="8" ht="14.25" customHeight="1">
      <c r="A8" s="48" t="s">
        <v>316</v>
      </c>
      <c r="B8" s="64">
        <v>0.0</v>
      </c>
      <c r="C8" s="65">
        <v>0.2558</v>
      </c>
      <c r="D8" s="66">
        <v>0.0155</v>
      </c>
      <c r="E8" s="67">
        <v>1.0</v>
      </c>
      <c r="F8" s="65">
        <v>0.0</v>
      </c>
      <c r="G8" s="66">
        <v>1.0</v>
      </c>
      <c r="H8" s="65">
        <v>1.0</v>
      </c>
      <c r="I8" s="65">
        <v>0.0</v>
      </c>
      <c r="J8" s="66">
        <v>0.0833</v>
      </c>
      <c r="K8" s="65">
        <v>0.0741</v>
      </c>
      <c r="L8" s="65">
        <v>0.4074</v>
      </c>
      <c r="M8" s="68">
        <v>0.1111</v>
      </c>
    </row>
    <row r="9" ht="14.25" customHeight="1">
      <c r="A9" s="48" t="s">
        <v>317</v>
      </c>
      <c r="B9" s="64">
        <v>0.0556</v>
      </c>
      <c r="C9" s="67">
        <v>0.7222</v>
      </c>
      <c r="D9" s="66">
        <v>0.0</v>
      </c>
      <c r="E9" s="65">
        <v>1.0</v>
      </c>
      <c r="F9" s="65">
        <v>0.0</v>
      </c>
      <c r="G9" s="66">
        <v>1.0</v>
      </c>
      <c r="H9" s="65">
        <v>1.0</v>
      </c>
      <c r="I9" s="65">
        <v>0.0</v>
      </c>
      <c r="J9" s="66">
        <v>0.25</v>
      </c>
      <c r="K9" s="65">
        <v>0.0</v>
      </c>
      <c r="L9" s="65">
        <v>0.1905</v>
      </c>
      <c r="M9" s="68">
        <v>0.0</v>
      </c>
    </row>
    <row r="10" ht="14.25" customHeight="1">
      <c r="A10" s="48" t="s">
        <v>318</v>
      </c>
      <c r="B10" s="64">
        <v>0.0244</v>
      </c>
      <c r="C10" s="65">
        <v>0.2073</v>
      </c>
      <c r="D10" s="66">
        <v>0.0</v>
      </c>
      <c r="E10" s="65">
        <v>0.0</v>
      </c>
      <c r="F10" s="65">
        <v>0.0</v>
      </c>
      <c r="G10" s="66">
        <v>1.0</v>
      </c>
      <c r="H10" s="65">
        <v>0.9211</v>
      </c>
      <c r="I10" s="65">
        <v>0.0</v>
      </c>
      <c r="J10" s="66">
        <v>0.0789</v>
      </c>
      <c r="K10" s="65">
        <v>0.0345</v>
      </c>
      <c r="L10" s="65">
        <v>0.3103</v>
      </c>
      <c r="M10" s="68">
        <v>0.1724</v>
      </c>
    </row>
    <row r="11" ht="14.25" customHeight="1">
      <c r="A11" s="48" t="s">
        <v>319</v>
      </c>
      <c r="B11" s="64">
        <v>0.0683</v>
      </c>
      <c r="C11" s="65">
        <v>0.3268</v>
      </c>
      <c r="D11" s="66">
        <v>0.0098</v>
      </c>
      <c r="E11" s="65">
        <v>0.95</v>
      </c>
      <c r="F11" s="65">
        <v>0.15</v>
      </c>
      <c r="G11" s="66">
        <v>0.95</v>
      </c>
      <c r="H11" s="65">
        <v>1.0</v>
      </c>
      <c r="I11" s="65">
        <v>0.05</v>
      </c>
      <c r="J11" s="66">
        <v>0.4</v>
      </c>
      <c r="K11" s="65">
        <v>0.1327</v>
      </c>
      <c r="L11" s="65">
        <v>0.7168</v>
      </c>
      <c r="M11" s="68">
        <v>0.0442</v>
      </c>
    </row>
    <row r="12" ht="14.25" customHeight="1">
      <c r="A12" s="48" t="s">
        <v>320</v>
      </c>
      <c r="B12" s="64">
        <v>0.0121</v>
      </c>
      <c r="C12" s="65">
        <v>0.5304</v>
      </c>
      <c r="D12" s="66">
        <v>0.1457</v>
      </c>
      <c r="E12" s="65">
        <v>1.0</v>
      </c>
      <c r="F12" s="65">
        <v>0.0769</v>
      </c>
      <c r="G12" s="66">
        <v>1.0</v>
      </c>
      <c r="H12" s="65">
        <v>1.0</v>
      </c>
      <c r="I12" s="65">
        <v>0.0</v>
      </c>
      <c r="J12" s="66">
        <v>0.1765</v>
      </c>
      <c r="K12" s="65">
        <v>0.1688</v>
      </c>
      <c r="L12" s="65">
        <v>0.5313</v>
      </c>
      <c r="M12" s="68">
        <v>0.025</v>
      </c>
    </row>
    <row r="13" ht="14.25" customHeight="1">
      <c r="A13" s="48" t="s">
        <v>321</v>
      </c>
      <c r="B13" s="64">
        <v>0.0769</v>
      </c>
      <c r="C13" s="65">
        <v>0.6538</v>
      </c>
      <c r="D13" s="66">
        <v>0.0256</v>
      </c>
      <c r="E13" s="65">
        <v>0.9474</v>
      </c>
      <c r="F13" s="65">
        <v>0.0</v>
      </c>
      <c r="G13" s="66">
        <v>0.9474</v>
      </c>
      <c r="H13" s="65">
        <v>1.0</v>
      </c>
      <c r="I13" s="65">
        <v>0.05</v>
      </c>
      <c r="J13" s="66">
        <v>0.2</v>
      </c>
      <c r="K13" s="65">
        <v>0.0559</v>
      </c>
      <c r="L13" s="65">
        <v>0.2517</v>
      </c>
      <c r="M13" s="68">
        <v>0.021</v>
      </c>
    </row>
    <row r="14" ht="14.25" customHeight="1">
      <c r="A14" s="48" t="s">
        <v>322</v>
      </c>
      <c r="B14" s="70">
        <v>0.0212</v>
      </c>
      <c r="C14" s="71">
        <v>0.4661</v>
      </c>
      <c r="D14" s="72">
        <v>0.0085</v>
      </c>
      <c r="E14" s="71">
        <v>1.0</v>
      </c>
      <c r="F14" s="71">
        <v>0.2</v>
      </c>
      <c r="G14" s="72">
        <v>0.8</v>
      </c>
      <c r="H14" s="71">
        <v>1.0</v>
      </c>
      <c r="I14" s="73">
        <v>0.0122</v>
      </c>
      <c r="J14" s="72">
        <v>0.1951</v>
      </c>
      <c r="K14" s="71">
        <v>0.1973</v>
      </c>
      <c r="L14" s="71">
        <v>0.2041</v>
      </c>
      <c r="M14" s="74">
        <v>0.0136</v>
      </c>
    </row>
    <row r="15" ht="14.25" customHeight="1">
      <c r="A15" s="48"/>
      <c r="B15" s="21"/>
      <c r="C15" s="21"/>
      <c r="D15" s="21"/>
      <c r="E15" s="21"/>
      <c r="F15" s="21"/>
      <c r="G15" s="21"/>
      <c r="H15" s="21"/>
      <c r="I15" s="21"/>
      <c r="J15" s="21"/>
      <c r="K15" s="21"/>
      <c r="L15" s="21"/>
      <c r="M15" s="21"/>
    </row>
    <row r="16" ht="14.25" customHeight="1">
      <c r="A16" s="46" t="s">
        <v>335</v>
      </c>
      <c r="B16" s="21"/>
      <c r="C16" s="21"/>
      <c r="D16" s="21"/>
      <c r="E16" s="21"/>
      <c r="F16" s="21"/>
      <c r="G16" s="21"/>
      <c r="H16" s="21"/>
      <c r="I16" s="21"/>
      <c r="J16" s="21"/>
      <c r="K16" s="21"/>
      <c r="L16" s="21"/>
      <c r="M16" s="21"/>
    </row>
    <row r="17" ht="14.25" customHeight="1">
      <c r="A17" s="48"/>
      <c r="B17" s="48" t="s">
        <v>299</v>
      </c>
      <c r="C17" s="48" t="s">
        <v>300</v>
      </c>
      <c r="D17" s="48" t="s">
        <v>301</v>
      </c>
      <c r="E17" s="48" t="s">
        <v>302</v>
      </c>
      <c r="F17" s="48" t="s">
        <v>303</v>
      </c>
      <c r="G17" s="48" t="s">
        <v>304</v>
      </c>
      <c r="H17" s="48" t="s">
        <v>305</v>
      </c>
      <c r="I17" s="48" t="s">
        <v>306</v>
      </c>
      <c r="J17" s="48" t="s">
        <v>307</v>
      </c>
      <c r="K17" s="48" t="s">
        <v>308</v>
      </c>
      <c r="L17" s="48" t="s">
        <v>309</v>
      </c>
      <c r="M17" s="48" t="s">
        <v>310</v>
      </c>
    </row>
    <row r="18" ht="14.25" customHeight="1">
      <c r="A18" s="48" t="s">
        <v>311</v>
      </c>
      <c r="B18" s="59">
        <v>0.0177</v>
      </c>
      <c r="C18" s="60">
        <v>0.3451</v>
      </c>
      <c r="D18" s="60">
        <v>0.0442</v>
      </c>
      <c r="E18" s="60">
        <v>0.8148</v>
      </c>
      <c r="F18" s="60">
        <v>0.0</v>
      </c>
      <c r="G18" s="60">
        <v>0.8148</v>
      </c>
      <c r="H18" s="60">
        <v>0.9512</v>
      </c>
      <c r="I18" s="60">
        <v>0.0488</v>
      </c>
      <c r="J18" s="60">
        <v>0.1463</v>
      </c>
      <c r="K18" s="60">
        <v>0.0556</v>
      </c>
      <c r="L18" s="60">
        <v>0.7222</v>
      </c>
      <c r="M18" s="63">
        <v>0.0</v>
      </c>
    </row>
    <row r="19" ht="14.25" customHeight="1">
      <c r="A19" s="48" t="s">
        <v>312</v>
      </c>
      <c r="B19" s="64">
        <v>0.0182</v>
      </c>
      <c r="C19" s="65">
        <v>0.3818</v>
      </c>
      <c r="D19" s="65">
        <v>0.0909</v>
      </c>
      <c r="E19" s="65">
        <v>0.7353</v>
      </c>
      <c r="F19" s="65">
        <v>0.0</v>
      </c>
      <c r="G19" s="65">
        <v>0.8235</v>
      </c>
      <c r="H19" s="65">
        <v>1.0</v>
      </c>
      <c r="I19" s="65">
        <v>0.0</v>
      </c>
      <c r="J19" s="65">
        <v>0.125</v>
      </c>
      <c r="K19" s="65">
        <v>0.0822</v>
      </c>
      <c r="L19" s="65">
        <v>0.5479</v>
      </c>
      <c r="M19" s="68">
        <v>0.0</v>
      </c>
    </row>
    <row r="20" ht="14.25" customHeight="1">
      <c r="A20" s="48" t="s">
        <v>313</v>
      </c>
      <c r="B20" s="64">
        <v>0.0517</v>
      </c>
      <c r="C20" s="65">
        <v>0.4828</v>
      </c>
      <c r="D20" s="65">
        <v>0.0517</v>
      </c>
      <c r="E20" s="65">
        <v>0.6818</v>
      </c>
      <c r="F20" s="65">
        <v>0.0455</v>
      </c>
      <c r="G20" s="65">
        <v>0.5</v>
      </c>
      <c r="H20" s="65">
        <v>1.0</v>
      </c>
      <c r="I20" s="65">
        <v>0.0</v>
      </c>
      <c r="J20" s="65">
        <v>0.1667</v>
      </c>
      <c r="K20" s="65">
        <v>0.0208</v>
      </c>
      <c r="L20" s="65">
        <v>0.2917</v>
      </c>
      <c r="M20" s="68">
        <v>0.0</v>
      </c>
    </row>
    <row r="21" ht="14.25" customHeight="1">
      <c r="A21" s="48" t="s">
        <v>314</v>
      </c>
      <c r="B21" s="64">
        <v>0.0068</v>
      </c>
      <c r="C21" s="65">
        <v>0.3401</v>
      </c>
      <c r="D21" s="65">
        <v>0.0476</v>
      </c>
      <c r="E21" s="65">
        <v>0.8276</v>
      </c>
      <c r="F21" s="65">
        <v>0.1724</v>
      </c>
      <c r="G21" s="65">
        <v>0.1724</v>
      </c>
      <c r="H21" s="65">
        <v>0.9483</v>
      </c>
      <c r="I21" s="65">
        <v>0.0345</v>
      </c>
      <c r="J21" s="65">
        <v>0.1207</v>
      </c>
      <c r="K21" s="65">
        <v>0.0455</v>
      </c>
      <c r="L21" s="65">
        <v>0.3182</v>
      </c>
      <c r="M21" s="68">
        <v>0.0</v>
      </c>
    </row>
    <row r="22" ht="14.25" customHeight="1">
      <c r="A22" s="48" t="s">
        <v>315</v>
      </c>
      <c r="B22" s="64">
        <v>0.0</v>
      </c>
      <c r="C22" s="65">
        <v>0.2951</v>
      </c>
      <c r="D22" s="65">
        <v>0.0</v>
      </c>
      <c r="E22" s="65">
        <v>0.3333</v>
      </c>
      <c r="F22" s="65">
        <v>0.0</v>
      </c>
      <c r="G22" s="65">
        <v>0.3333</v>
      </c>
      <c r="H22" s="65">
        <v>1.0</v>
      </c>
      <c r="I22" s="65">
        <v>0.0</v>
      </c>
      <c r="J22" s="65">
        <v>0.0</v>
      </c>
      <c r="K22" s="65">
        <v>0.0</v>
      </c>
      <c r="L22" s="65">
        <v>1.0</v>
      </c>
      <c r="M22" s="68">
        <v>0.0909</v>
      </c>
    </row>
    <row r="23" ht="14.25" customHeight="1">
      <c r="A23" s="48" t="s">
        <v>316</v>
      </c>
      <c r="B23" s="64">
        <v>0.0</v>
      </c>
      <c r="C23" s="65">
        <v>0.2481</v>
      </c>
      <c r="D23" s="65">
        <v>0.0155</v>
      </c>
      <c r="E23" s="65">
        <v>1.0</v>
      </c>
      <c r="F23" s="65">
        <v>0.0</v>
      </c>
      <c r="G23" s="65">
        <v>1.0</v>
      </c>
      <c r="H23" s="65">
        <v>1.0</v>
      </c>
      <c r="I23" s="65">
        <v>0.0</v>
      </c>
      <c r="J23" s="65">
        <v>0.0833</v>
      </c>
      <c r="K23" s="65">
        <v>0.037</v>
      </c>
      <c r="L23" s="65">
        <v>0.4074</v>
      </c>
      <c r="M23" s="68">
        <v>0.1111</v>
      </c>
    </row>
    <row r="24" ht="14.25" customHeight="1">
      <c r="A24" s="48" t="s">
        <v>317</v>
      </c>
      <c r="B24" s="64">
        <v>0.0556</v>
      </c>
      <c r="C24" s="65">
        <v>0.6667</v>
      </c>
      <c r="D24" s="65">
        <v>0.0</v>
      </c>
      <c r="E24" s="65">
        <v>1.0</v>
      </c>
      <c r="F24" s="65">
        <v>0.0</v>
      </c>
      <c r="G24" s="65">
        <v>1.0</v>
      </c>
      <c r="H24" s="65">
        <v>1.0</v>
      </c>
      <c r="I24" s="65">
        <v>0.0</v>
      </c>
      <c r="J24" s="65">
        <v>0.25</v>
      </c>
      <c r="K24" s="65">
        <v>0.0</v>
      </c>
      <c r="L24" s="65">
        <v>0.1905</v>
      </c>
      <c r="M24" s="68">
        <v>0.0</v>
      </c>
    </row>
    <row r="25" ht="14.25" customHeight="1">
      <c r="A25" s="48" t="s">
        <v>318</v>
      </c>
      <c r="B25" s="64">
        <v>0.0244</v>
      </c>
      <c r="C25" s="65">
        <v>0.1951</v>
      </c>
      <c r="D25" s="65">
        <v>0.0</v>
      </c>
      <c r="E25" s="65">
        <v>0.0</v>
      </c>
      <c r="F25" s="65">
        <v>0.0</v>
      </c>
      <c r="G25" s="65">
        <v>1.0</v>
      </c>
      <c r="H25" s="65">
        <v>0.9211</v>
      </c>
      <c r="I25" s="65">
        <v>0.0</v>
      </c>
      <c r="J25" s="65">
        <v>0.0789</v>
      </c>
      <c r="K25" s="65">
        <v>0.0345</v>
      </c>
      <c r="L25" s="65">
        <v>0.2759</v>
      </c>
      <c r="M25" s="68">
        <v>0.1724</v>
      </c>
    </row>
    <row r="26" ht="14.25" customHeight="1">
      <c r="A26" s="48" t="s">
        <v>319</v>
      </c>
      <c r="B26" s="64">
        <v>0.0683</v>
      </c>
      <c r="C26" s="65">
        <v>0.3073</v>
      </c>
      <c r="D26" s="65">
        <v>0.0049</v>
      </c>
      <c r="E26" s="65">
        <v>1.0</v>
      </c>
      <c r="F26" s="65">
        <v>0.15</v>
      </c>
      <c r="G26" s="65">
        <v>0.95</v>
      </c>
      <c r="H26" s="65">
        <v>1.0</v>
      </c>
      <c r="I26" s="65">
        <v>0.05</v>
      </c>
      <c r="J26" s="65">
        <v>0.35</v>
      </c>
      <c r="K26" s="65">
        <v>0.1239</v>
      </c>
      <c r="L26" s="65">
        <v>0.708</v>
      </c>
      <c r="M26" s="68">
        <v>0.0442</v>
      </c>
    </row>
    <row r="27" ht="14.25" customHeight="1">
      <c r="A27" s="48" t="s">
        <v>320</v>
      </c>
      <c r="B27" s="64">
        <v>0.0121</v>
      </c>
      <c r="C27" s="65">
        <v>0.5061</v>
      </c>
      <c r="D27" s="65">
        <v>0.1457</v>
      </c>
      <c r="E27" s="65">
        <v>1.0</v>
      </c>
      <c r="F27" s="65">
        <v>0.0769</v>
      </c>
      <c r="G27" s="65">
        <v>1.0</v>
      </c>
      <c r="H27" s="65">
        <v>1.0</v>
      </c>
      <c r="I27" s="65">
        <v>0.0</v>
      </c>
      <c r="J27" s="65">
        <v>0.1765</v>
      </c>
      <c r="K27" s="65">
        <v>0.1625</v>
      </c>
      <c r="L27" s="65">
        <v>0.5188</v>
      </c>
      <c r="M27" s="68">
        <v>0.025</v>
      </c>
    </row>
    <row r="28" ht="14.25" customHeight="1">
      <c r="A28" s="48" t="s">
        <v>321</v>
      </c>
      <c r="B28" s="64">
        <v>0.0769</v>
      </c>
      <c r="C28" s="65">
        <v>0.641</v>
      </c>
      <c r="D28" s="65">
        <v>0.0256</v>
      </c>
      <c r="E28" s="65">
        <v>0.9474</v>
      </c>
      <c r="F28" s="65">
        <v>0.0</v>
      </c>
      <c r="G28" s="65">
        <v>0.9474</v>
      </c>
      <c r="H28" s="65">
        <v>1.0</v>
      </c>
      <c r="I28" s="65">
        <v>0.05</v>
      </c>
      <c r="J28" s="65">
        <v>0.25</v>
      </c>
      <c r="K28" s="65">
        <v>0.049</v>
      </c>
      <c r="L28" s="65">
        <v>0.2308</v>
      </c>
      <c r="M28" s="68">
        <v>0.021</v>
      </c>
    </row>
    <row r="29" ht="14.25" customHeight="1">
      <c r="A29" s="48" t="s">
        <v>322</v>
      </c>
      <c r="B29" s="70">
        <v>0.0212</v>
      </c>
      <c r="C29" s="71">
        <v>0.4492</v>
      </c>
      <c r="D29" s="71">
        <v>0.0085</v>
      </c>
      <c r="E29" s="71">
        <v>1.0</v>
      </c>
      <c r="F29" s="71">
        <v>0.3</v>
      </c>
      <c r="G29" s="71">
        <v>0.8</v>
      </c>
      <c r="H29" s="71">
        <v>1.0</v>
      </c>
      <c r="I29" s="71">
        <v>0.0122</v>
      </c>
      <c r="J29" s="71">
        <v>0.1951</v>
      </c>
      <c r="K29" s="71">
        <v>0.1837</v>
      </c>
      <c r="L29" s="71">
        <v>0.1905</v>
      </c>
      <c r="M29" s="75">
        <v>0.0136</v>
      </c>
    </row>
    <row r="30" ht="14.25" customHeight="1">
      <c r="A30" s="48"/>
      <c r="B30" s="21"/>
      <c r="C30" s="21"/>
      <c r="D30" s="21"/>
      <c r="E30" s="21"/>
      <c r="F30" s="21"/>
      <c r="G30" s="21"/>
      <c r="H30" s="21"/>
      <c r="I30" s="21"/>
      <c r="J30" s="21"/>
      <c r="K30" s="21"/>
      <c r="L30" s="21"/>
      <c r="M30" s="21"/>
    </row>
    <row r="31" ht="14.25" customHeight="1">
      <c r="A31" s="46" t="s">
        <v>336</v>
      </c>
      <c r="B31" s="21"/>
      <c r="C31" s="21"/>
      <c r="D31" s="21"/>
      <c r="E31" s="21"/>
      <c r="F31" s="21"/>
      <c r="G31" s="21"/>
      <c r="H31" s="21"/>
      <c r="I31" s="21"/>
      <c r="J31" s="21"/>
      <c r="K31" s="21"/>
      <c r="L31" s="21"/>
      <c r="M31" s="21"/>
    </row>
    <row r="32" ht="14.25" customHeight="1">
      <c r="A32" s="48"/>
      <c r="B32" s="48" t="s">
        <v>299</v>
      </c>
      <c r="C32" s="48" t="s">
        <v>300</v>
      </c>
      <c r="D32" s="48" t="s">
        <v>301</v>
      </c>
      <c r="E32" s="48" t="s">
        <v>302</v>
      </c>
      <c r="F32" s="48" t="s">
        <v>303</v>
      </c>
      <c r="G32" s="48" t="s">
        <v>304</v>
      </c>
      <c r="H32" s="48" t="s">
        <v>305</v>
      </c>
      <c r="I32" s="48" t="s">
        <v>306</v>
      </c>
      <c r="J32" s="48" t="s">
        <v>307</v>
      </c>
      <c r="K32" s="48" t="s">
        <v>308</v>
      </c>
      <c r="L32" s="48" t="s">
        <v>309</v>
      </c>
      <c r="M32" s="48" t="s">
        <v>310</v>
      </c>
    </row>
    <row r="33" ht="14.25" customHeight="1">
      <c r="A33" s="48" t="s">
        <v>311</v>
      </c>
      <c r="B33" s="59">
        <v>0.0265</v>
      </c>
      <c r="C33" s="60">
        <v>0.2743</v>
      </c>
      <c r="D33" s="60">
        <v>0.0354</v>
      </c>
      <c r="E33" s="60">
        <v>0.8519</v>
      </c>
      <c r="F33" s="60">
        <v>0.037</v>
      </c>
      <c r="G33" s="60">
        <v>0.7037</v>
      </c>
      <c r="H33" s="60">
        <v>0.9512</v>
      </c>
      <c r="I33" s="60">
        <v>0.0</v>
      </c>
      <c r="J33" s="60">
        <v>0.0976</v>
      </c>
      <c r="K33" s="60">
        <v>0.0556</v>
      </c>
      <c r="L33" s="60">
        <v>0.6667</v>
      </c>
      <c r="M33" s="63">
        <v>0.0556</v>
      </c>
    </row>
    <row r="34" ht="14.25" customHeight="1">
      <c r="A34" s="48" t="s">
        <v>312</v>
      </c>
      <c r="B34" s="64">
        <v>0.0121</v>
      </c>
      <c r="C34" s="65">
        <v>0.303</v>
      </c>
      <c r="D34" s="65">
        <v>0.1576</v>
      </c>
      <c r="E34" s="65">
        <v>0.9118</v>
      </c>
      <c r="F34" s="65">
        <v>0.0</v>
      </c>
      <c r="G34" s="65">
        <v>0.6471</v>
      </c>
      <c r="H34" s="65">
        <v>1.0</v>
      </c>
      <c r="I34" s="65">
        <v>0.125</v>
      </c>
      <c r="J34" s="65">
        <v>0.1875</v>
      </c>
      <c r="K34" s="65">
        <v>0.0411</v>
      </c>
      <c r="L34" s="65">
        <v>0.5068</v>
      </c>
      <c r="M34" s="68">
        <v>0.0</v>
      </c>
    </row>
    <row r="35" ht="14.25" customHeight="1">
      <c r="A35" s="48" t="s">
        <v>313</v>
      </c>
      <c r="B35" s="64">
        <v>0.0345</v>
      </c>
      <c r="C35" s="65">
        <v>0.3793</v>
      </c>
      <c r="D35" s="65">
        <v>0.0517</v>
      </c>
      <c r="E35" s="65">
        <v>0.7273</v>
      </c>
      <c r="F35" s="65">
        <v>0.0</v>
      </c>
      <c r="G35" s="65">
        <v>0.4091</v>
      </c>
      <c r="H35" s="65">
        <v>1.0</v>
      </c>
      <c r="I35" s="65">
        <v>0.0</v>
      </c>
      <c r="J35" s="65">
        <v>0.2083</v>
      </c>
      <c r="K35" s="65">
        <v>0.0208</v>
      </c>
      <c r="L35" s="65">
        <v>0.1875</v>
      </c>
      <c r="M35" s="68">
        <v>0.0</v>
      </c>
    </row>
    <row r="36" ht="14.25" customHeight="1">
      <c r="A36" s="48" t="s">
        <v>314</v>
      </c>
      <c r="B36" s="64">
        <v>0.0068</v>
      </c>
      <c r="C36" s="65">
        <v>0.3129</v>
      </c>
      <c r="D36" s="65">
        <v>0.0272</v>
      </c>
      <c r="E36" s="65">
        <v>0.7931</v>
      </c>
      <c r="F36" s="65">
        <v>0.1379</v>
      </c>
      <c r="G36" s="65">
        <v>0.3793</v>
      </c>
      <c r="H36" s="65">
        <v>0.8966</v>
      </c>
      <c r="I36" s="65">
        <v>0.0</v>
      </c>
      <c r="J36" s="65">
        <v>0.069</v>
      </c>
      <c r="K36" s="65">
        <v>0.0455</v>
      </c>
      <c r="L36" s="65">
        <v>0.1136</v>
      </c>
      <c r="M36" s="68">
        <v>0.0</v>
      </c>
    </row>
    <row r="37" ht="14.25" customHeight="1">
      <c r="A37" s="48" t="s">
        <v>315</v>
      </c>
      <c r="B37" s="64">
        <v>0.0</v>
      </c>
      <c r="C37" s="65">
        <v>0.2787</v>
      </c>
      <c r="D37" s="65">
        <v>0.0</v>
      </c>
      <c r="E37" s="65">
        <v>0.3333</v>
      </c>
      <c r="F37" s="65">
        <v>0.0</v>
      </c>
      <c r="G37" s="65">
        <v>0.6667</v>
      </c>
      <c r="H37" s="65">
        <v>0.9259</v>
      </c>
      <c r="I37" s="65">
        <v>0.0</v>
      </c>
      <c r="J37" s="65">
        <v>0.0</v>
      </c>
      <c r="K37" s="65">
        <v>0.0</v>
      </c>
      <c r="L37" s="65">
        <v>0.8182</v>
      </c>
      <c r="M37" s="68">
        <v>0.0909</v>
      </c>
    </row>
    <row r="38" ht="14.25" customHeight="1">
      <c r="A38" s="48" t="s">
        <v>316</v>
      </c>
      <c r="B38" s="64">
        <v>0.0078</v>
      </c>
      <c r="C38" s="65">
        <v>0.2403</v>
      </c>
      <c r="D38" s="65">
        <v>0.0078</v>
      </c>
      <c r="E38" s="65">
        <v>0.8333</v>
      </c>
      <c r="F38" s="65">
        <v>0.0</v>
      </c>
      <c r="G38" s="65">
        <v>1.0</v>
      </c>
      <c r="H38" s="65">
        <v>1.0</v>
      </c>
      <c r="I38" s="65">
        <v>0.0</v>
      </c>
      <c r="J38" s="65">
        <v>0.0833</v>
      </c>
      <c r="K38" s="65">
        <v>0.0741</v>
      </c>
      <c r="L38" s="65">
        <v>0.4815</v>
      </c>
      <c r="M38" s="68">
        <v>0.037</v>
      </c>
    </row>
    <row r="39" ht="14.25" customHeight="1">
      <c r="A39" s="48" t="s">
        <v>317</v>
      </c>
      <c r="B39" s="64">
        <v>0.0</v>
      </c>
      <c r="C39" s="65">
        <v>0.4444</v>
      </c>
      <c r="D39" s="65">
        <v>0.0</v>
      </c>
      <c r="E39" s="65">
        <v>0.8333</v>
      </c>
      <c r="F39" s="65">
        <v>0.0</v>
      </c>
      <c r="G39" s="65">
        <v>0.8333</v>
      </c>
      <c r="H39" s="65">
        <v>1.0</v>
      </c>
      <c r="I39" s="65">
        <v>0.0</v>
      </c>
      <c r="J39" s="65">
        <v>0.1667</v>
      </c>
      <c r="K39" s="65">
        <v>0.0</v>
      </c>
      <c r="L39" s="65">
        <v>0.3333</v>
      </c>
      <c r="M39" s="68">
        <v>0.0476</v>
      </c>
    </row>
    <row r="40" ht="14.25" customHeight="1">
      <c r="A40" s="48" t="s">
        <v>318</v>
      </c>
      <c r="B40" s="64">
        <v>0.0122</v>
      </c>
      <c r="C40" s="65">
        <v>0.2073</v>
      </c>
      <c r="D40" s="65">
        <v>0.0</v>
      </c>
      <c r="E40" s="65">
        <v>1.0</v>
      </c>
      <c r="F40" s="65">
        <v>0.0</v>
      </c>
      <c r="G40" s="65">
        <v>1.0</v>
      </c>
      <c r="H40" s="65">
        <v>0.9474</v>
      </c>
      <c r="I40" s="65">
        <v>0.0</v>
      </c>
      <c r="J40" s="65">
        <v>0.0526</v>
      </c>
      <c r="K40" s="65">
        <v>0.0</v>
      </c>
      <c r="L40" s="65">
        <v>0.4138</v>
      </c>
      <c r="M40" s="68">
        <v>0.069</v>
      </c>
    </row>
    <row r="41" ht="14.25" customHeight="1">
      <c r="A41" s="48" t="s">
        <v>319</v>
      </c>
      <c r="B41" s="64">
        <v>0.0488</v>
      </c>
      <c r="C41" s="65">
        <v>0.2829</v>
      </c>
      <c r="D41" s="65">
        <v>0.0244</v>
      </c>
      <c r="E41" s="65">
        <v>0.7</v>
      </c>
      <c r="F41" s="65">
        <v>0.1</v>
      </c>
      <c r="G41" s="65">
        <v>0.75</v>
      </c>
      <c r="H41" s="65">
        <v>0.9667</v>
      </c>
      <c r="I41" s="65">
        <v>0.05</v>
      </c>
      <c r="J41" s="65">
        <v>0.3167</v>
      </c>
      <c r="K41" s="65">
        <v>0.115</v>
      </c>
      <c r="L41" s="65">
        <v>0.5664</v>
      </c>
      <c r="M41" s="68">
        <v>0.0265</v>
      </c>
    </row>
    <row r="42" ht="14.25" customHeight="1">
      <c r="A42" s="48" t="s">
        <v>320</v>
      </c>
      <c r="B42" s="64">
        <v>0.0162</v>
      </c>
      <c r="C42" s="65">
        <v>0.3198</v>
      </c>
      <c r="D42" s="65">
        <v>0.1417</v>
      </c>
      <c r="E42" s="65">
        <v>1.0</v>
      </c>
      <c r="F42" s="65">
        <v>0.0769</v>
      </c>
      <c r="G42" s="65">
        <v>1.0</v>
      </c>
      <c r="H42" s="65">
        <v>1.0</v>
      </c>
      <c r="I42" s="65">
        <v>0.0</v>
      </c>
      <c r="J42" s="65">
        <v>0.4706</v>
      </c>
      <c r="K42" s="65">
        <v>0.175</v>
      </c>
      <c r="L42" s="65">
        <v>0.45</v>
      </c>
      <c r="M42" s="68">
        <v>0.0</v>
      </c>
    </row>
    <row r="43" ht="14.25" customHeight="1">
      <c r="A43" s="48" t="s">
        <v>321</v>
      </c>
      <c r="B43" s="64">
        <v>0.0769</v>
      </c>
      <c r="C43" s="65">
        <v>0.5513</v>
      </c>
      <c r="D43" s="65">
        <v>0.0128</v>
      </c>
      <c r="E43" s="65">
        <v>0.7895</v>
      </c>
      <c r="F43" s="65">
        <v>0.0</v>
      </c>
      <c r="G43" s="65">
        <v>0.9474</v>
      </c>
      <c r="H43" s="65">
        <v>1.0</v>
      </c>
      <c r="I43" s="65">
        <v>0.0</v>
      </c>
      <c r="J43" s="65">
        <v>0.2</v>
      </c>
      <c r="K43" s="65">
        <v>0.042</v>
      </c>
      <c r="L43" s="65">
        <v>0.2587</v>
      </c>
      <c r="M43" s="68">
        <v>0.014</v>
      </c>
    </row>
    <row r="44" ht="14.25" customHeight="1">
      <c r="A44" s="48" t="s">
        <v>322</v>
      </c>
      <c r="B44" s="70">
        <v>0.0042</v>
      </c>
      <c r="C44" s="71">
        <v>0.3093</v>
      </c>
      <c r="D44" s="71">
        <v>0.0085</v>
      </c>
      <c r="E44" s="71">
        <v>0.8</v>
      </c>
      <c r="F44" s="71">
        <v>0.3</v>
      </c>
      <c r="G44" s="71">
        <v>0.9</v>
      </c>
      <c r="H44" s="71">
        <v>0.9878</v>
      </c>
      <c r="I44" s="71">
        <v>0.0366</v>
      </c>
      <c r="J44" s="71">
        <v>0.1341</v>
      </c>
      <c r="K44" s="71">
        <v>0.1973</v>
      </c>
      <c r="L44" s="71">
        <v>0.3197</v>
      </c>
      <c r="M44" s="75">
        <v>0.0068</v>
      </c>
    </row>
    <row r="45" ht="14.25" customHeight="1">
      <c r="A45" s="48"/>
      <c r="B45" s="21"/>
      <c r="C45" s="21"/>
      <c r="D45" s="21"/>
      <c r="E45" s="21"/>
      <c r="F45" s="21"/>
      <c r="G45" s="21"/>
      <c r="H45" s="21"/>
      <c r="I45" s="21"/>
      <c r="J45" s="21"/>
      <c r="K45" s="21"/>
      <c r="L45" s="21"/>
      <c r="M45" s="21"/>
    </row>
    <row r="46" ht="14.25" customHeight="1">
      <c r="A46" s="46" t="s">
        <v>327</v>
      </c>
      <c r="B46" s="21"/>
      <c r="C46" s="21"/>
      <c r="D46" s="21"/>
      <c r="E46" s="21"/>
      <c r="F46" s="21"/>
      <c r="G46" s="21"/>
      <c r="H46" s="21"/>
      <c r="I46" s="21"/>
      <c r="J46" s="21"/>
      <c r="K46" s="21"/>
      <c r="L46" s="21"/>
      <c r="M46" s="21"/>
    </row>
    <row r="47" ht="14.25" customHeight="1">
      <c r="A47" s="48"/>
      <c r="B47" s="48" t="s">
        <v>299</v>
      </c>
      <c r="C47" s="48" t="s">
        <v>300</v>
      </c>
      <c r="D47" s="48" t="s">
        <v>301</v>
      </c>
      <c r="E47" s="48" t="s">
        <v>302</v>
      </c>
      <c r="F47" s="48" t="s">
        <v>303</v>
      </c>
      <c r="G47" s="48" t="s">
        <v>304</v>
      </c>
      <c r="H47" s="48" t="s">
        <v>305</v>
      </c>
      <c r="I47" s="48" t="s">
        <v>306</v>
      </c>
      <c r="J47" s="48" t="s">
        <v>307</v>
      </c>
      <c r="K47" s="48" t="s">
        <v>308</v>
      </c>
      <c r="L47" s="48" t="s">
        <v>309</v>
      </c>
      <c r="M47" s="48" t="s">
        <v>310</v>
      </c>
    </row>
    <row r="48" ht="14.25" customHeight="1">
      <c r="A48" s="48" t="s">
        <v>311</v>
      </c>
      <c r="B48" s="59">
        <v>0.0177</v>
      </c>
      <c r="C48" s="60">
        <v>0.2035</v>
      </c>
      <c r="D48" s="60">
        <v>0.0265</v>
      </c>
      <c r="E48" s="60">
        <v>0.7778</v>
      </c>
      <c r="F48" s="60">
        <v>0.1481</v>
      </c>
      <c r="G48" s="60">
        <v>0.5185</v>
      </c>
      <c r="H48" s="60">
        <v>0.9024</v>
      </c>
      <c r="I48" s="60">
        <v>0.0244</v>
      </c>
      <c r="J48" s="60">
        <v>0.0732</v>
      </c>
      <c r="K48" s="60">
        <v>0.0</v>
      </c>
      <c r="L48" s="60">
        <v>0.5556</v>
      </c>
      <c r="M48" s="63">
        <v>0.0</v>
      </c>
    </row>
    <row r="49" ht="14.25" customHeight="1">
      <c r="A49" s="48" t="s">
        <v>312</v>
      </c>
      <c r="B49" s="64">
        <v>0.0061</v>
      </c>
      <c r="C49" s="65">
        <v>0.2182</v>
      </c>
      <c r="D49" s="65">
        <v>0.097</v>
      </c>
      <c r="E49" s="65">
        <v>0.7059</v>
      </c>
      <c r="F49" s="65">
        <v>0.0</v>
      </c>
      <c r="G49" s="65">
        <v>0.6471</v>
      </c>
      <c r="H49" s="65">
        <v>1.0</v>
      </c>
      <c r="I49" s="65">
        <v>0.0</v>
      </c>
      <c r="J49" s="65">
        <v>0.1875</v>
      </c>
      <c r="K49" s="65">
        <v>0.0137</v>
      </c>
      <c r="L49" s="65">
        <v>0.2603</v>
      </c>
      <c r="M49" s="68">
        <v>0.0</v>
      </c>
    </row>
    <row r="50" ht="14.25" customHeight="1">
      <c r="A50" s="48" t="s">
        <v>313</v>
      </c>
      <c r="B50" s="64">
        <v>0.1034</v>
      </c>
      <c r="C50" s="65">
        <v>0.3793</v>
      </c>
      <c r="D50" s="65">
        <v>0.0172</v>
      </c>
      <c r="E50" s="65">
        <v>0.6818</v>
      </c>
      <c r="F50" s="65">
        <v>0.0</v>
      </c>
      <c r="G50" s="65">
        <v>0.2727</v>
      </c>
      <c r="H50" s="65">
        <v>0.9583</v>
      </c>
      <c r="I50" s="65">
        <v>0.0</v>
      </c>
      <c r="J50" s="65">
        <v>0.0833</v>
      </c>
      <c r="K50" s="65">
        <v>0.0</v>
      </c>
      <c r="L50" s="65">
        <v>0.1458</v>
      </c>
      <c r="M50" s="68">
        <v>0.0</v>
      </c>
    </row>
    <row r="51" ht="14.25" customHeight="1">
      <c r="A51" s="48" t="s">
        <v>314</v>
      </c>
      <c r="B51" s="64">
        <v>0.0068</v>
      </c>
      <c r="C51" s="65">
        <v>0.2041</v>
      </c>
      <c r="D51" s="65">
        <v>0.0272</v>
      </c>
      <c r="E51" s="65">
        <v>0.7586</v>
      </c>
      <c r="F51" s="65">
        <v>0.069</v>
      </c>
      <c r="G51" s="65">
        <v>0.2414</v>
      </c>
      <c r="H51" s="65">
        <v>0.7931</v>
      </c>
      <c r="I51" s="65">
        <v>0.0345</v>
      </c>
      <c r="J51" s="65">
        <v>0.0517</v>
      </c>
      <c r="K51" s="65">
        <v>0.0227</v>
      </c>
      <c r="L51" s="65">
        <v>0.1364</v>
      </c>
      <c r="M51" s="68">
        <v>0.0</v>
      </c>
    </row>
    <row r="52" ht="14.25" customHeight="1">
      <c r="A52" s="48" t="s">
        <v>315</v>
      </c>
      <c r="B52" s="64">
        <v>0.0</v>
      </c>
      <c r="C52" s="65">
        <v>0.2623</v>
      </c>
      <c r="D52" s="65">
        <v>0.0</v>
      </c>
      <c r="E52" s="65">
        <v>0.3333</v>
      </c>
      <c r="F52" s="65">
        <v>0.0</v>
      </c>
      <c r="G52" s="65">
        <v>0.0</v>
      </c>
      <c r="H52" s="65">
        <v>0.9259</v>
      </c>
      <c r="I52" s="65">
        <v>0.0</v>
      </c>
      <c r="J52" s="65">
        <v>0.0741</v>
      </c>
      <c r="K52" s="65">
        <v>0.0</v>
      </c>
      <c r="L52" s="65">
        <v>0.7273</v>
      </c>
      <c r="M52" s="68">
        <v>0.1818</v>
      </c>
    </row>
    <row r="53" ht="14.25" customHeight="1">
      <c r="A53" s="48" t="s">
        <v>316</v>
      </c>
      <c r="B53" s="64">
        <v>0.0</v>
      </c>
      <c r="C53" s="65">
        <v>0.1705</v>
      </c>
      <c r="D53" s="65">
        <v>0.0233</v>
      </c>
      <c r="E53" s="65">
        <v>1.0</v>
      </c>
      <c r="F53" s="65">
        <v>0.0</v>
      </c>
      <c r="G53" s="65">
        <v>1.0</v>
      </c>
      <c r="H53" s="65">
        <v>1.0</v>
      </c>
      <c r="I53" s="65">
        <v>0.0833</v>
      </c>
      <c r="J53" s="65">
        <v>0.0833</v>
      </c>
      <c r="K53" s="65">
        <v>0.037</v>
      </c>
      <c r="L53" s="65">
        <v>0.4444</v>
      </c>
      <c r="M53" s="68">
        <v>0.1111</v>
      </c>
    </row>
    <row r="54" ht="14.25" customHeight="1">
      <c r="A54" s="48" t="s">
        <v>317</v>
      </c>
      <c r="B54" s="64">
        <v>0.0556</v>
      </c>
      <c r="C54" s="65">
        <v>0.3889</v>
      </c>
      <c r="D54" s="65">
        <v>0.0</v>
      </c>
      <c r="E54" s="65">
        <v>0.8333</v>
      </c>
      <c r="F54" s="65">
        <v>0.1667</v>
      </c>
      <c r="G54" s="65">
        <v>0.5</v>
      </c>
      <c r="H54" s="65">
        <v>1.0</v>
      </c>
      <c r="I54" s="65">
        <v>0.0</v>
      </c>
      <c r="J54" s="65">
        <v>0.0833</v>
      </c>
      <c r="K54" s="65">
        <v>0.0</v>
      </c>
      <c r="L54" s="65">
        <v>0.0476</v>
      </c>
      <c r="M54" s="68">
        <v>0.0476</v>
      </c>
    </row>
    <row r="55" ht="14.25" customHeight="1">
      <c r="A55" s="48" t="s">
        <v>318</v>
      </c>
      <c r="B55" s="64">
        <v>0.0</v>
      </c>
      <c r="C55" s="65">
        <v>0.1951</v>
      </c>
      <c r="D55" s="65">
        <v>0.0122</v>
      </c>
      <c r="E55" s="65">
        <v>0.0</v>
      </c>
      <c r="F55" s="65">
        <v>0.0</v>
      </c>
      <c r="G55" s="65">
        <v>1.0</v>
      </c>
      <c r="H55" s="65">
        <v>0.8421</v>
      </c>
      <c r="I55" s="65">
        <v>0.0</v>
      </c>
      <c r="J55" s="65">
        <v>0.1842</v>
      </c>
      <c r="K55" s="65">
        <v>0.0345</v>
      </c>
      <c r="L55" s="65">
        <v>0.3448</v>
      </c>
      <c r="M55" s="68">
        <v>0.1724</v>
      </c>
    </row>
    <row r="56" ht="14.25" customHeight="1">
      <c r="A56" s="48" t="s">
        <v>319</v>
      </c>
      <c r="B56" s="64">
        <v>0.0732</v>
      </c>
      <c r="C56" s="65">
        <v>0.239</v>
      </c>
      <c r="D56" s="65">
        <v>0.0341</v>
      </c>
      <c r="E56" s="65">
        <v>0.8</v>
      </c>
      <c r="F56" s="65">
        <v>0.1</v>
      </c>
      <c r="G56" s="65">
        <v>0.75</v>
      </c>
      <c r="H56" s="65">
        <v>0.95</v>
      </c>
      <c r="I56" s="65">
        <v>0.0</v>
      </c>
      <c r="J56" s="65">
        <v>0.1333</v>
      </c>
      <c r="K56" s="65">
        <v>0.1327</v>
      </c>
      <c r="L56" s="65">
        <v>0.3805</v>
      </c>
      <c r="M56" s="68">
        <v>0.0442</v>
      </c>
    </row>
    <row r="57" ht="14.25" customHeight="1">
      <c r="A57" s="48" t="s">
        <v>320</v>
      </c>
      <c r="B57" s="64">
        <v>0.0283</v>
      </c>
      <c r="C57" s="65">
        <v>0.2429</v>
      </c>
      <c r="D57" s="65">
        <v>0.1174</v>
      </c>
      <c r="E57" s="65">
        <v>0.9231</v>
      </c>
      <c r="F57" s="65">
        <v>0.0</v>
      </c>
      <c r="G57" s="65">
        <v>1.0</v>
      </c>
      <c r="H57" s="65">
        <v>1.0</v>
      </c>
      <c r="I57" s="65">
        <v>0.0</v>
      </c>
      <c r="J57" s="65">
        <v>0.1765</v>
      </c>
      <c r="K57" s="65">
        <v>0.1188</v>
      </c>
      <c r="L57" s="65">
        <v>0.3125</v>
      </c>
      <c r="M57" s="68">
        <v>0.0313</v>
      </c>
    </row>
    <row r="58" ht="14.25" customHeight="1">
      <c r="A58" s="48" t="s">
        <v>321</v>
      </c>
      <c r="B58" s="64">
        <v>0.1282</v>
      </c>
      <c r="C58" s="65">
        <v>0.4359</v>
      </c>
      <c r="D58" s="65">
        <v>0.0897</v>
      </c>
      <c r="E58" s="65">
        <v>0.6842</v>
      </c>
      <c r="F58" s="65">
        <v>0.0</v>
      </c>
      <c r="G58" s="65">
        <v>0.8947</v>
      </c>
      <c r="H58" s="65">
        <v>1.0</v>
      </c>
      <c r="I58" s="65">
        <v>0.05</v>
      </c>
      <c r="J58" s="65">
        <v>0.15</v>
      </c>
      <c r="K58" s="65">
        <v>0.035</v>
      </c>
      <c r="L58" s="65">
        <v>0.1469</v>
      </c>
      <c r="M58" s="68">
        <v>0.007</v>
      </c>
    </row>
    <row r="59" ht="14.25" customHeight="1">
      <c r="A59" s="48" t="s">
        <v>322</v>
      </c>
      <c r="B59" s="70">
        <v>0.0085</v>
      </c>
      <c r="C59" s="71">
        <v>0.2458</v>
      </c>
      <c r="D59" s="71">
        <v>0.0297</v>
      </c>
      <c r="E59" s="71">
        <v>0.9</v>
      </c>
      <c r="F59" s="71">
        <v>0.2</v>
      </c>
      <c r="G59" s="71">
        <v>0.7</v>
      </c>
      <c r="H59" s="71">
        <v>0.9512</v>
      </c>
      <c r="I59" s="71">
        <v>0.0488</v>
      </c>
      <c r="J59" s="71">
        <v>0.1098</v>
      </c>
      <c r="K59" s="71">
        <v>0.1429</v>
      </c>
      <c r="L59" s="71">
        <v>0.1633</v>
      </c>
      <c r="M59" s="75">
        <v>0.034</v>
      </c>
    </row>
    <row r="60" ht="14.25" customHeight="1">
      <c r="A60" s="48"/>
      <c r="B60" s="21"/>
      <c r="C60" s="21"/>
      <c r="D60" s="21"/>
      <c r="E60" s="21"/>
      <c r="F60" s="21"/>
      <c r="G60" s="21"/>
      <c r="H60" s="21"/>
      <c r="I60" s="21"/>
      <c r="J60" s="21"/>
      <c r="K60" s="21"/>
      <c r="L60" s="21"/>
      <c r="M60" s="21"/>
    </row>
    <row r="61" ht="14.25" customHeight="1">
      <c r="A61" s="46" t="s">
        <v>329</v>
      </c>
      <c r="B61" s="21"/>
      <c r="C61" s="21"/>
      <c r="D61" s="21"/>
      <c r="E61" s="21"/>
      <c r="F61" s="21"/>
      <c r="G61" s="21"/>
      <c r="H61" s="21"/>
      <c r="I61" s="21"/>
      <c r="J61" s="21"/>
      <c r="K61" s="21"/>
      <c r="L61" s="21"/>
      <c r="M61" s="21"/>
    </row>
    <row r="62" ht="14.25" customHeight="1">
      <c r="A62" s="48"/>
      <c r="B62" s="48" t="s">
        <v>299</v>
      </c>
      <c r="C62" s="48" t="s">
        <v>300</v>
      </c>
      <c r="D62" s="48" t="s">
        <v>301</v>
      </c>
      <c r="E62" s="48" t="s">
        <v>302</v>
      </c>
      <c r="F62" s="48" t="s">
        <v>303</v>
      </c>
      <c r="G62" s="48" t="s">
        <v>304</v>
      </c>
      <c r="H62" s="48" t="s">
        <v>305</v>
      </c>
      <c r="I62" s="48" t="s">
        <v>306</v>
      </c>
      <c r="J62" s="48" t="s">
        <v>307</v>
      </c>
      <c r="K62" s="48" t="s">
        <v>308</v>
      </c>
      <c r="L62" s="48" t="s">
        <v>309</v>
      </c>
      <c r="M62" s="48" t="s">
        <v>310</v>
      </c>
    </row>
    <row r="63" ht="14.25" customHeight="1">
      <c r="A63" s="48" t="s">
        <v>311</v>
      </c>
      <c r="B63" s="59">
        <v>0.0531</v>
      </c>
      <c r="C63" s="60">
        <v>0.3628</v>
      </c>
      <c r="D63" s="60">
        <v>0.0265</v>
      </c>
      <c r="E63" s="60">
        <v>0.8889</v>
      </c>
      <c r="F63" s="60">
        <v>0.1111</v>
      </c>
      <c r="G63" s="60">
        <v>0.8519</v>
      </c>
      <c r="H63" s="60">
        <v>0.9512</v>
      </c>
      <c r="I63" s="60">
        <v>0.0488</v>
      </c>
      <c r="J63" s="60">
        <v>0.1951</v>
      </c>
      <c r="K63" s="60">
        <v>0.0556</v>
      </c>
      <c r="L63" s="60">
        <v>0.8333</v>
      </c>
      <c r="M63" s="63">
        <v>0.0556</v>
      </c>
    </row>
    <row r="64" ht="14.25" customHeight="1">
      <c r="A64" s="48" t="s">
        <v>312</v>
      </c>
      <c r="B64" s="64">
        <v>0.0182</v>
      </c>
      <c r="C64" s="65">
        <v>0.4303</v>
      </c>
      <c r="D64" s="65">
        <v>0.103</v>
      </c>
      <c r="E64" s="65">
        <v>0.8824</v>
      </c>
      <c r="F64" s="65">
        <v>0.0</v>
      </c>
      <c r="G64" s="65">
        <v>0.7353</v>
      </c>
      <c r="H64" s="65">
        <v>1.0</v>
      </c>
      <c r="I64" s="65">
        <v>0.0625</v>
      </c>
      <c r="J64" s="65">
        <v>0.125</v>
      </c>
      <c r="K64" s="65">
        <v>0.1096</v>
      </c>
      <c r="L64" s="65">
        <v>0.6575</v>
      </c>
      <c r="M64" s="68">
        <v>0.0</v>
      </c>
    </row>
    <row r="65" ht="14.25" customHeight="1">
      <c r="A65" s="48" t="s">
        <v>313</v>
      </c>
      <c r="B65" s="64">
        <v>0.1034</v>
      </c>
      <c r="C65" s="65">
        <v>0.431</v>
      </c>
      <c r="D65" s="65">
        <v>0.069</v>
      </c>
      <c r="E65" s="65">
        <v>0.8182</v>
      </c>
      <c r="F65" s="65">
        <v>0.0455</v>
      </c>
      <c r="G65" s="65">
        <v>0.4091</v>
      </c>
      <c r="H65" s="65">
        <v>1.0</v>
      </c>
      <c r="I65" s="65">
        <v>0.0417</v>
      </c>
      <c r="J65" s="65">
        <v>0.2083</v>
      </c>
      <c r="K65" s="65">
        <v>0.0</v>
      </c>
      <c r="L65" s="65">
        <v>0.2708</v>
      </c>
      <c r="M65" s="68">
        <v>0.0</v>
      </c>
    </row>
    <row r="66" ht="14.25" customHeight="1">
      <c r="A66" s="48" t="s">
        <v>314</v>
      </c>
      <c r="B66" s="64">
        <v>0.0</v>
      </c>
      <c r="C66" s="65">
        <v>0.3537</v>
      </c>
      <c r="D66" s="65">
        <v>0.0272</v>
      </c>
      <c r="E66" s="65">
        <v>0.8966</v>
      </c>
      <c r="F66" s="65">
        <v>0.2414</v>
      </c>
      <c r="G66" s="65">
        <v>0.2759</v>
      </c>
      <c r="H66" s="65">
        <v>0.9483</v>
      </c>
      <c r="I66" s="65">
        <v>0.0517</v>
      </c>
      <c r="J66" s="65">
        <v>0.1207</v>
      </c>
      <c r="K66" s="65">
        <v>0.0909</v>
      </c>
      <c r="L66" s="65">
        <v>0.3409</v>
      </c>
      <c r="M66" s="68">
        <v>0.0227</v>
      </c>
    </row>
    <row r="67" ht="14.25" customHeight="1">
      <c r="A67" s="48" t="s">
        <v>315</v>
      </c>
      <c r="B67" s="64">
        <v>0.0</v>
      </c>
      <c r="C67" s="65">
        <v>0.3443</v>
      </c>
      <c r="D67" s="65">
        <v>0.0</v>
      </c>
      <c r="E67" s="65">
        <v>0.3333</v>
      </c>
      <c r="F67" s="65">
        <v>0.0</v>
      </c>
      <c r="G67" s="65">
        <v>0.3333</v>
      </c>
      <c r="H67" s="65">
        <v>1.0</v>
      </c>
      <c r="I67" s="65">
        <v>0.0</v>
      </c>
      <c r="J67" s="65">
        <v>0.1481</v>
      </c>
      <c r="K67" s="65">
        <v>0.0</v>
      </c>
      <c r="L67" s="65">
        <v>1.0</v>
      </c>
      <c r="M67" s="68">
        <v>0.0909</v>
      </c>
    </row>
    <row r="68" ht="14.25" customHeight="1">
      <c r="A68" s="48" t="s">
        <v>316</v>
      </c>
      <c r="B68" s="64">
        <v>0.0</v>
      </c>
      <c r="C68" s="65">
        <v>0.3411</v>
      </c>
      <c r="D68" s="65">
        <v>0.031</v>
      </c>
      <c r="E68" s="65">
        <v>1.0</v>
      </c>
      <c r="F68" s="65">
        <v>0.0</v>
      </c>
      <c r="G68" s="65">
        <v>1.0</v>
      </c>
      <c r="H68" s="65">
        <v>1.0</v>
      </c>
      <c r="I68" s="65">
        <v>0.0</v>
      </c>
      <c r="J68" s="65">
        <v>0.0</v>
      </c>
      <c r="K68" s="65">
        <v>0.1852</v>
      </c>
      <c r="L68" s="65">
        <v>0.7037</v>
      </c>
      <c r="M68" s="68">
        <v>0.1852</v>
      </c>
    </row>
    <row r="69" ht="14.25" customHeight="1">
      <c r="A69" s="48" t="s">
        <v>317</v>
      </c>
      <c r="B69" s="64">
        <v>0.0</v>
      </c>
      <c r="C69" s="65">
        <v>0.6667</v>
      </c>
      <c r="D69" s="65">
        <v>0.0</v>
      </c>
      <c r="E69" s="65">
        <v>1.0</v>
      </c>
      <c r="F69" s="65">
        <v>0.0</v>
      </c>
      <c r="G69" s="65">
        <v>1.0</v>
      </c>
      <c r="H69" s="65">
        <v>0.9167</v>
      </c>
      <c r="I69" s="65">
        <v>0.0</v>
      </c>
      <c r="J69" s="65">
        <v>0.0833</v>
      </c>
      <c r="K69" s="65">
        <v>0.0</v>
      </c>
      <c r="L69" s="65">
        <v>0.2857</v>
      </c>
      <c r="M69" s="68">
        <v>0.0</v>
      </c>
    </row>
    <row r="70" ht="14.25" customHeight="1">
      <c r="A70" s="48" t="s">
        <v>318</v>
      </c>
      <c r="B70" s="64">
        <v>0.0</v>
      </c>
      <c r="C70" s="65">
        <v>0.2317</v>
      </c>
      <c r="D70" s="65">
        <v>0.0122</v>
      </c>
      <c r="E70" s="65">
        <v>0.0</v>
      </c>
      <c r="F70" s="65">
        <v>0.0</v>
      </c>
      <c r="G70" s="65">
        <v>1.0</v>
      </c>
      <c r="H70" s="65">
        <v>0.9474</v>
      </c>
      <c r="I70" s="65">
        <v>0.0</v>
      </c>
      <c r="J70" s="65">
        <v>0.0526</v>
      </c>
      <c r="K70" s="65">
        <v>0.069</v>
      </c>
      <c r="L70" s="65">
        <v>0.3448</v>
      </c>
      <c r="M70" s="68">
        <v>0.1724</v>
      </c>
    </row>
    <row r="71" ht="14.25" customHeight="1">
      <c r="A71" s="48" t="s">
        <v>319</v>
      </c>
      <c r="B71" s="64">
        <v>0.1073</v>
      </c>
      <c r="C71" s="65">
        <v>0.3317</v>
      </c>
      <c r="D71" s="65">
        <v>0.0244</v>
      </c>
      <c r="E71" s="65">
        <v>0.9</v>
      </c>
      <c r="F71" s="65">
        <v>0.2</v>
      </c>
      <c r="G71" s="65">
        <v>0.95</v>
      </c>
      <c r="H71" s="65">
        <v>0.9833</v>
      </c>
      <c r="I71" s="65">
        <v>0.05</v>
      </c>
      <c r="J71" s="65">
        <v>0.5167</v>
      </c>
      <c r="K71" s="65">
        <v>0.1681</v>
      </c>
      <c r="L71" s="65">
        <v>0.7257</v>
      </c>
      <c r="M71" s="68">
        <v>0.0354</v>
      </c>
    </row>
    <row r="72" ht="14.25" customHeight="1">
      <c r="A72" s="48" t="s">
        <v>320</v>
      </c>
      <c r="B72" s="64">
        <v>0.0445</v>
      </c>
      <c r="C72" s="65">
        <v>0.5709</v>
      </c>
      <c r="D72" s="65">
        <v>0.1498</v>
      </c>
      <c r="E72" s="65">
        <v>1.0</v>
      </c>
      <c r="F72" s="65">
        <v>0.0769</v>
      </c>
      <c r="G72" s="65">
        <v>1.0</v>
      </c>
      <c r="H72" s="65">
        <v>1.0</v>
      </c>
      <c r="I72" s="65">
        <v>0.0</v>
      </c>
      <c r="J72" s="65">
        <v>0.4118</v>
      </c>
      <c r="K72" s="65">
        <v>0.2625</v>
      </c>
      <c r="L72" s="65">
        <v>0.5438</v>
      </c>
      <c r="M72" s="68">
        <v>0.05</v>
      </c>
    </row>
    <row r="73" ht="14.25" customHeight="1">
      <c r="A73" s="48" t="s">
        <v>321</v>
      </c>
      <c r="B73" s="64">
        <v>0.1538</v>
      </c>
      <c r="C73" s="65">
        <v>0.7179</v>
      </c>
      <c r="D73" s="65">
        <v>0.0641</v>
      </c>
      <c r="E73" s="65">
        <v>0.8947</v>
      </c>
      <c r="F73" s="65">
        <v>0.1053</v>
      </c>
      <c r="G73" s="65">
        <v>0.9474</v>
      </c>
      <c r="H73" s="65">
        <v>1.0</v>
      </c>
      <c r="I73" s="65">
        <v>0.05</v>
      </c>
      <c r="J73" s="65">
        <v>0.15</v>
      </c>
      <c r="K73" s="65">
        <v>0.0699</v>
      </c>
      <c r="L73" s="65">
        <v>0.3077</v>
      </c>
      <c r="M73" s="68">
        <v>0.035</v>
      </c>
    </row>
    <row r="74" ht="14.25" customHeight="1">
      <c r="A74" s="48" t="s">
        <v>322</v>
      </c>
      <c r="B74" s="70">
        <v>0.0169</v>
      </c>
      <c r="C74" s="71">
        <v>0.4746</v>
      </c>
      <c r="D74" s="71">
        <v>0.0424</v>
      </c>
      <c r="E74" s="71">
        <v>0.9</v>
      </c>
      <c r="F74" s="71">
        <v>0.4</v>
      </c>
      <c r="G74" s="71">
        <v>0.9</v>
      </c>
      <c r="H74" s="71">
        <v>1.0</v>
      </c>
      <c r="I74" s="71">
        <v>0.0488</v>
      </c>
      <c r="J74" s="71">
        <v>0.2439</v>
      </c>
      <c r="K74" s="71">
        <v>0.2517</v>
      </c>
      <c r="L74" s="71">
        <v>0.3333</v>
      </c>
      <c r="M74" s="75">
        <v>0.0068</v>
      </c>
    </row>
    <row r="75" ht="14.25" customHeight="1">
      <c r="A75" s="48"/>
      <c r="B75" s="21"/>
      <c r="C75" s="21"/>
      <c r="D75" s="21"/>
      <c r="E75" s="21"/>
      <c r="F75" s="21"/>
      <c r="G75" s="21"/>
      <c r="H75" s="21"/>
      <c r="I75" s="21"/>
      <c r="J75" s="21"/>
      <c r="K75" s="21"/>
      <c r="L75" s="21"/>
      <c r="M75" s="21"/>
    </row>
    <row r="76" ht="14.25" customHeight="1">
      <c r="A76" s="46" t="s">
        <v>337</v>
      </c>
      <c r="B76" s="21"/>
      <c r="C76" s="21"/>
      <c r="D76" s="21"/>
      <c r="E76" s="21"/>
      <c r="F76" s="21"/>
      <c r="G76" s="21"/>
      <c r="H76" s="21"/>
      <c r="I76" s="21"/>
      <c r="J76" s="21"/>
      <c r="K76" s="21"/>
      <c r="L76" s="21"/>
      <c r="M76" s="21"/>
    </row>
    <row r="77" ht="14.25" customHeight="1">
      <c r="A77" s="48"/>
      <c r="B77" s="48" t="s">
        <v>299</v>
      </c>
      <c r="C77" s="48" t="s">
        <v>300</v>
      </c>
      <c r="D77" s="48" t="s">
        <v>301</v>
      </c>
      <c r="E77" s="48" t="s">
        <v>302</v>
      </c>
      <c r="F77" s="48" t="s">
        <v>303</v>
      </c>
      <c r="G77" s="48" t="s">
        <v>304</v>
      </c>
      <c r="H77" s="48" t="s">
        <v>305</v>
      </c>
      <c r="I77" s="48" t="s">
        <v>306</v>
      </c>
      <c r="J77" s="48" t="s">
        <v>307</v>
      </c>
      <c r="K77" s="48" t="s">
        <v>308</v>
      </c>
      <c r="L77" s="48" t="s">
        <v>309</v>
      </c>
      <c r="M77" s="48" t="s">
        <v>310</v>
      </c>
    </row>
    <row r="78" ht="14.25" customHeight="1">
      <c r="A78" s="48" t="s">
        <v>311</v>
      </c>
      <c r="B78" s="59">
        <v>0.0088</v>
      </c>
      <c r="C78" s="60">
        <v>0.3097</v>
      </c>
      <c r="D78" s="60">
        <v>0.0265</v>
      </c>
      <c r="E78" s="60">
        <v>0.5556</v>
      </c>
      <c r="F78" s="60">
        <v>0.037</v>
      </c>
      <c r="G78" s="60">
        <v>0.7407</v>
      </c>
      <c r="H78" s="60">
        <v>0.9268</v>
      </c>
      <c r="I78" s="60">
        <v>0.0</v>
      </c>
      <c r="J78" s="60">
        <v>0.122</v>
      </c>
      <c r="K78" s="60">
        <v>0.0</v>
      </c>
      <c r="L78" s="60">
        <v>0.6667</v>
      </c>
      <c r="M78" s="63">
        <v>0.0</v>
      </c>
    </row>
    <row r="79" ht="14.25" customHeight="1">
      <c r="A79" s="48" t="s">
        <v>312</v>
      </c>
      <c r="B79" s="64">
        <v>0.0606</v>
      </c>
      <c r="C79" s="65">
        <v>0.3636</v>
      </c>
      <c r="D79" s="65">
        <v>0.1636</v>
      </c>
      <c r="E79" s="65">
        <v>0.6765</v>
      </c>
      <c r="F79" s="65">
        <v>0.0588</v>
      </c>
      <c r="G79" s="65">
        <v>0.7647</v>
      </c>
      <c r="H79" s="65">
        <v>1.0</v>
      </c>
      <c r="I79" s="65">
        <v>0.0625</v>
      </c>
      <c r="J79" s="65">
        <v>0.1875</v>
      </c>
      <c r="K79" s="65">
        <v>0.0548</v>
      </c>
      <c r="L79" s="65">
        <v>0.6438</v>
      </c>
      <c r="M79" s="68">
        <v>0.0</v>
      </c>
    </row>
    <row r="80" ht="14.25" customHeight="1">
      <c r="A80" s="48" t="s">
        <v>313</v>
      </c>
      <c r="B80" s="64">
        <v>0.1897</v>
      </c>
      <c r="C80" s="65">
        <v>0.2931</v>
      </c>
      <c r="D80" s="65">
        <v>0.069</v>
      </c>
      <c r="E80" s="65">
        <v>0.5455</v>
      </c>
      <c r="F80" s="65">
        <v>0.0</v>
      </c>
      <c r="G80" s="65">
        <v>0.5909</v>
      </c>
      <c r="H80" s="65">
        <v>0.9583</v>
      </c>
      <c r="I80" s="65">
        <v>0.0833</v>
      </c>
      <c r="J80" s="65">
        <v>0.2083</v>
      </c>
      <c r="K80" s="65">
        <v>0.0208</v>
      </c>
      <c r="L80" s="65">
        <v>0.1875</v>
      </c>
      <c r="M80" s="68">
        <v>0.0208</v>
      </c>
    </row>
    <row r="81" ht="14.25" customHeight="1">
      <c r="A81" s="48" t="s">
        <v>314</v>
      </c>
      <c r="B81" s="64">
        <v>0.0</v>
      </c>
      <c r="C81" s="65">
        <v>0.415</v>
      </c>
      <c r="D81" s="65">
        <v>0.0272</v>
      </c>
      <c r="E81" s="65">
        <v>0.5862</v>
      </c>
      <c r="F81" s="65">
        <v>0.1724</v>
      </c>
      <c r="G81" s="65">
        <v>0.3448</v>
      </c>
      <c r="H81" s="65">
        <v>0.8966</v>
      </c>
      <c r="I81" s="65">
        <v>0.069</v>
      </c>
      <c r="J81" s="65">
        <v>0.2069</v>
      </c>
      <c r="K81" s="65">
        <v>0.1136</v>
      </c>
      <c r="L81" s="65">
        <v>0.1818</v>
      </c>
      <c r="M81" s="68">
        <v>0.0</v>
      </c>
    </row>
    <row r="82" ht="14.25" customHeight="1">
      <c r="A82" s="48" t="s">
        <v>315</v>
      </c>
      <c r="B82" s="64">
        <v>0.0</v>
      </c>
      <c r="C82" s="65">
        <v>0.2459</v>
      </c>
      <c r="D82" s="65">
        <v>0.0164</v>
      </c>
      <c r="E82" s="65">
        <v>0.0</v>
      </c>
      <c r="F82" s="65">
        <v>0.0</v>
      </c>
      <c r="G82" s="65">
        <v>0.3333</v>
      </c>
      <c r="H82" s="65">
        <v>0.963</v>
      </c>
      <c r="I82" s="65">
        <v>0.0</v>
      </c>
      <c r="J82" s="65">
        <v>0.2222</v>
      </c>
      <c r="K82" s="65">
        <v>0.0909</v>
      </c>
      <c r="L82" s="65">
        <v>0.5455</v>
      </c>
      <c r="M82" s="68">
        <v>0.3636</v>
      </c>
    </row>
    <row r="83" ht="14.25" customHeight="1">
      <c r="A83" s="48" t="s">
        <v>316</v>
      </c>
      <c r="B83" s="64">
        <v>0.0155</v>
      </c>
      <c r="C83" s="65">
        <v>0.3721</v>
      </c>
      <c r="D83" s="65">
        <v>0.0078</v>
      </c>
      <c r="E83" s="65">
        <v>0.5</v>
      </c>
      <c r="F83" s="65">
        <v>0.0</v>
      </c>
      <c r="G83" s="65">
        <v>1.0</v>
      </c>
      <c r="H83" s="65">
        <v>1.0</v>
      </c>
      <c r="I83" s="65">
        <v>0.0</v>
      </c>
      <c r="J83" s="65">
        <v>0.3333</v>
      </c>
      <c r="K83" s="65">
        <v>0.1481</v>
      </c>
      <c r="L83" s="65">
        <v>0.4074</v>
      </c>
      <c r="M83" s="68">
        <v>0.2222</v>
      </c>
    </row>
    <row r="84" ht="14.25" customHeight="1">
      <c r="A84" s="48" t="s">
        <v>317</v>
      </c>
      <c r="B84" s="64">
        <v>0.0</v>
      </c>
      <c r="C84" s="65">
        <v>0.3889</v>
      </c>
      <c r="D84" s="65">
        <v>0.0</v>
      </c>
      <c r="E84" s="65">
        <v>0.6667</v>
      </c>
      <c r="F84" s="65">
        <v>0.1667</v>
      </c>
      <c r="G84" s="65">
        <v>0.6667</v>
      </c>
      <c r="H84" s="65">
        <v>0.9167</v>
      </c>
      <c r="I84" s="65">
        <v>0.0</v>
      </c>
      <c r="J84" s="65">
        <v>0.1667</v>
      </c>
      <c r="K84" s="65">
        <v>0.0</v>
      </c>
      <c r="L84" s="65">
        <v>0.0952</v>
      </c>
      <c r="M84" s="68">
        <v>0.1429</v>
      </c>
    </row>
    <row r="85" ht="14.25" customHeight="1">
      <c r="A85" s="48" t="s">
        <v>318</v>
      </c>
      <c r="B85" s="64">
        <v>0.0122</v>
      </c>
      <c r="C85" s="65">
        <v>0.2561</v>
      </c>
      <c r="D85" s="65">
        <v>0.0</v>
      </c>
      <c r="E85" s="65">
        <v>1.0</v>
      </c>
      <c r="F85" s="65">
        <v>0.0</v>
      </c>
      <c r="G85" s="65">
        <v>1.0</v>
      </c>
      <c r="H85" s="65">
        <v>0.8421</v>
      </c>
      <c r="I85" s="65">
        <v>0.0</v>
      </c>
      <c r="J85" s="65">
        <v>0.2368</v>
      </c>
      <c r="K85" s="65">
        <v>0.1034</v>
      </c>
      <c r="L85" s="65">
        <v>0.2414</v>
      </c>
      <c r="M85" s="68">
        <v>0.1379</v>
      </c>
    </row>
    <row r="86" ht="14.25" customHeight="1">
      <c r="A86" s="48" t="s">
        <v>319</v>
      </c>
      <c r="B86" s="64">
        <v>0.0878</v>
      </c>
      <c r="C86" s="65">
        <v>0.3171</v>
      </c>
      <c r="D86" s="65">
        <v>0.0537</v>
      </c>
      <c r="E86" s="65">
        <v>0.9</v>
      </c>
      <c r="F86" s="65">
        <v>0.15</v>
      </c>
      <c r="G86" s="65">
        <v>0.75</v>
      </c>
      <c r="H86" s="65">
        <v>1.0</v>
      </c>
      <c r="I86" s="65">
        <v>0.05</v>
      </c>
      <c r="J86" s="65">
        <v>0.4333</v>
      </c>
      <c r="K86" s="65">
        <v>0.1416</v>
      </c>
      <c r="L86" s="65">
        <v>0.5664</v>
      </c>
      <c r="M86" s="68">
        <v>0.0796</v>
      </c>
    </row>
    <row r="87" ht="14.25" customHeight="1">
      <c r="A87" s="48" t="s">
        <v>320</v>
      </c>
      <c r="B87" s="64">
        <v>0.0486</v>
      </c>
      <c r="C87" s="65">
        <v>0.4413</v>
      </c>
      <c r="D87" s="65">
        <v>0.1862</v>
      </c>
      <c r="E87" s="65">
        <v>0.7692</v>
      </c>
      <c r="F87" s="65">
        <v>0.0769</v>
      </c>
      <c r="G87" s="65">
        <v>0.8462</v>
      </c>
      <c r="H87" s="65">
        <v>1.0</v>
      </c>
      <c r="I87" s="65">
        <v>0.0</v>
      </c>
      <c r="J87" s="65">
        <v>0.1765</v>
      </c>
      <c r="K87" s="65">
        <v>0.1563</v>
      </c>
      <c r="L87" s="65">
        <v>0.375</v>
      </c>
      <c r="M87" s="68">
        <v>0.0375</v>
      </c>
    </row>
    <row r="88" ht="14.25" customHeight="1">
      <c r="A88" s="48" t="s">
        <v>321</v>
      </c>
      <c r="B88" s="64">
        <v>0.1282</v>
      </c>
      <c r="C88" s="65">
        <v>0.4231</v>
      </c>
      <c r="D88" s="65">
        <v>0.0769</v>
      </c>
      <c r="E88" s="65">
        <v>0.5789</v>
      </c>
      <c r="F88" s="65">
        <v>0.0526</v>
      </c>
      <c r="G88" s="65">
        <v>0.8421</v>
      </c>
      <c r="H88" s="65">
        <v>0.95</v>
      </c>
      <c r="I88" s="65">
        <v>0.05</v>
      </c>
      <c r="J88" s="65">
        <v>0.4</v>
      </c>
      <c r="K88" s="65">
        <v>0.035</v>
      </c>
      <c r="L88" s="65">
        <v>0.3497</v>
      </c>
      <c r="M88" s="68">
        <v>0.014</v>
      </c>
    </row>
    <row r="89" ht="14.25" customHeight="1">
      <c r="A89" s="48" t="s">
        <v>322</v>
      </c>
      <c r="B89" s="70">
        <v>0.0169</v>
      </c>
      <c r="C89" s="71">
        <v>0.4915</v>
      </c>
      <c r="D89" s="71">
        <v>0.0169</v>
      </c>
      <c r="E89" s="71">
        <v>0.8</v>
      </c>
      <c r="F89" s="71">
        <v>0.1</v>
      </c>
      <c r="G89" s="71">
        <v>0.7</v>
      </c>
      <c r="H89" s="71">
        <v>0.939</v>
      </c>
      <c r="I89" s="71">
        <v>0.0366</v>
      </c>
      <c r="J89" s="71">
        <v>0.2317</v>
      </c>
      <c r="K89" s="71">
        <v>0.2721</v>
      </c>
      <c r="L89" s="71">
        <v>0.3061</v>
      </c>
      <c r="M89" s="75">
        <v>0.034</v>
      </c>
    </row>
    <row r="90" ht="14.25" customHeight="1">
      <c r="A90" s="48"/>
      <c r="B90" s="21"/>
      <c r="C90" s="21"/>
      <c r="D90" s="21"/>
      <c r="E90" s="21"/>
      <c r="F90" s="21"/>
      <c r="G90" s="21"/>
      <c r="H90" s="21"/>
      <c r="I90" s="21"/>
      <c r="J90" s="21"/>
      <c r="K90" s="21"/>
      <c r="L90" s="21"/>
      <c r="M90" s="21"/>
    </row>
    <row r="91" ht="14.25" customHeight="1">
      <c r="A91" s="46" t="s">
        <v>338</v>
      </c>
      <c r="B91" s="21"/>
      <c r="C91" s="21"/>
      <c r="D91" s="21"/>
      <c r="E91" s="21"/>
      <c r="F91" s="21"/>
      <c r="G91" s="21"/>
      <c r="H91" s="21"/>
      <c r="I91" s="21"/>
      <c r="J91" s="21"/>
      <c r="K91" s="21"/>
      <c r="L91" s="21"/>
      <c r="M91" s="21"/>
    </row>
    <row r="92" ht="14.25" customHeight="1">
      <c r="A92" s="48"/>
      <c r="B92" s="48" t="s">
        <v>299</v>
      </c>
      <c r="C92" s="48" t="s">
        <v>300</v>
      </c>
      <c r="D92" s="48" t="s">
        <v>301</v>
      </c>
      <c r="E92" s="48" t="s">
        <v>302</v>
      </c>
      <c r="F92" s="48" t="s">
        <v>303</v>
      </c>
      <c r="G92" s="48" t="s">
        <v>304</v>
      </c>
      <c r="H92" s="48" t="s">
        <v>305</v>
      </c>
      <c r="I92" s="48" t="s">
        <v>306</v>
      </c>
      <c r="J92" s="48" t="s">
        <v>307</v>
      </c>
      <c r="K92" s="48" t="s">
        <v>308</v>
      </c>
      <c r="L92" s="48" t="s">
        <v>309</v>
      </c>
      <c r="M92" s="48" t="s">
        <v>310</v>
      </c>
    </row>
    <row r="93" ht="14.25" customHeight="1">
      <c r="A93" s="48" t="s">
        <v>311</v>
      </c>
      <c r="B93" s="59">
        <v>0.0177</v>
      </c>
      <c r="C93" s="60">
        <v>0.3186</v>
      </c>
      <c r="D93" s="60">
        <v>0.0265</v>
      </c>
      <c r="E93" s="60">
        <v>0.7407</v>
      </c>
      <c r="F93" s="60">
        <v>0.037</v>
      </c>
      <c r="G93" s="60">
        <v>0.8889</v>
      </c>
      <c r="H93" s="60">
        <v>0.9756</v>
      </c>
      <c r="I93" s="60">
        <v>0.0976</v>
      </c>
      <c r="J93" s="60">
        <v>0.1463</v>
      </c>
      <c r="K93" s="60">
        <v>0.0556</v>
      </c>
      <c r="L93" s="60">
        <v>0.8889</v>
      </c>
      <c r="M93" s="63">
        <v>0.0</v>
      </c>
    </row>
    <row r="94" ht="14.25" customHeight="1">
      <c r="A94" s="48" t="s">
        <v>312</v>
      </c>
      <c r="B94" s="64">
        <v>0.0182</v>
      </c>
      <c r="C94" s="65">
        <v>0.3939</v>
      </c>
      <c r="D94" s="65">
        <v>0.1515</v>
      </c>
      <c r="E94" s="65">
        <v>0.7059</v>
      </c>
      <c r="F94" s="65">
        <v>0.0</v>
      </c>
      <c r="G94" s="65">
        <v>0.6765</v>
      </c>
      <c r="H94" s="65">
        <v>1.0</v>
      </c>
      <c r="I94" s="65">
        <v>0.0</v>
      </c>
      <c r="J94" s="65">
        <v>0.3125</v>
      </c>
      <c r="K94" s="65">
        <v>0.1096</v>
      </c>
      <c r="L94" s="65">
        <v>0.6438</v>
      </c>
      <c r="M94" s="68">
        <v>0.0</v>
      </c>
    </row>
    <row r="95" ht="14.25" customHeight="1">
      <c r="A95" s="48" t="s">
        <v>313</v>
      </c>
      <c r="B95" s="64">
        <v>0.069</v>
      </c>
      <c r="C95" s="65">
        <v>0.4655</v>
      </c>
      <c r="D95" s="65">
        <v>0.0345</v>
      </c>
      <c r="E95" s="65">
        <v>0.6818</v>
      </c>
      <c r="F95" s="65">
        <v>0.0</v>
      </c>
      <c r="G95" s="65">
        <v>0.7727</v>
      </c>
      <c r="H95" s="65">
        <v>0.8333</v>
      </c>
      <c r="I95" s="65">
        <v>0.0</v>
      </c>
      <c r="J95" s="65">
        <v>0.2917</v>
      </c>
      <c r="K95" s="65">
        <v>0.0208</v>
      </c>
      <c r="L95" s="65">
        <v>0.2708</v>
      </c>
      <c r="M95" s="68">
        <v>0.0</v>
      </c>
    </row>
    <row r="96" ht="14.25" customHeight="1">
      <c r="A96" s="48" t="s">
        <v>314</v>
      </c>
      <c r="B96" s="64">
        <v>0.0136</v>
      </c>
      <c r="C96" s="65">
        <v>0.4966</v>
      </c>
      <c r="D96" s="65">
        <v>0.0408</v>
      </c>
      <c r="E96" s="65">
        <v>0.5862</v>
      </c>
      <c r="F96" s="65">
        <v>0.069</v>
      </c>
      <c r="G96" s="65">
        <v>0.3793</v>
      </c>
      <c r="H96" s="65">
        <v>1.0</v>
      </c>
      <c r="I96" s="65">
        <v>0.0517</v>
      </c>
      <c r="J96" s="65">
        <v>0.1552</v>
      </c>
      <c r="K96" s="65">
        <v>0.0682</v>
      </c>
      <c r="L96" s="65">
        <v>0.3864</v>
      </c>
      <c r="M96" s="68">
        <v>0.0</v>
      </c>
    </row>
    <row r="97" ht="14.25" customHeight="1">
      <c r="A97" s="48" t="s">
        <v>315</v>
      </c>
      <c r="B97" s="64">
        <v>0.0</v>
      </c>
      <c r="C97" s="65">
        <v>0.3934</v>
      </c>
      <c r="D97" s="65">
        <v>0.0</v>
      </c>
      <c r="E97" s="65">
        <v>0.0</v>
      </c>
      <c r="F97" s="65">
        <v>0.0</v>
      </c>
      <c r="G97" s="65">
        <v>0.6667</v>
      </c>
      <c r="H97" s="65">
        <v>0.963</v>
      </c>
      <c r="I97" s="65">
        <v>0.0</v>
      </c>
      <c r="J97" s="65">
        <v>0.1111</v>
      </c>
      <c r="K97" s="65">
        <v>0.0</v>
      </c>
      <c r="L97" s="65">
        <v>1.0</v>
      </c>
      <c r="M97" s="68">
        <v>0.0</v>
      </c>
    </row>
    <row r="98" ht="14.25" customHeight="1">
      <c r="A98" s="48" t="s">
        <v>316</v>
      </c>
      <c r="B98" s="64">
        <v>0.0</v>
      </c>
      <c r="C98" s="65">
        <v>0.3953</v>
      </c>
      <c r="D98" s="65">
        <v>0.0465</v>
      </c>
      <c r="E98" s="65">
        <v>0.8333</v>
      </c>
      <c r="F98" s="65">
        <v>0.0</v>
      </c>
      <c r="G98" s="65">
        <v>1.0</v>
      </c>
      <c r="H98" s="65">
        <v>1.0</v>
      </c>
      <c r="I98" s="65">
        <v>0.0</v>
      </c>
      <c r="J98" s="65">
        <v>0.1667</v>
      </c>
      <c r="K98" s="65">
        <v>0.037</v>
      </c>
      <c r="L98" s="65">
        <v>0.5926</v>
      </c>
      <c r="M98" s="68">
        <v>0.1852</v>
      </c>
    </row>
    <row r="99" ht="14.25" customHeight="1">
      <c r="A99" s="48" t="s">
        <v>317</v>
      </c>
      <c r="B99" s="64">
        <v>0.0</v>
      </c>
      <c r="C99" s="65">
        <v>0.7222</v>
      </c>
      <c r="D99" s="65">
        <v>0.0</v>
      </c>
      <c r="E99" s="65">
        <v>0.6667</v>
      </c>
      <c r="F99" s="65">
        <v>0.0</v>
      </c>
      <c r="G99" s="65">
        <v>0.8333</v>
      </c>
      <c r="H99" s="65">
        <v>1.0</v>
      </c>
      <c r="I99" s="65">
        <v>0.0</v>
      </c>
      <c r="J99" s="65">
        <v>0.3333</v>
      </c>
      <c r="K99" s="65">
        <v>0.0</v>
      </c>
      <c r="L99" s="65">
        <v>0.1905</v>
      </c>
      <c r="M99" s="68">
        <v>0.0952</v>
      </c>
    </row>
    <row r="100" ht="14.25" customHeight="1">
      <c r="A100" s="48" t="s">
        <v>318</v>
      </c>
      <c r="B100" s="64">
        <v>0.0122</v>
      </c>
      <c r="C100" s="65">
        <v>0.2683</v>
      </c>
      <c r="D100" s="65">
        <v>0.0</v>
      </c>
      <c r="E100" s="65">
        <v>1.0</v>
      </c>
      <c r="F100" s="65">
        <v>0.0</v>
      </c>
      <c r="G100" s="65">
        <v>1.0</v>
      </c>
      <c r="H100" s="65">
        <v>0.8947</v>
      </c>
      <c r="I100" s="65">
        <v>0.0</v>
      </c>
      <c r="J100" s="65">
        <v>0.1053</v>
      </c>
      <c r="K100" s="65">
        <v>0.1034</v>
      </c>
      <c r="L100" s="65">
        <v>0.2414</v>
      </c>
      <c r="M100" s="68">
        <v>0.069</v>
      </c>
    </row>
    <row r="101" ht="14.25" customHeight="1">
      <c r="A101" s="48" t="s">
        <v>319</v>
      </c>
      <c r="B101" s="64">
        <v>0.0634</v>
      </c>
      <c r="C101" s="65">
        <v>0.3805</v>
      </c>
      <c r="D101" s="65">
        <v>0.039</v>
      </c>
      <c r="E101" s="65">
        <v>0.85</v>
      </c>
      <c r="F101" s="65">
        <v>0.25</v>
      </c>
      <c r="G101" s="65">
        <v>0.9</v>
      </c>
      <c r="H101" s="65">
        <v>1.0</v>
      </c>
      <c r="I101" s="65">
        <v>0.05</v>
      </c>
      <c r="J101" s="65">
        <v>0.5667</v>
      </c>
      <c r="K101" s="65">
        <v>0.177</v>
      </c>
      <c r="L101" s="65">
        <v>0.7611</v>
      </c>
      <c r="M101" s="68">
        <v>0.0442</v>
      </c>
    </row>
    <row r="102" ht="14.25" customHeight="1">
      <c r="A102" s="48" t="s">
        <v>320</v>
      </c>
      <c r="B102" s="64">
        <v>0.0324</v>
      </c>
      <c r="C102" s="65">
        <v>0.6113</v>
      </c>
      <c r="D102" s="65">
        <v>0.17</v>
      </c>
      <c r="E102" s="65">
        <v>0.9231</v>
      </c>
      <c r="F102" s="65">
        <v>0.1538</v>
      </c>
      <c r="G102" s="65">
        <v>1.0</v>
      </c>
      <c r="H102" s="65">
        <v>1.0</v>
      </c>
      <c r="I102" s="65">
        <v>0.0</v>
      </c>
      <c r="J102" s="65">
        <v>0.4118</v>
      </c>
      <c r="K102" s="65">
        <v>0.1625</v>
      </c>
      <c r="L102" s="65">
        <v>0.55</v>
      </c>
      <c r="M102" s="68">
        <v>0.0375</v>
      </c>
    </row>
    <row r="103" ht="14.25" customHeight="1">
      <c r="A103" s="48" t="s">
        <v>321</v>
      </c>
      <c r="B103" s="64">
        <v>0.1154</v>
      </c>
      <c r="C103" s="65">
        <v>0.6538</v>
      </c>
      <c r="D103" s="65">
        <v>0.0256</v>
      </c>
      <c r="E103" s="65">
        <v>0.6842</v>
      </c>
      <c r="F103" s="65">
        <v>0.0526</v>
      </c>
      <c r="G103" s="65">
        <v>0.9474</v>
      </c>
      <c r="H103" s="65">
        <v>0.95</v>
      </c>
      <c r="I103" s="65">
        <v>0.0</v>
      </c>
      <c r="J103" s="65">
        <v>0.35</v>
      </c>
      <c r="K103" s="65">
        <v>0.0769</v>
      </c>
      <c r="L103" s="65">
        <v>0.3706</v>
      </c>
      <c r="M103" s="68">
        <v>0.049</v>
      </c>
    </row>
    <row r="104" ht="14.25" customHeight="1">
      <c r="A104" s="48" t="s">
        <v>322</v>
      </c>
      <c r="B104" s="70">
        <v>0.0085</v>
      </c>
      <c r="C104" s="71">
        <v>0.5551</v>
      </c>
      <c r="D104" s="71">
        <v>0.0466</v>
      </c>
      <c r="E104" s="71">
        <v>0.8</v>
      </c>
      <c r="F104" s="71">
        <v>0.1</v>
      </c>
      <c r="G104" s="71">
        <v>0.7</v>
      </c>
      <c r="H104" s="71">
        <v>1.0</v>
      </c>
      <c r="I104" s="71">
        <v>0.0122</v>
      </c>
      <c r="J104" s="71">
        <v>0.2073</v>
      </c>
      <c r="K104" s="71">
        <v>0.1429</v>
      </c>
      <c r="L104" s="71">
        <v>0.3129</v>
      </c>
      <c r="M104" s="75">
        <v>0.0272</v>
      </c>
    </row>
    <row r="105" ht="14.25" customHeight="1">
      <c r="A105" s="48"/>
      <c r="B105" s="21"/>
      <c r="C105" s="21"/>
      <c r="D105" s="21"/>
      <c r="E105" s="21"/>
      <c r="F105" s="21"/>
      <c r="G105" s="21"/>
      <c r="H105" s="21"/>
      <c r="I105" s="21"/>
      <c r="J105" s="21"/>
      <c r="K105" s="21"/>
      <c r="L105" s="21"/>
      <c r="M105" s="21"/>
    </row>
    <row r="106" ht="14.25" customHeight="1">
      <c r="A106" s="46" t="s">
        <v>339</v>
      </c>
      <c r="B106" s="21"/>
      <c r="C106" s="21"/>
      <c r="D106" s="21"/>
      <c r="E106" s="21"/>
      <c r="F106" s="21"/>
      <c r="G106" s="21"/>
      <c r="H106" s="21"/>
      <c r="I106" s="21"/>
      <c r="J106" s="21"/>
      <c r="K106" s="21"/>
      <c r="L106" s="21"/>
      <c r="M106" s="21"/>
    </row>
    <row r="107" ht="14.25" customHeight="1">
      <c r="A107" s="48"/>
      <c r="B107" s="48" t="s">
        <v>299</v>
      </c>
      <c r="C107" s="48" t="s">
        <v>300</v>
      </c>
      <c r="D107" s="48" t="s">
        <v>301</v>
      </c>
      <c r="E107" s="48" t="s">
        <v>302</v>
      </c>
      <c r="F107" s="48" t="s">
        <v>303</v>
      </c>
      <c r="G107" s="48" t="s">
        <v>304</v>
      </c>
      <c r="H107" s="48" t="s">
        <v>305</v>
      </c>
      <c r="I107" s="48" t="s">
        <v>306</v>
      </c>
      <c r="J107" s="48" t="s">
        <v>307</v>
      </c>
      <c r="K107" s="48" t="s">
        <v>308</v>
      </c>
      <c r="L107" s="48" t="s">
        <v>309</v>
      </c>
      <c r="M107" s="48" t="s">
        <v>310</v>
      </c>
    </row>
    <row r="108" ht="14.25" customHeight="1">
      <c r="A108" s="48" t="s">
        <v>311</v>
      </c>
      <c r="B108" s="59">
        <v>0.0177</v>
      </c>
      <c r="C108" s="60">
        <v>0.1858</v>
      </c>
      <c r="D108" s="60">
        <v>0.0442</v>
      </c>
      <c r="E108" s="60">
        <v>0.5556</v>
      </c>
      <c r="F108" s="60">
        <v>0.0</v>
      </c>
      <c r="G108" s="60">
        <v>0.4444</v>
      </c>
      <c r="H108" s="60">
        <v>0.9268</v>
      </c>
      <c r="I108" s="60">
        <v>0.0488</v>
      </c>
      <c r="J108" s="60">
        <v>0.0488</v>
      </c>
      <c r="K108" s="60">
        <v>0.0</v>
      </c>
      <c r="L108" s="60">
        <v>0.6667</v>
      </c>
      <c r="M108" s="63">
        <v>0.0</v>
      </c>
    </row>
    <row r="109" ht="14.25" customHeight="1">
      <c r="A109" s="48" t="s">
        <v>312</v>
      </c>
      <c r="B109" s="64">
        <v>0.0121</v>
      </c>
      <c r="C109" s="65">
        <v>0.2182</v>
      </c>
      <c r="D109" s="65">
        <v>0.0606</v>
      </c>
      <c r="E109" s="65">
        <v>0.5588</v>
      </c>
      <c r="F109" s="65">
        <v>0.0</v>
      </c>
      <c r="G109" s="65">
        <v>0.6765</v>
      </c>
      <c r="H109" s="65">
        <v>1.0</v>
      </c>
      <c r="I109" s="65">
        <v>0.0</v>
      </c>
      <c r="J109" s="65">
        <v>0.0</v>
      </c>
      <c r="K109" s="65">
        <v>0.0274</v>
      </c>
      <c r="L109" s="65">
        <v>0.3562</v>
      </c>
      <c r="M109" s="68">
        <v>0.0</v>
      </c>
    </row>
    <row r="110" ht="14.25" customHeight="1">
      <c r="A110" s="48" t="s">
        <v>313</v>
      </c>
      <c r="B110" s="64">
        <v>0.0345</v>
      </c>
      <c r="C110" s="65">
        <v>0.4138</v>
      </c>
      <c r="D110" s="65">
        <v>0.0172</v>
      </c>
      <c r="E110" s="65">
        <v>0.6818</v>
      </c>
      <c r="F110" s="65">
        <v>0.0</v>
      </c>
      <c r="G110" s="65">
        <v>0.2273</v>
      </c>
      <c r="H110" s="65">
        <v>0.9167</v>
      </c>
      <c r="I110" s="65">
        <v>0.0</v>
      </c>
      <c r="J110" s="65">
        <v>0.2083</v>
      </c>
      <c r="K110" s="65">
        <v>0.0208</v>
      </c>
      <c r="L110" s="65">
        <v>0.1875</v>
      </c>
      <c r="M110" s="68">
        <v>0.0</v>
      </c>
    </row>
    <row r="111" ht="14.25" customHeight="1">
      <c r="A111" s="48" t="s">
        <v>314</v>
      </c>
      <c r="B111" s="64">
        <v>0.0136</v>
      </c>
      <c r="C111" s="65">
        <v>0.1905</v>
      </c>
      <c r="D111" s="65">
        <v>0.034</v>
      </c>
      <c r="E111" s="65">
        <v>0.6897</v>
      </c>
      <c r="F111" s="65">
        <v>0.069</v>
      </c>
      <c r="G111" s="65">
        <v>0.1724</v>
      </c>
      <c r="H111" s="65">
        <v>0.9483</v>
      </c>
      <c r="I111" s="65">
        <v>0.0345</v>
      </c>
      <c r="J111" s="65">
        <v>0.1207</v>
      </c>
      <c r="K111" s="65">
        <v>0.0227</v>
      </c>
      <c r="L111" s="65">
        <v>0.1818</v>
      </c>
      <c r="M111" s="68">
        <v>0.0</v>
      </c>
    </row>
    <row r="112" ht="14.25" customHeight="1">
      <c r="A112" s="48" t="s">
        <v>315</v>
      </c>
      <c r="B112" s="64">
        <v>0.0164</v>
      </c>
      <c r="C112" s="65">
        <v>0.1475</v>
      </c>
      <c r="D112" s="65">
        <v>0.0</v>
      </c>
      <c r="E112" s="65">
        <v>0.0</v>
      </c>
      <c r="F112" s="65">
        <v>0.0</v>
      </c>
      <c r="G112" s="65">
        <v>0.0</v>
      </c>
      <c r="H112" s="65">
        <v>0.8519</v>
      </c>
      <c r="I112" s="65">
        <v>0.0</v>
      </c>
      <c r="J112" s="65">
        <v>0.037</v>
      </c>
      <c r="K112" s="65">
        <v>0.0</v>
      </c>
      <c r="L112" s="65">
        <v>1.0</v>
      </c>
      <c r="M112" s="68">
        <v>0.0</v>
      </c>
    </row>
    <row r="113" ht="14.25" customHeight="1">
      <c r="A113" s="48" t="s">
        <v>316</v>
      </c>
      <c r="B113" s="64">
        <v>0.0</v>
      </c>
      <c r="C113" s="65">
        <v>0.124</v>
      </c>
      <c r="D113" s="65">
        <v>0.0155</v>
      </c>
      <c r="E113" s="65">
        <v>0.8333</v>
      </c>
      <c r="F113" s="65">
        <v>0.0</v>
      </c>
      <c r="G113" s="65">
        <v>1.0</v>
      </c>
      <c r="H113" s="65">
        <v>1.0</v>
      </c>
      <c r="I113" s="65">
        <v>0.0</v>
      </c>
      <c r="J113" s="65">
        <v>0.0</v>
      </c>
      <c r="K113" s="65">
        <v>0.0</v>
      </c>
      <c r="L113" s="65">
        <v>0.2963</v>
      </c>
      <c r="M113" s="68">
        <v>0.0741</v>
      </c>
    </row>
    <row r="114" ht="14.25" customHeight="1">
      <c r="A114" s="48" t="s">
        <v>317</v>
      </c>
      <c r="B114" s="64">
        <v>0.0556</v>
      </c>
      <c r="C114" s="65">
        <v>0.3889</v>
      </c>
      <c r="D114" s="65">
        <v>0.0</v>
      </c>
      <c r="E114" s="65">
        <v>0.5</v>
      </c>
      <c r="F114" s="65">
        <v>0.0</v>
      </c>
      <c r="G114" s="65">
        <v>1.0</v>
      </c>
      <c r="H114" s="65">
        <v>0.9167</v>
      </c>
      <c r="I114" s="65">
        <v>0.0</v>
      </c>
      <c r="J114" s="65">
        <v>0.1667</v>
      </c>
      <c r="K114" s="65">
        <v>0.0</v>
      </c>
      <c r="L114" s="65">
        <v>0.0</v>
      </c>
      <c r="M114" s="68">
        <v>0.0</v>
      </c>
    </row>
    <row r="115" ht="14.25" customHeight="1">
      <c r="A115" s="48" t="s">
        <v>318</v>
      </c>
      <c r="B115" s="64">
        <v>0.0244</v>
      </c>
      <c r="C115" s="65">
        <v>0.122</v>
      </c>
      <c r="D115" s="65">
        <v>0.0</v>
      </c>
      <c r="E115" s="65">
        <v>0.0</v>
      </c>
      <c r="F115" s="65">
        <v>0.0</v>
      </c>
      <c r="G115" s="65">
        <v>1.0</v>
      </c>
      <c r="H115" s="65">
        <v>0.7895</v>
      </c>
      <c r="I115" s="65">
        <v>0.0</v>
      </c>
      <c r="J115" s="65">
        <v>0.0789</v>
      </c>
      <c r="K115" s="65">
        <v>0.069</v>
      </c>
      <c r="L115" s="65">
        <v>0.1724</v>
      </c>
      <c r="M115" s="68">
        <v>0.069</v>
      </c>
    </row>
    <row r="116" ht="14.25" customHeight="1">
      <c r="A116" s="48" t="s">
        <v>319</v>
      </c>
      <c r="B116" s="64">
        <v>0.0146</v>
      </c>
      <c r="C116" s="65">
        <v>0.1756</v>
      </c>
      <c r="D116" s="65">
        <v>0.0098</v>
      </c>
      <c r="E116" s="65">
        <v>1.0</v>
      </c>
      <c r="F116" s="65">
        <v>0.1</v>
      </c>
      <c r="G116" s="65">
        <v>0.9</v>
      </c>
      <c r="H116" s="65">
        <v>1.0</v>
      </c>
      <c r="I116" s="65">
        <v>0.0</v>
      </c>
      <c r="J116" s="65">
        <v>0.15</v>
      </c>
      <c r="K116" s="65">
        <v>0.0619</v>
      </c>
      <c r="L116" s="65">
        <v>0.354</v>
      </c>
      <c r="M116" s="68">
        <v>0.0177</v>
      </c>
    </row>
    <row r="117" ht="14.25" customHeight="1">
      <c r="A117" s="48" t="s">
        <v>320</v>
      </c>
      <c r="B117" s="64">
        <v>0.0081</v>
      </c>
      <c r="C117" s="65">
        <v>0.2227</v>
      </c>
      <c r="D117" s="65">
        <v>0.0931</v>
      </c>
      <c r="E117" s="65">
        <v>1.0</v>
      </c>
      <c r="F117" s="65">
        <v>0.0</v>
      </c>
      <c r="G117" s="65">
        <v>1.0</v>
      </c>
      <c r="H117" s="65">
        <v>1.0</v>
      </c>
      <c r="I117" s="65">
        <v>0.0</v>
      </c>
      <c r="J117" s="65">
        <v>0.0</v>
      </c>
      <c r="K117" s="65">
        <v>0.0563</v>
      </c>
      <c r="L117" s="65">
        <v>0.3</v>
      </c>
      <c r="M117" s="68">
        <v>0.0188</v>
      </c>
    </row>
    <row r="118" ht="14.25" customHeight="1">
      <c r="A118" s="48" t="s">
        <v>321</v>
      </c>
      <c r="B118" s="64">
        <v>0.0256</v>
      </c>
      <c r="C118" s="65">
        <v>0.3462</v>
      </c>
      <c r="D118" s="65">
        <v>0.0256</v>
      </c>
      <c r="E118" s="65">
        <v>1.0</v>
      </c>
      <c r="F118" s="65">
        <v>0.0</v>
      </c>
      <c r="G118" s="65">
        <v>0.9474</v>
      </c>
      <c r="H118" s="65">
        <v>1.0</v>
      </c>
      <c r="I118" s="65">
        <v>0.0</v>
      </c>
      <c r="J118" s="65">
        <v>0.15</v>
      </c>
      <c r="K118" s="65">
        <v>0.028</v>
      </c>
      <c r="L118" s="65">
        <v>0.1259</v>
      </c>
      <c r="M118" s="68">
        <v>0.0</v>
      </c>
    </row>
    <row r="119" ht="14.25" customHeight="1">
      <c r="A119" s="48" t="s">
        <v>322</v>
      </c>
      <c r="B119" s="70">
        <v>0.0127</v>
      </c>
      <c r="C119" s="71">
        <v>0.3008</v>
      </c>
      <c r="D119" s="71">
        <v>0.0085</v>
      </c>
      <c r="E119" s="71">
        <v>1.0</v>
      </c>
      <c r="F119" s="71">
        <v>0.1</v>
      </c>
      <c r="G119" s="71">
        <v>0.6</v>
      </c>
      <c r="H119" s="71">
        <v>0.9756</v>
      </c>
      <c r="I119" s="71">
        <v>0.0122</v>
      </c>
      <c r="J119" s="71">
        <v>0.122</v>
      </c>
      <c r="K119" s="71">
        <v>0.0748</v>
      </c>
      <c r="L119" s="71">
        <v>0.0612</v>
      </c>
      <c r="M119" s="75">
        <v>0.0068</v>
      </c>
    </row>
    <row r="120" ht="14.25" customHeight="1">
      <c r="A120" s="48"/>
      <c r="B120" s="21"/>
      <c r="C120" s="21"/>
      <c r="D120" s="21"/>
      <c r="E120" s="21"/>
      <c r="F120" s="21"/>
      <c r="G120" s="21"/>
      <c r="H120" s="21"/>
      <c r="I120" s="21"/>
      <c r="J120" s="21"/>
      <c r="K120" s="21"/>
      <c r="L120" s="21"/>
      <c r="M120" s="21"/>
    </row>
    <row r="121" ht="14.25" customHeight="1">
      <c r="A121" s="46" t="s">
        <v>340</v>
      </c>
      <c r="B121" s="21"/>
      <c r="C121" s="21"/>
      <c r="D121" s="21"/>
      <c r="E121" s="21"/>
      <c r="F121" s="21"/>
      <c r="G121" s="21"/>
      <c r="H121" s="21"/>
      <c r="I121" s="21"/>
      <c r="J121" s="21"/>
      <c r="K121" s="21"/>
      <c r="L121" s="21"/>
      <c r="M121" s="21"/>
    </row>
    <row r="122" ht="14.25" customHeight="1">
      <c r="A122" s="48"/>
      <c r="B122" s="48" t="s">
        <v>299</v>
      </c>
      <c r="C122" s="48" t="s">
        <v>300</v>
      </c>
      <c r="D122" s="48" t="s">
        <v>301</v>
      </c>
      <c r="E122" s="48" t="s">
        <v>302</v>
      </c>
      <c r="F122" s="48" t="s">
        <v>303</v>
      </c>
      <c r="G122" s="48" t="s">
        <v>304</v>
      </c>
      <c r="H122" s="48" t="s">
        <v>305</v>
      </c>
      <c r="I122" s="48" t="s">
        <v>306</v>
      </c>
      <c r="J122" s="48" t="s">
        <v>307</v>
      </c>
      <c r="K122" s="48" t="s">
        <v>308</v>
      </c>
      <c r="L122" s="48" t="s">
        <v>309</v>
      </c>
      <c r="M122" s="48" t="s">
        <v>310</v>
      </c>
    </row>
    <row r="123" ht="14.25" customHeight="1">
      <c r="A123" s="48" t="s">
        <v>311</v>
      </c>
      <c r="B123" s="59">
        <v>0.0</v>
      </c>
      <c r="C123" s="60">
        <v>0.2743</v>
      </c>
      <c r="D123" s="60">
        <v>0.0265</v>
      </c>
      <c r="E123" s="60">
        <v>0.5556</v>
      </c>
      <c r="F123" s="60">
        <v>0.037</v>
      </c>
      <c r="G123" s="60">
        <v>0.4444</v>
      </c>
      <c r="H123" s="60">
        <v>0.9512</v>
      </c>
      <c r="I123" s="60">
        <v>0.0732</v>
      </c>
      <c r="J123" s="60">
        <v>0.0488</v>
      </c>
      <c r="K123" s="60">
        <v>0.2222</v>
      </c>
      <c r="L123" s="60">
        <v>0.7222</v>
      </c>
      <c r="M123" s="63">
        <v>0.0</v>
      </c>
    </row>
    <row r="124" ht="14.25" customHeight="1">
      <c r="A124" s="48" t="s">
        <v>312</v>
      </c>
      <c r="B124" s="64">
        <v>0.0182</v>
      </c>
      <c r="C124" s="65">
        <v>0.2788</v>
      </c>
      <c r="D124" s="65">
        <v>0.1515</v>
      </c>
      <c r="E124" s="65">
        <v>0.4412</v>
      </c>
      <c r="F124" s="65">
        <v>0.0</v>
      </c>
      <c r="G124" s="65">
        <v>0.7353</v>
      </c>
      <c r="H124" s="65">
        <v>1.0</v>
      </c>
      <c r="I124" s="65">
        <v>0.0</v>
      </c>
      <c r="J124" s="65">
        <v>0.3125</v>
      </c>
      <c r="K124" s="65">
        <v>0.0274</v>
      </c>
      <c r="L124" s="65">
        <v>0.411</v>
      </c>
      <c r="M124" s="68">
        <v>0.0137</v>
      </c>
    </row>
    <row r="125" ht="14.25" customHeight="1">
      <c r="A125" s="48" t="s">
        <v>313</v>
      </c>
      <c r="B125" s="64">
        <v>0.0862</v>
      </c>
      <c r="C125" s="65">
        <v>0.4655</v>
      </c>
      <c r="D125" s="65">
        <v>0.0517</v>
      </c>
      <c r="E125" s="65">
        <v>0.6364</v>
      </c>
      <c r="F125" s="65">
        <v>0.0</v>
      </c>
      <c r="G125" s="65">
        <v>0.3636</v>
      </c>
      <c r="H125" s="65">
        <v>1.0</v>
      </c>
      <c r="I125" s="65">
        <v>0.0</v>
      </c>
      <c r="J125" s="65">
        <v>0.1667</v>
      </c>
      <c r="K125" s="65">
        <v>0.0417</v>
      </c>
      <c r="L125" s="65">
        <v>0.125</v>
      </c>
      <c r="M125" s="68">
        <v>0.0</v>
      </c>
    </row>
    <row r="126" ht="14.25" customHeight="1">
      <c r="A126" s="48" t="s">
        <v>314</v>
      </c>
      <c r="B126" s="64">
        <v>0.0204</v>
      </c>
      <c r="C126" s="65">
        <v>0.2789</v>
      </c>
      <c r="D126" s="65">
        <v>0.034</v>
      </c>
      <c r="E126" s="65">
        <v>0.7241</v>
      </c>
      <c r="F126" s="65">
        <v>0.1379</v>
      </c>
      <c r="G126" s="65">
        <v>0.2759</v>
      </c>
      <c r="H126" s="65">
        <v>0.8793</v>
      </c>
      <c r="I126" s="65">
        <v>0.0172</v>
      </c>
      <c r="J126" s="65">
        <v>0.1034</v>
      </c>
      <c r="K126" s="65">
        <v>0.0227</v>
      </c>
      <c r="L126" s="65">
        <v>0.2727</v>
      </c>
      <c r="M126" s="68">
        <v>0.0</v>
      </c>
    </row>
    <row r="127" ht="14.25" customHeight="1">
      <c r="A127" s="48" t="s">
        <v>315</v>
      </c>
      <c r="B127" s="64">
        <v>0.0</v>
      </c>
      <c r="C127" s="65">
        <v>0.2459</v>
      </c>
      <c r="D127" s="65">
        <v>0.0</v>
      </c>
      <c r="E127" s="65">
        <v>0.3333</v>
      </c>
      <c r="F127" s="65">
        <v>0.0</v>
      </c>
      <c r="G127" s="65">
        <v>0.6667</v>
      </c>
      <c r="H127" s="65">
        <v>0.8889</v>
      </c>
      <c r="I127" s="65">
        <v>0.0</v>
      </c>
      <c r="J127" s="65">
        <v>0.1111</v>
      </c>
      <c r="K127" s="65">
        <v>0.0</v>
      </c>
      <c r="L127" s="65">
        <v>1.0</v>
      </c>
      <c r="M127" s="68">
        <v>0.0909</v>
      </c>
    </row>
    <row r="128" ht="14.25" customHeight="1">
      <c r="A128" s="48" t="s">
        <v>316</v>
      </c>
      <c r="B128" s="64">
        <v>0.0</v>
      </c>
      <c r="C128" s="65">
        <v>0.2868</v>
      </c>
      <c r="D128" s="65">
        <v>0.0543</v>
      </c>
      <c r="E128" s="65">
        <v>0.5</v>
      </c>
      <c r="F128" s="65">
        <v>0.0</v>
      </c>
      <c r="G128" s="65">
        <v>1.0</v>
      </c>
      <c r="H128" s="65">
        <v>1.0</v>
      </c>
      <c r="I128" s="65">
        <v>0.0</v>
      </c>
      <c r="J128" s="65">
        <v>0.0</v>
      </c>
      <c r="K128" s="65">
        <v>0.1111</v>
      </c>
      <c r="L128" s="65">
        <v>0.2222</v>
      </c>
      <c r="M128" s="68">
        <v>0.0741</v>
      </c>
    </row>
    <row r="129" ht="14.25" customHeight="1">
      <c r="A129" s="48" t="s">
        <v>317</v>
      </c>
      <c r="B129" s="64">
        <v>0.0</v>
      </c>
      <c r="C129" s="65">
        <v>0.5556</v>
      </c>
      <c r="D129" s="65">
        <v>0.0</v>
      </c>
      <c r="E129" s="65">
        <v>0.8333</v>
      </c>
      <c r="F129" s="65">
        <v>0.1667</v>
      </c>
      <c r="G129" s="65">
        <v>0.8333</v>
      </c>
      <c r="H129" s="65">
        <v>1.0</v>
      </c>
      <c r="I129" s="65">
        <v>0.0</v>
      </c>
      <c r="J129" s="65">
        <v>0.0833</v>
      </c>
      <c r="K129" s="65">
        <v>0.0</v>
      </c>
      <c r="L129" s="65">
        <v>0.2381</v>
      </c>
      <c r="M129" s="68">
        <v>0.0</v>
      </c>
    </row>
    <row r="130" ht="14.25" customHeight="1">
      <c r="A130" s="48" t="s">
        <v>318</v>
      </c>
      <c r="B130" s="64">
        <v>0.0</v>
      </c>
      <c r="C130" s="65">
        <v>0.2561</v>
      </c>
      <c r="D130" s="65">
        <v>0.0</v>
      </c>
      <c r="E130" s="65">
        <v>0.0</v>
      </c>
      <c r="F130" s="65">
        <v>0.0</v>
      </c>
      <c r="G130" s="65">
        <v>1.0</v>
      </c>
      <c r="H130" s="65">
        <v>0.9211</v>
      </c>
      <c r="I130" s="65">
        <v>0.0</v>
      </c>
      <c r="J130" s="65">
        <v>0.1316</v>
      </c>
      <c r="K130" s="65">
        <v>0.0345</v>
      </c>
      <c r="L130" s="65">
        <v>0.1724</v>
      </c>
      <c r="M130" s="68">
        <v>0.1034</v>
      </c>
    </row>
    <row r="131" ht="14.25" customHeight="1">
      <c r="A131" s="48" t="s">
        <v>319</v>
      </c>
      <c r="B131" s="64">
        <v>0.0293</v>
      </c>
      <c r="C131" s="65">
        <v>0.2293</v>
      </c>
      <c r="D131" s="65">
        <v>0.039</v>
      </c>
      <c r="E131" s="65">
        <v>0.65</v>
      </c>
      <c r="F131" s="65">
        <v>0.1</v>
      </c>
      <c r="G131" s="65">
        <v>0.8</v>
      </c>
      <c r="H131" s="65">
        <v>0.9667</v>
      </c>
      <c r="I131" s="65">
        <v>0.0</v>
      </c>
      <c r="J131" s="65">
        <v>0.3333</v>
      </c>
      <c r="K131" s="65">
        <v>0.0973</v>
      </c>
      <c r="L131" s="65">
        <v>0.4159</v>
      </c>
      <c r="M131" s="68">
        <v>0.0265</v>
      </c>
    </row>
    <row r="132" ht="14.25" customHeight="1">
      <c r="A132" s="48" t="s">
        <v>320</v>
      </c>
      <c r="B132" s="64">
        <v>0.0243</v>
      </c>
      <c r="C132" s="65">
        <v>0.2874</v>
      </c>
      <c r="D132" s="65">
        <v>0.1457</v>
      </c>
      <c r="E132" s="65">
        <v>0.9231</v>
      </c>
      <c r="F132" s="65">
        <v>0.0</v>
      </c>
      <c r="G132" s="65">
        <v>1.0</v>
      </c>
      <c r="H132" s="65">
        <v>1.0</v>
      </c>
      <c r="I132" s="65">
        <v>0.0</v>
      </c>
      <c r="J132" s="65">
        <v>0.2353</v>
      </c>
      <c r="K132" s="65">
        <v>0.075</v>
      </c>
      <c r="L132" s="65">
        <v>0.3688</v>
      </c>
      <c r="M132" s="68">
        <v>0.0313</v>
      </c>
    </row>
    <row r="133" ht="14.25" customHeight="1">
      <c r="A133" s="48" t="s">
        <v>321</v>
      </c>
      <c r="B133" s="64">
        <v>0.0641</v>
      </c>
      <c r="C133" s="65">
        <v>0.4487</v>
      </c>
      <c r="D133" s="65">
        <v>0.0385</v>
      </c>
      <c r="E133" s="65">
        <v>0.5263</v>
      </c>
      <c r="F133" s="65">
        <v>0.0</v>
      </c>
      <c r="G133" s="65">
        <v>0.7895</v>
      </c>
      <c r="H133" s="65">
        <v>1.0</v>
      </c>
      <c r="I133" s="65">
        <v>0.05</v>
      </c>
      <c r="J133" s="65">
        <v>0.2</v>
      </c>
      <c r="K133" s="65">
        <v>0.014</v>
      </c>
      <c r="L133" s="65">
        <v>0.1608</v>
      </c>
      <c r="M133" s="68">
        <v>0.0</v>
      </c>
    </row>
    <row r="134" ht="14.25" customHeight="1">
      <c r="A134" s="48" t="s">
        <v>322</v>
      </c>
      <c r="B134" s="70">
        <v>0.0127</v>
      </c>
      <c r="C134" s="71">
        <v>0.3432</v>
      </c>
      <c r="D134" s="71">
        <v>0.0169</v>
      </c>
      <c r="E134" s="71">
        <v>0.8</v>
      </c>
      <c r="F134" s="71">
        <v>0.1</v>
      </c>
      <c r="G134" s="71">
        <v>0.9</v>
      </c>
      <c r="H134" s="71">
        <v>0.9878</v>
      </c>
      <c r="I134" s="71">
        <v>0.0366</v>
      </c>
      <c r="J134" s="71">
        <v>0.1951</v>
      </c>
      <c r="K134" s="71">
        <v>0.1293</v>
      </c>
      <c r="L134" s="71">
        <v>0.2177</v>
      </c>
      <c r="M134" s="75">
        <v>0.0136</v>
      </c>
    </row>
    <row r="135" ht="14.25" customHeight="1">
      <c r="A135" s="48"/>
      <c r="B135" s="21"/>
      <c r="C135" s="21"/>
      <c r="D135" s="21"/>
      <c r="E135" s="21"/>
      <c r="F135" s="21"/>
      <c r="G135" s="21"/>
      <c r="H135" s="21"/>
      <c r="I135" s="21"/>
      <c r="J135" s="21"/>
      <c r="K135" s="21"/>
      <c r="L135" s="21"/>
      <c r="M135" s="21"/>
    </row>
    <row r="136" ht="14.25" customHeight="1">
      <c r="A136" s="76" t="s">
        <v>341</v>
      </c>
    </row>
    <row r="137" ht="14.25" customHeight="1"/>
    <row r="138" ht="14.25" customHeight="1"/>
    <row r="139" ht="14.25" customHeight="1"/>
    <row r="140" ht="14.25" customHeight="1"/>
    <row r="141" ht="14.25" customHeight="1">
      <c r="A141" s="21"/>
      <c r="B141" s="21"/>
      <c r="C141" s="21"/>
      <c r="D141" s="21"/>
      <c r="E141" s="21"/>
      <c r="F141" s="21"/>
      <c r="G141" s="21"/>
      <c r="H141" s="21"/>
      <c r="I141" s="21"/>
      <c r="J141" s="21"/>
      <c r="K141" s="21"/>
      <c r="L141" s="21"/>
      <c r="M141" s="21"/>
    </row>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36:M140"/>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13"/>
    <col customWidth="1" min="2" max="2" width="9.13"/>
    <col customWidth="1" min="3" max="3" width="11.38"/>
    <col customWidth="1" min="4" max="4" width="9.63"/>
    <col customWidth="1" min="5" max="5" width="9.88"/>
    <col customWidth="1" min="6" max="6" width="9.63"/>
    <col customWidth="1" min="7" max="7" width="10.13"/>
    <col customWidth="1" min="8" max="8" width="11.25"/>
    <col customWidth="1" min="9" max="9" width="10.5"/>
    <col customWidth="1" min="10" max="26" width="8.63"/>
  </cols>
  <sheetData>
    <row r="1" ht="14.25" customHeight="1">
      <c r="A1" s="77"/>
      <c r="B1" s="78" t="s">
        <v>342</v>
      </c>
      <c r="C1" s="78" t="s">
        <v>343</v>
      </c>
      <c r="D1" s="78" t="s">
        <v>344</v>
      </c>
      <c r="E1" s="78" t="s">
        <v>345</v>
      </c>
      <c r="F1" s="78" t="s">
        <v>346</v>
      </c>
      <c r="G1" s="78" t="s">
        <v>347</v>
      </c>
      <c r="H1" s="79" t="s">
        <v>348</v>
      </c>
      <c r="I1" s="79" t="s">
        <v>349</v>
      </c>
    </row>
    <row r="2" ht="14.25" customHeight="1">
      <c r="A2" s="5" t="s">
        <v>342</v>
      </c>
      <c r="B2" s="33">
        <v>0.0</v>
      </c>
      <c r="C2" s="80">
        <v>3.9238163529684E-77</v>
      </c>
      <c r="D2" s="80">
        <v>3.76070581916341E-52</v>
      </c>
      <c r="E2" s="80">
        <v>1.00361111371616E-83</v>
      </c>
      <c r="F2" s="80">
        <v>2.1566831872128E-73</v>
      </c>
      <c r="G2" s="80">
        <v>2.11441880604688E-83</v>
      </c>
      <c r="H2" s="80">
        <v>1.17689402166468E-84</v>
      </c>
      <c r="I2" s="81">
        <v>1.25623117009843E-66</v>
      </c>
    </row>
    <row r="3" ht="14.25" customHeight="1">
      <c r="A3" s="5" t="s">
        <v>343</v>
      </c>
      <c r="B3" s="82">
        <v>3.9238163529684E-77</v>
      </c>
      <c r="C3" s="21">
        <v>0.0</v>
      </c>
      <c r="D3" s="53">
        <v>2.64741653432968E-67</v>
      </c>
      <c r="E3" s="53">
        <v>1.86894797312811E-70</v>
      </c>
      <c r="F3" s="53">
        <v>7.3391504183338E-74</v>
      </c>
      <c r="G3" s="53">
        <v>4.65994061440059E-116</v>
      </c>
      <c r="H3" s="53">
        <v>4.65679099422443E-115</v>
      </c>
      <c r="I3" s="83">
        <v>2.29471388719164E-73</v>
      </c>
    </row>
    <row r="4" ht="14.25" customHeight="1">
      <c r="A4" s="5" t="s">
        <v>344</v>
      </c>
      <c r="B4" s="82">
        <v>3.76070581916341E-52</v>
      </c>
      <c r="C4" s="53">
        <v>2.64741653432968E-67</v>
      </c>
      <c r="D4" s="21">
        <v>0.0</v>
      </c>
      <c r="E4" s="53">
        <v>2.27841684363352E-54</v>
      </c>
      <c r="F4" s="53">
        <v>7.8632218006622E-61</v>
      </c>
      <c r="G4" s="53">
        <v>7.8180711450639E-70</v>
      </c>
      <c r="H4" s="53">
        <v>1.09415880015115E-68</v>
      </c>
      <c r="I4" s="83">
        <v>5.09158452710529E-81</v>
      </c>
    </row>
    <row r="5" ht="14.25" customHeight="1">
      <c r="A5" s="5" t="s">
        <v>345</v>
      </c>
      <c r="B5" s="82">
        <v>1.00361111371616E-83</v>
      </c>
      <c r="C5" s="53">
        <v>1.86894797312811E-70</v>
      </c>
      <c r="D5" s="53">
        <v>2.27841684363384E-54</v>
      </c>
      <c r="E5" s="21">
        <v>0.0</v>
      </c>
      <c r="F5" s="53">
        <v>2.60842311741738E-71</v>
      </c>
      <c r="G5" s="53">
        <v>1.80869737873898E-83</v>
      </c>
      <c r="H5" s="53">
        <v>1.79615233687256E-85</v>
      </c>
      <c r="I5" s="83">
        <v>5.90238027273276E-59</v>
      </c>
    </row>
    <row r="6" ht="14.25" customHeight="1">
      <c r="A6" s="5" t="s">
        <v>346</v>
      </c>
      <c r="B6" s="82">
        <v>2.1566831872128E-73</v>
      </c>
      <c r="C6" s="53">
        <v>7.3391504183338E-74</v>
      </c>
      <c r="D6" s="53">
        <v>7.86322180066054E-61</v>
      </c>
      <c r="E6" s="53">
        <v>2.60842311741738E-71</v>
      </c>
      <c r="F6" s="21">
        <v>0.0</v>
      </c>
      <c r="G6" s="53">
        <v>4.00111401717271E-82</v>
      </c>
      <c r="H6" s="53">
        <v>3.91298576270761E-81</v>
      </c>
      <c r="I6" s="83">
        <v>1.31770325526631E-68</v>
      </c>
    </row>
    <row r="7" ht="14.25" customHeight="1">
      <c r="A7" s="5" t="s">
        <v>347</v>
      </c>
      <c r="B7" s="82">
        <v>2.11441880604688E-83</v>
      </c>
      <c r="C7" s="53">
        <v>4.65994061440059E-116</v>
      </c>
      <c r="D7" s="53">
        <v>7.81807114506178E-70</v>
      </c>
      <c r="E7" s="53">
        <v>1.80869737873822E-83</v>
      </c>
      <c r="F7" s="53">
        <v>4.00111401717434E-82</v>
      </c>
      <c r="G7" s="21">
        <v>0.0</v>
      </c>
      <c r="H7" s="53">
        <v>2.49767558188904E-197</v>
      </c>
      <c r="I7" s="83">
        <v>6.52612744321918E-72</v>
      </c>
    </row>
    <row r="8" ht="14.25" customHeight="1">
      <c r="A8" s="6" t="s">
        <v>348</v>
      </c>
      <c r="B8" s="53">
        <v>1.17689402166521E-84</v>
      </c>
      <c r="C8" s="53">
        <v>4.65679099422443E-115</v>
      </c>
      <c r="D8" s="53">
        <v>1.09415880015115E-68</v>
      </c>
      <c r="E8" s="53">
        <v>1.79615233687256E-85</v>
      </c>
      <c r="F8" s="53">
        <v>3.91298576270613E-81</v>
      </c>
      <c r="G8" s="53">
        <v>2.49767558188904E-197</v>
      </c>
      <c r="H8" s="21">
        <v>0.0</v>
      </c>
      <c r="I8" s="83">
        <v>2.21398407902817E-72</v>
      </c>
    </row>
    <row r="9" ht="14.25" customHeight="1">
      <c r="A9" s="8" t="s">
        <v>349</v>
      </c>
      <c r="B9" s="84">
        <v>1.25623117009843E-66</v>
      </c>
      <c r="C9" s="85">
        <v>2.29471388719164E-73</v>
      </c>
      <c r="D9" s="85">
        <v>5.09158452710529E-81</v>
      </c>
      <c r="E9" s="85">
        <v>5.90238027273276E-59</v>
      </c>
      <c r="F9" s="85">
        <v>1.31770325526631E-68</v>
      </c>
      <c r="G9" s="85">
        <v>6.52612744321729E-72</v>
      </c>
      <c r="H9" s="85">
        <v>2.21398407902817E-72</v>
      </c>
      <c r="I9" s="39">
        <v>0.0</v>
      </c>
    </row>
    <row r="10" ht="14.25" customHeight="1">
      <c r="A10" s="21"/>
      <c r="B10" s="21"/>
      <c r="C10" s="21"/>
      <c r="D10" s="21"/>
      <c r="E10" s="21"/>
      <c r="F10" s="21"/>
      <c r="G10" s="21"/>
      <c r="H10" s="21"/>
      <c r="I10" s="21"/>
    </row>
    <row r="11" ht="14.25" customHeight="1">
      <c r="A11" s="58" t="s">
        <v>350</v>
      </c>
    </row>
    <row r="12" ht="14.25" customHeight="1"/>
    <row r="13" ht="14.25" customHeight="1"/>
    <row r="14" ht="14.25" customHeight="1"/>
    <row r="15" ht="14.25" customHeight="1">
      <c r="A15" s="21"/>
      <c r="B15" s="21"/>
      <c r="C15" s="21"/>
      <c r="D15" s="21"/>
      <c r="E15" s="21"/>
      <c r="F15" s="21"/>
      <c r="G15" s="21"/>
      <c r="H15" s="21"/>
      <c r="I15" s="21"/>
    </row>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1:I14"/>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5"/>
    <col customWidth="1" min="2" max="3" width="8.63"/>
    <col customWidth="1" min="4" max="4" width="11.5"/>
    <col customWidth="1" min="5" max="5" width="16.5"/>
    <col customWidth="1" min="6" max="6" width="8.13"/>
    <col customWidth="1" min="7" max="26" width="8.63"/>
  </cols>
  <sheetData>
    <row r="1" ht="14.25" customHeight="1">
      <c r="A1" s="2" t="s">
        <v>0</v>
      </c>
      <c r="B1" s="22" t="s">
        <v>351</v>
      </c>
      <c r="C1" s="22" t="s">
        <v>352</v>
      </c>
      <c r="D1" s="22" t="s">
        <v>353</v>
      </c>
      <c r="E1" s="22" t="s">
        <v>354</v>
      </c>
      <c r="F1" s="23" t="s">
        <v>355</v>
      </c>
    </row>
    <row r="2" ht="14.25" customHeight="1">
      <c r="A2" s="28"/>
      <c r="F2" s="27"/>
    </row>
    <row r="3" ht="14.25" customHeight="1">
      <c r="A3" s="1" t="s">
        <v>347</v>
      </c>
      <c r="B3" s="33">
        <v>14787.0</v>
      </c>
      <c r="C3" s="34">
        <v>1998.0</v>
      </c>
      <c r="D3" s="34">
        <v>1510.0</v>
      </c>
      <c r="E3" s="34">
        <v>488.0</v>
      </c>
      <c r="F3" s="86">
        <v>3.0942622950819674</v>
      </c>
    </row>
    <row r="4" ht="14.25" customHeight="1">
      <c r="A4" s="5" t="s">
        <v>348</v>
      </c>
      <c r="B4" s="37">
        <v>14459.0</v>
      </c>
      <c r="C4" s="21">
        <v>1953.0</v>
      </c>
      <c r="D4" s="21">
        <v>1478.0</v>
      </c>
      <c r="E4" s="21">
        <v>475.0</v>
      </c>
      <c r="F4" s="66">
        <v>3.111578947368421</v>
      </c>
    </row>
    <row r="5" ht="14.25" customHeight="1">
      <c r="A5" s="8" t="s">
        <v>349</v>
      </c>
      <c r="B5" s="42">
        <v>13195.0</v>
      </c>
      <c r="C5" s="40">
        <v>3018.0</v>
      </c>
      <c r="D5" s="40">
        <v>1684.0</v>
      </c>
      <c r="E5" s="40">
        <v>1334.0</v>
      </c>
      <c r="F5" s="87">
        <v>1.262368815592204</v>
      </c>
    </row>
    <row r="6" ht="14.25" customHeight="1">
      <c r="A6" s="2" t="s">
        <v>342</v>
      </c>
      <c r="B6" s="33">
        <v>11141.0</v>
      </c>
      <c r="C6" s="34">
        <v>1493.0</v>
      </c>
      <c r="D6" s="34">
        <v>1070.0</v>
      </c>
      <c r="E6" s="34">
        <v>423.0</v>
      </c>
      <c r="F6" s="86">
        <v>2.5295508274231677</v>
      </c>
    </row>
    <row r="7" ht="14.25" customHeight="1">
      <c r="A7" s="5" t="s">
        <v>356</v>
      </c>
      <c r="B7" s="37">
        <v>8457.0</v>
      </c>
      <c r="C7" s="21">
        <v>1080.0</v>
      </c>
      <c r="D7" s="21">
        <v>712.0</v>
      </c>
      <c r="E7" s="21">
        <v>368.0</v>
      </c>
      <c r="F7" s="66">
        <v>1.934782608695652</v>
      </c>
    </row>
    <row r="8" ht="14.25" customHeight="1">
      <c r="A8" s="5" t="s">
        <v>343</v>
      </c>
      <c r="B8" s="37">
        <v>15698.0</v>
      </c>
      <c r="C8" s="21">
        <v>2205.0</v>
      </c>
      <c r="D8" s="21">
        <v>1597.0</v>
      </c>
      <c r="E8" s="21">
        <v>608.0</v>
      </c>
      <c r="F8" s="66">
        <v>2.6266447368421053</v>
      </c>
    </row>
    <row r="9" ht="14.25" customHeight="1">
      <c r="A9" s="5" t="s">
        <v>357</v>
      </c>
      <c r="B9" s="37">
        <v>9601.0</v>
      </c>
      <c r="C9" s="21">
        <v>1259.0</v>
      </c>
      <c r="D9" s="21">
        <v>844.0</v>
      </c>
      <c r="E9" s="21">
        <v>415.0</v>
      </c>
      <c r="F9" s="66">
        <v>2.0337349397590363</v>
      </c>
    </row>
    <row r="10" ht="14.25" customHeight="1">
      <c r="A10" s="5" t="s">
        <v>358</v>
      </c>
      <c r="B10" s="37">
        <v>9447.0</v>
      </c>
      <c r="C10" s="21">
        <v>1135.0</v>
      </c>
      <c r="D10" s="21">
        <v>645.0</v>
      </c>
      <c r="E10" s="21">
        <v>490.0</v>
      </c>
      <c r="F10" s="66">
        <v>1.316326530612245</v>
      </c>
    </row>
    <row r="11" ht="14.25" customHeight="1">
      <c r="A11" s="5" t="s">
        <v>359</v>
      </c>
      <c r="B11" s="37">
        <v>11100.0</v>
      </c>
      <c r="C11" s="21">
        <v>1502.0</v>
      </c>
      <c r="D11" s="21">
        <v>1056.0</v>
      </c>
      <c r="E11" s="21">
        <v>446.0</v>
      </c>
      <c r="F11" s="66">
        <v>2.367713004484305</v>
      </c>
    </row>
    <row r="12" ht="14.25" customHeight="1">
      <c r="A12" s="8" t="s">
        <v>360</v>
      </c>
      <c r="B12" s="42">
        <v>13355.0</v>
      </c>
      <c r="C12" s="40">
        <v>1994.0</v>
      </c>
      <c r="D12" s="40">
        <v>1421.0</v>
      </c>
      <c r="E12" s="40">
        <v>573.0</v>
      </c>
      <c r="F12" s="87">
        <v>2.479930191972077</v>
      </c>
    </row>
    <row r="13" ht="14.25" customHeight="1">
      <c r="A13" s="2" t="s">
        <v>361</v>
      </c>
      <c r="B13" s="33">
        <v>7102.0</v>
      </c>
      <c r="C13" s="34">
        <v>880.0</v>
      </c>
      <c r="D13" s="34">
        <v>610.0</v>
      </c>
      <c r="E13" s="34">
        <v>270.0</v>
      </c>
      <c r="F13" s="86">
        <v>2.259259259259259</v>
      </c>
    </row>
    <row r="14" ht="14.25" customHeight="1">
      <c r="A14" s="5" t="s">
        <v>362</v>
      </c>
      <c r="B14" s="37">
        <v>9152.0</v>
      </c>
      <c r="C14" s="21">
        <v>1078.0</v>
      </c>
      <c r="D14" s="21">
        <v>642.0</v>
      </c>
      <c r="E14" s="21">
        <v>436.0</v>
      </c>
      <c r="F14" s="66">
        <v>1.4724770642201834</v>
      </c>
    </row>
    <row r="15" ht="14.25" customHeight="1">
      <c r="A15" s="5" t="s">
        <v>344</v>
      </c>
      <c r="B15" s="37">
        <v>14659.0</v>
      </c>
      <c r="C15" s="21">
        <v>2206.0</v>
      </c>
      <c r="D15" s="21">
        <v>1667.0</v>
      </c>
      <c r="E15" s="21">
        <v>539.0</v>
      </c>
      <c r="F15" s="66">
        <v>3.0927643784786643</v>
      </c>
    </row>
    <row r="16" ht="14.25" customHeight="1">
      <c r="A16" s="5" t="s">
        <v>363</v>
      </c>
      <c r="B16" s="37">
        <v>10431.0</v>
      </c>
      <c r="C16" s="21">
        <v>1420.0</v>
      </c>
      <c r="D16" s="21">
        <v>929.0</v>
      </c>
      <c r="E16" s="21">
        <v>491.0</v>
      </c>
      <c r="F16" s="66">
        <v>1.8920570264765784</v>
      </c>
    </row>
    <row r="17" ht="14.25" customHeight="1">
      <c r="A17" s="5" t="s">
        <v>364</v>
      </c>
      <c r="B17" s="37">
        <v>12330.0</v>
      </c>
      <c r="C17" s="21">
        <v>1621.0</v>
      </c>
      <c r="D17" s="21">
        <v>1023.0</v>
      </c>
      <c r="E17" s="21">
        <v>598.0</v>
      </c>
      <c r="F17" s="66">
        <v>1.7107023411371238</v>
      </c>
    </row>
    <row r="18" ht="14.25" customHeight="1">
      <c r="A18" s="5" t="s">
        <v>345</v>
      </c>
      <c r="B18" s="37">
        <v>10649.0</v>
      </c>
      <c r="C18" s="21">
        <v>1343.0</v>
      </c>
      <c r="D18" s="21">
        <v>1031.0</v>
      </c>
      <c r="E18" s="21">
        <v>312.0</v>
      </c>
      <c r="F18" s="66">
        <v>3.3044871794871793</v>
      </c>
    </row>
    <row r="19" ht="14.25" customHeight="1">
      <c r="A19" s="8" t="s">
        <v>346</v>
      </c>
      <c r="B19" s="42">
        <v>11217.0</v>
      </c>
      <c r="C19" s="40">
        <v>1623.0</v>
      </c>
      <c r="D19" s="40">
        <v>1220.0</v>
      </c>
      <c r="E19" s="40">
        <v>403.0</v>
      </c>
      <c r="F19" s="87">
        <v>3.0272952853598016</v>
      </c>
    </row>
    <row r="20" ht="14.25" customHeight="1">
      <c r="A20" s="8" t="s">
        <v>365</v>
      </c>
      <c r="B20" s="42"/>
      <c r="C20" s="40"/>
      <c r="D20" s="40"/>
      <c r="E20" s="40"/>
      <c r="F20" s="88">
        <f>AVERAGE(F6:F19)</f>
        <v>2.289123241</v>
      </c>
    </row>
    <row r="21" ht="14.25" customHeight="1">
      <c r="A21" s="89" t="s">
        <v>366</v>
      </c>
      <c r="B21" s="90"/>
      <c r="C21" s="90"/>
      <c r="D21" s="90"/>
      <c r="E21" s="90"/>
      <c r="F21" s="90"/>
    </row>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7">
    <mergeCell ref="A1:A2"/>
    <mergeCell ref="B1:B2"/>
    <mergeCell ref="C1:C2"/>
    <mergeCell ref="D1:D2"/>
    <mergeCell ref="E1:E2"/>
    <mergeCell ref="F1:F2"/>
    <mergeCell ref="A21:F26"/>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38"/>
    <col customWidth="1" min="2" max="2" width="8.63"/>
    <col customWidth="1" min="3" max="8" width="9.0"/>
    <col customWidth="1" min="9" max="9" width="8.63"/>
    <col customWidth="1" min="10" max="15" width="9.13"/>
    <col customWidth="1" min="16" max="26" width="8.63"/>
  </cols>
  <sheetData>
    <row r="1" ht="14.25" customHeight="1">
      <c r="A1" s="47" t="s">
        <v>367</v>
      </c>
      <c r="B1" s="47"/>
      <c r="C1" s="21"/>
      <c r="D1" s="21"/>
      <c r="E1" s="21"/>
      <c r="F1" s="21"/>
      <c r="G1" s="21"/>
      <c r="H1" s="21"/>
      <c r="I1" s="21"/>
      <c r="J1" s="21"/>
      <c r="K1" s="21"/>
      <c r="L1" s="21"/>
      <c r="M1" s="21"/>
      <c r="N1" s="21"/>
      <c r="O1" s="21"/>
    </row>
    <row r="2" ht="14.25" customHeight="1">
      <c r="A2" s="21"/>
      <c r="B2" s="47"/>
      <c r="C2" s="91" t="s">
        <v>368</v>
      </c>
      <c r="I2" s="21"/>
      <c r="J2" s="91" t="s">
        <v>369</v>
      </c>
    </row>
    <row r="3" ht="14.25" customHeight="1">
      <c r="A3" s="92"/>
      <c r="B3" s="48"/>
      <c r="C3" s="48" t="s">
        <v>370</v>
      </c>
      <c r="I3" s="21"/>
      <c r="J3" s="48" t="s">
        <v>370</v>
      </c>
    </row>
    <row r="4" ht="14.25" customHeight="1">
      <c r="A4" s="21"/>
      <c r="B4" s="21"/>
      <c r="C4" s="93" t="s">
        <v>342</v>
      </c>
      <c r="D4" s="94" t="s">
        <v>356</v>
      </c>
      <c r="E4" s="94" t="s">
        <v>343</v>
      </c>
      <c r="F4" s="94" t="s">
        <v>359</v>
      </c>
      <c r="G4" s="94" t="s">
        <v>345</v>
      </c>
      <c r="H4" s="95" t="s">
        <v>347</v>
      </c>
      <c r="I4" s="21"/>
      <c r="J4" s="93" t="s">
        <v>342</v>
      </c>
      <c r="K4" s="94" t="s">
        <v>356</v>
      </c>
      <c r="L4" s="94" t="s">
        <v>343</v>
      </c>
      <c r="M4" s="94" t="s">
        <v>359</v>
      </c>
      <c r="N4" s="94" t="s">
        <v>345</v>
      </c>
      <c r="O4" s="95" t="s">
        <v>347</v>
      </c>
    </row>
    <row r="5" ht="14.25" customHeight="1">
      <c r="A5" s="21"/>
      <c r="B5" s="21"/>
      <c r="C5" s="96"/>
      <c r="D5" s="26"/>
      <c r="E5" s="26"/>
      <c r="F5" s="26"/>
      <c r="G5" s="26"/>
      <c r="H5" s="27"/>
      <c r="I5" s="21"/>
      <c r="J5" s="96"/>
      <c r="K5" s="26"/>
      <c r="L5" s="26"/>
      <c r="M5" s="26"/>
      <c r="N5" s="26"/>
      <c r="O5" s="27"/>
    </row>
    <row r="6" ht="14.25" customHeight="1">
      <c r="A6" s="97" t="s">
        <v>371</v>
      </c>
      <c r="B6" s="97" t="s">
        <v>372</v>
      </c>
      <c r="C6" s="98"/>
      <c r="D6" s="98"/>
      <c r="E6" s="98"/>
      <c r="F6" s="98"/>
      <c r="G6" s="98"/>
      <c r="H6" s="86"/>
      <c r="I6" s="21"/>
      <c r="J6" s="99"/>
      <c r="K6" s="80"/>
      <c r="L6" s="80"/>
      <c r="M6" s="80"/>
      <c r="N6" s="80"/>
      <c r="O6" s="81"/>
    </row>
    <row r="7" ht="14.25" customHeight="1">
      <c r="A7" s="100" t="s">
        <v>373</v>
      </c>
      <c r="B7" s="101" t="s">
        <v>342</v>
      </c>
      <c r="C7" s="102">
        <v>0.0895118735288813</v>
      </c>
      <c r="D7" s="65">
        <v>0.0880190009151572</v>
      </c>
      <c r="E7" s="65">
        <v>0.0722881328470658</v>
      </c>
      <c r="F7" s="65">
        <v>0.0982423662914748</v>
      </c>
      <c r="G7" s="65">
        <v>0.083847253166595</v>
      </c>
      <c r="H7" s="66">
        <v>0.0794885240187601</v>
      </c>
      <c r="I7" s="21"/>
      <c r="J7" s="103">
        <v>0.286006041379897</v>
      </c>
      <c r="K7" s="53">
        <v>0.294150432440436</v>
      </c>
      <c r="L7" s="53">
        <v>0.38922454147311</v>
      </c>
      <c r="M7" s="53">
        <v>0.241409928501242</v>
      </c>
      <c r="N7" s="53">
        <v>0.317717875463347</v>
      </c>
      <c r="O7" s="83">
        <v>0.34361404287</v>
      </c>
    </row>
    <row r="8" ht="14.25" customHeight="1">
      <c r="A8" s="104"/>
      <c r="B8" s="6" t="s">
        <v>356</v>
      </c>
      <c r="C8" s="65">
        <v>0.226169944510247</v>
      </c>
      <c r="D8" s="102">
        <v>0.21462246466875</v>
      </c>
      <c r="E8" s="65">
        <v>0.194665874273801</v>
      </c>
      <c r="F8" s="65">
        <v>0.202259635852389</v>
      </c>
      <c r="G8" s="65">
        <v>0.196350781646833</v>
      </c>
      <c r="H8" s="66">
        <v>0.199094112855123</v>
      </c>
      <c r="I8" s="21"/>
      <c r="J8" s="82">
        <v>0.00641460643100325</v>
      </c>
      <c r="K8" s="105">
        <v>0.00978891152285079</v>
      </c>
      <c r="L8" s="53">
        <v>0.0193849525354904</v>
      </c>
      <c r="M8" s="53">
        <v>0.0150512219695892</v>
      </c>
      <c r="N8" s="53">
        <v>0.0183399428989428</v>
      </c>
      <c r="O8" s="83">
        <v>0.0167427861684008</v>
      </c>
    </row>
    <row r="9" ht="14.25" customHeight="1">
      <c r="A9" s="104"/>
      <c r="B9" s="6" t="s">
        <v>343</v>
      </c>
      <c r="C9" s="65">
        <v>0.0787365047380307</v>
      </c>
      <c r="D9" s="65">
        <v>0.0751910683495826</v>
      </c>
      <c r="E9" s="102">
        <v>0.0934116984044422</v>
      </c>
      <c r="F9" s="65">
        <v>0.0831631769422432</v>
      </c>
      <c r="G9" s="65">
        <v>0.0705872057270433</v>
      </c>
      <c r="H9" s="66">
        <v>0.0966570410015419</v>
      </c>
      <c r="I9" s="21"/>
      <c r="J9" s="82">
        <v>0.348213212620546</v>
      </c>
      <c r="K9" s="53">
        <v>0.370414208441316</v>
      </c>
      <c r="L9" s="105">
        <v>0.265447491334489</v>
      </c>
      <c r="M9" s="53">
        <v>0.321696146612314</v>
      </c>
      <c r="N9" s="53">
        <v>0.400508494623302</v>
      </c>
      <c r="O9" s="83">
        <v>0.249125406038009</v>
      </c>
    </row>
    <row r="10" ht="14.25" customHeight="1">
      <c r="A10" s="104"/>
      <c r="B10" s="6" t="s">
        <v>359</v>
      </c>
      <c r="C10" s="65">
        <v>0.11937479531805</v>
      </c>
      <c r="D10" s="65">
        <v>0.114624527319724</v>
      </c>
      <c r="E10" s="65">
        <v>0.0825226859271491</v>
      </c>
      <c r="F10" s="102">
        <v>0.123898515331076</v>
      </c>
      <c r="G10" s="65">
        <v>0.0943266280002268</v>
      </c>
      <c r="H10" s="66">
        <v>0.0913896353606726</v>
      </c>
      <c r="I10" s="21"/>
      <c r="J10" s="82">
        <v>0.154124246563877</v>
      </c>
      <c r="K10" s="53">
        <v>0.171305885793602</v>
      </c>
      <c r="L10" s="53">
        <v>0.325449984129855</v>
      </c>
      <c r="M10" s="105">
        <v>0.138998403262164</v>
      </c>
      <c r="N10" s="53">
        <v>0.260773928553395</v>
      </c>
      <c r="O10" s="83">
        <v>0.27597789514765</v>
      </c>
    </row>
    <row r="11" ht="14.25" customHeight="1">
      <c r="A11" s="104"/>
      <c r="B11" s="6" t="s">
        <v>345</v>
      </c>
      <c r="C11" s="65">
        <v>0.0445403538186399</v>
      </c>
      <c r="D11" s="65">
        <v>0.0296627661146185</v>
      </c>
      <c r="E11" s="65">
        <v>0.0100298886739736</v>
      </c>
      <c r="F11" s="65">
        <v>0.036639534196342</v>
      </c>
      <c r="G11" s="102">
        <v>0.0354237543100508</v>
      </c>
      <c r="H11" s="66">
        <v>0.0304480461714362</v>
      </c>
      <c r="I11" s="21"/>
      <c r="J11" s="82">
        <v>0.596050103292382</v>
      </c>
      <c r="K11" s="53">
        <v>0.724141973519202</v>
      </c>
      <c r="L11" s="53">
        <v>0.905027634482028</v>
      </c>
      <c r="M11" s="53">
        <v>0.662844776144636</v>
      </c>
      <c r="N11" s="105">
        <v>0.673380815433202</v>
      </c>
      <c r="O11" s="83">
        <v>0.7171456687914</v>
      </c>
    </row>
    <row r="12" ht="14.25" customHeight="1">
      <c r="A12" s="104"/>
      <c r="B12" s="6" t="s">
        <v>374</v>
      </c>
      <c r="C12" s="65">
        <v>0.20578285521175</v>
      </c>
      <c r="D12" s="65">
        <v>0.21854394592164</v>
      </c>
      <c r="E12" s="65">
        <v>0.178422787345573</v>
      </c>
      <c r="F12" s="65">
        <v>0.203162018240443</v>
      </c>
      <c r="G12" s="65">
        <v>0.180328674200597</v>
      </c>
      <c r="H12" s="66">
        <v>0.18057542093174</v>
      </c>
      <c r="I12" s="21"/>
      <c r="J12" s="82">
        <v>0.0133454656118565</v>
      </c>
      <c r="K12" s="53">
        <v>0.00849937073272522</v>
      </c>
      <c r="L12" s="53">
        <v>0.0323861003587565</v>
      </c>
      <c r="M12" s="53">
        <v>0.0145971581331095</v>
      </c>
      <c r="N12" s="53">
        <v>0.0305529043826119</v>
      </c>
      <c r="O12" s="83">
        <v>0.0303221436099947</v>
      </c>
    </row>
    <row r="13" ht="14.25" customHeight="1">
      <c r="A13" s="106"/>
      <c r="B13" s="6" t="s">
        <v>351</v>
      </c>
      <c r="C13" s="65">
        <v>0.12256095207832</v>
      </c>
      <c r="D13" s="65">
        <v>0.120181751428142</v>
      </c>
      <c r="E13" s="65">
        <v>0.126739812744089</v>
      </c>
      <c r="F13" s="65">
        <v>0.125413838264439</v>
      </c>
      <c r="G13" s="65">
        <v>0.109476873022692</v>
      </c>
      <c r="H13" s="107">
        <v>0.131844257335842</v>
      </c>
      <c r="I13" s="21"/>
      <c r="J13" s="84">
        <v>0.143347984875422</v>
      </c>
      <c r="K13" s="85">
        <v>0.151339025298138</v>
      </c>
      <c r="L13" s="85">
        <v>0.130093398805434</v>
      </c>
      <c r="M13" s="85">
        <v>0.134193076791949</v>
      </c>
      <c r="N13" s="85">
        <v>0.191483661425814</v>
      </c>
      <c r="O13" s="108">
        <v>0.115204134832235</v>
      </c>
    </row>
    <row r="14" ht="14.25" customHeight="1">
      <c r="A14" s="109" t="s">
        <v>375</v>
      </c>
      <c r="B14" s="101" t="s">
        <v>342</v>
      </c>
      <c r="C14" s="110">
        <v>0.62050738285659</v>
      </c>
      <c r="D14" s="98">
        <v>0.61515888688262</v>
      </c>
      <c r="E14" s="98">
        <v>0.561527752009521</v>
      </c>
      <c r="F14" s="98">
        <v>0.618462903695392</v>
      </c>
      <c r="G14" s="98">
        <v>0.613156163396018</v>
      </c>
      <c r="H14" s="86">
        <v>0.572233443710963</v>
      </c>
      <c r="I14" s="21"/>
      <c r="J14" s="111">
        <v>1.08705290151156E-16</v>
      </c>
      <c r="K14" s="80">
        <v>2.34147045781502E-16</v>
      </c>
      <c r="L14" s="80">
        <v>2.45051357941528E-13</v>
      </c>
      <c r="M14" s="80">
        <v>1.46009839982111E-16</v>
      </c>
      <c r="N14" s="80">
        <v>3.10919137055601E-16</v>
      </c>
      <c r="O14" s="81">
        <v>6.75867021683499E-14</v>
      </c>
    </row>
    <row r="15" ht="14.25" customHeight="1">
      <c r="A15" s="104"/>
      <c r="B15" s="6" t="s">
        <v>356</v>
      </c>
      <c r="C15" s="65">
        <v>0.666273701359374</v>
      </c>
      <c r="D15" s="102">
        <v>0.656551165986608</v>
      </c>
      <c r="E15" s="65">
        <v>0.604835511935305</v>
      </c>
      <c r="F15" s="65">
        <v>0.664184523138184</v>
      </c>
      <c r="G15" s="65">
        <v>0.653997207694226</v>
      </c>
      <c r="H15" s="66">
        <v>0.613706253136102</v>
      </c>
      <c r="I15" s="21"/>
      <c r="J15" s="82">
        <v>7.98709990720613E-20</v>
      </c>
      <c r="K15" s="105">
        <v>4.10788288376209E-19</v>
      </c>
      <c r="L15" s="53">
        <v>9.88806192444016E-16</v>
      </c>
      <c r="M15" s="53">
        <v>1.14144875834175E-19</v>
      </c>
      <c r="N15" s="53">
        <v>6.25358464033346E-19</v>
      </c>
      <c r="O15" s="83">
        <v>2.87677790063875E-16</v>
      </c>
    </row>
    <row r="16" ht="14.25" customHeight="1">
      <c r="A16" s="104"/>
      <c r="B16" s="6" t="s">
        <v>343</v>
      </c>
      <c r="C16" s="65">
        <v>0.665024859857749</v>
      </c>
      <c r="D16" s="65">
        <v>0.645051253466532</v>
      </c>
      <c r="E16" s="102">
        <v>0.618623179316542</v>
      </c>
      <c r="F16" s="65">
        <v>0.658889132804006</v>
      </c>
      <c r="G16" s="65">
        <v>0.655745637304645</v>
      </c>
      <c r="H16" s="66">
        <v>0.623632259170876</v>
      </c>
      <c r="I16" s="21"/>
      <c r="J16" s="82">
        <v>9.89083343731361E-20</v>
      </c>
      <c r="K16" s="53">
        <v>2.64120693362475E-18</v>
      </c>
      <c r="L16" s="105">
        <v>1.42682619060134E-16</v>
      </c>
      <c r="M16" s="53">
        <v>2.78605033145029E-19</v>
      </c>
      <c r="N16" s="53">
        <v>4.69216108753428E-19</v>
      </c>
      <c r="O16" s="83">
        <v>6.89587590637649E-17</v>
      </c>
    </row>
    <row r="17" ht="14.25" customHeight="1">
      <c r="A17" s="104"/>
      <c r="B17" s="6" t="s">
        <v>359</v>
      </c>
      <c r="C17" s="65">
        <v>0.60756583608729</v>
      </c>
      <c r="D17" s="65">
        <v>0.590893328601937</v>
      </c>
      <c r="E17" s="65">
        <v>0.552903572392417</v>
      </c>
      <c r="F17" s="102">
        <v>0.610075681073607</v>
      </c>
      <c r="G17" s="65">
        <v>0.617371916279795</v>
      </c>
      <c r="H17" s="66">
        <v>0.571789188229822</v>
      </c>
      <c r="I17" s="21"/>
      <c r="J17" s="82">
        <v>6.78972320790858E-16</v>
      </c>
      <c r="K17" s="53">
        <v>6.38234474001211E-15</v>
      </c>
      <c r="L17" s="53">
        <v>6.69150251081972E-13</v>
      </c>
      <c r="M17" s="105">
        <v>4.79058733547762E-16</v>
      </c>
      <c r="N17" s="53">
        <v>1.70755668579163E-16</v>
      </c>
      <c r="O17" s="83">
        <v>7.13638011908368E-14</v>
      </c>
    </row>
    <row r="18" ht="14.25" customHeight="1">
      <c r="A18" s="104"/>
      <c r="B18" s="6" t="s">
        <v>345</v>
      </c>
      <c r="C18" s="65">
        <v>0.626660915647103</v>
      </c>
      <c r="D18" s="65">
        <v>0.612488183875251</v>
      </c>
      <c r="E18" s="65">
        <v>0.58105756868886</v>
      </c>
      <c r="F18" s="65">
        <v>0.613552918400511</v>
      </c>
      <c r="G18" s="102">
        <v>0.620157574850766</v>
      </c>
      <c r="H18" s="66">
        <v>0.591654199018046</v>
      </c>
      <c r="I18" s="21"/>
      <c r="J18" s="82">
        <v>4.41455299472079E-17</v>
      </c>
      <c r="K18" s="53">
        <v>3.41610672105149E-16</v>
      </c>
      <c r="L18" s="53">
        <v>2.25593203100543E-14</v>
      </c>
      <c r="M18" s="53">
        <v>2.9398021761726E-16</v>
      </c>
      <c r="N18" s="105">
        <v>1.14351061211173E-16</v>
      </c>
      <c r="O18" s="83">
        <v>5.77809756719082E-15</v>
      </c>
    </row>
    <row r="19" ht="14.25" customHeight="1">
      <c r="A19" s="104"/>
      <c r="B19" s="6" t="s">
        <v>374</v>
      </c>
      <c r="C19" s="65">
        <v>0.636758872056837</v>
      </c>
      <c r="D19" s="65">
        <v>0.622387645117377</v>
      </c>
      <c r="E19" s="65">
        <v>0.579137762674693</v>
      </c>
      <c r="F19" s="65">
        <v>0.63267435069035</v>
      </c>
      <c r="G19" s="65">
        <v>0.626153318920682</v>
      </c>
      <c r="H19" s="66">
        <v>0.588017754219094</v>
      </c>
      <c r="I19" s="21"/>
      <c r="J19" s="82">
        <v>9.62719350757076E-18</v>
      </c>
      <c r="K19" s="53">
        <v>8.27145012226224E-17</v>
      </c>
      <c r="L19" s="53">
        <v>2.8722471586137E-14</v>
      </c>
      <c r="M19" s="53">
        <v>1.79453188443865E-17</v>
      </c>
      <c r="N19" s="53">
        <v>4.75881041637977E-17</v>
      </c>
      <c r="O19" s="83">
        <v>9.27281639358377E-15</v>
      </c>
    </row>
    <row r="20" ht="14.25" customHeight="1">
      <c r="A20" s="106"/>
      <c r="B20" s="9" t="s">
        <v>351</v>
      </c>
      <c r="C20" s="65">
        <v>0.653405687620285</v>
      </c>
      <c r="D20" s="65">
        <v>0.63657908832315</v>
      </c>
      <c r="E20" s="65">
        <v>0.602104769081425</v>
      </c>
      <c r="F20" s="65">
        <v>0.645260868937047</v>
      </c>
      <c r="G20" s="65">
        <v>0.645455994024899</v>
      </c>
      <c r="H20" s="107">
        <v>0.609040427297202</v>
      </c>
      <c r="I20" s="21"/>
      <c r="J20" s="84">
        <v>6.88890348546609E-19</v>
      </c>
      <c r="K20" s="85">
        <v>9.89666689912423E-18</v>
      </c>
      <c r="L20" s="85">
        <v>1.43496597811143E-15</v>
      </c>
      <c r="M20" s="85">
        <v>2.55493370286348E-18</v>
      </c>
      <c r="N20" s="85">
        <v>2.47710136498031E-18</v>
      </c>
      <c r="O20" s="108">
        <v>5.53383332722148E-16</v>
      </c>
    </row>
    <row r="21" ht="14.25" customHeight="1">
      <c r="A21" s="100" t="s">
        <v>376</v>
      </c>
      <c r="B21" s="6" t="s">
        <v>342</v>
      </c>
      <c r="C21" s="110">
        <v>0.613165883878533</v>
      </c>
      <c r="D21" s="98">
        <v>0.608444870185337</v>
      </c>
      <c r="E21" s="98">
        <v>0.552951447816623</v>
      </c>
      <c r="F21" s="98">
        <v>0.611589525457326</v>
      </c>
      <c r="G21" s="98">
        <v>0.606993677779626</v>
      </c>
      <c r="H21" s="86">
        <v>0.564358690215373</v>
      </c>
      <c r="I21" s="21"/>
      <c r="J21" s="111">
        <v>3.1049298588194E-16</v>
      </c>
      <c r="K21" s="80">
        <v>6.01113572169723E-16</v>
      </c>
      <c r="L21" s="80">
        <v>6.65481891489113E-13</v>
      </c>
      <c r="M21" s="80">
        <v>3.87598514754263E-16</v>
      </c>
      <c r="N21" s="80">
        <v>7.34841701966506E-16</v>
      </c>
      <c r="O21" s="81">
        <v>1.75100089165046E-13</v>
      </c>
    </row>
    <row r="22" ht="14.25" customHeight="1">
      <c r="A22" s="104"/>
      <c r="B22" s="6" t="s">
        <v>356</v>
      </c>
      <c r="C22" s="65">
        <v>0.6755389509583</v>
      </c>
      <c r="D22" s="102">
        <v>0.665716463318372</v>
      </c>
      <c r="E22" s="65">
        <v>0.611606603506655</v>
      </c>
      <c r="F22" s="65">
        <v>0.671325759685984</v>
      </c>
      <c r="G22" s="65">
        <v>0.662701748238311</v>
      </c>
      <c r="H22" s="66">
        <v>0.621293513033566</v>
      </c>
      <c r="I22" s="21"/>
      <c r="J22" s="82">
        <v>1.58260391241626E-20</v>
      </c>
      <c r="K22" s="105">
        <v>8.78762474619074E-20</v>
      </c>
      <c r="L22" s="53">
        <v>3.86670774121693E-16</v>
      </c>
      <c r="M22" s="53">
        <v>3.32810107237028E-20</v>
      </c>
      <c r="N22" s="53">
        <v>1.46812128147427E-19</v>
      </c>
      <c r="O22" s="83">
        <v>9.6991294091062E-17</v>
      </c>
    </row>
    <row r="23" ht="14.25" customHeight="1">
      <c r="A23" s="104"/>
      <c r="B23" s="6" t="s">
        <v>343</v>
      </c>
      <c r="C23" s="65">
        <v>0.667284394146744</v>
      </c>
      <c r="D23" s="65">
        <v>0.648056719887682</v>
      </c>
      <c r="E23" s="102">
        <v>0.621049072811548</v>
      </c>
      <c r="F23" s="65">
        <v>0.661695208867332</v>
      </c>
      <c r="G23" s="65">
        <v>0.658109568239048</v>
      </c>
      <c r="H23" s="66">
        <v>0.626304200836291</v>
      </c>
      <c r="I23" s="21"/>
      <c r="J23" s="82">
        <v>6.71309214937006E-20</v>
      </c>
      <c r="K23" s="53">
        <v>1.63655300367954E-18</v>
      </c>
      <c r="L23" s="105">
        <v>1.00495087497289E-16</v>
      </c>
      <c r="M23" s="53">
        <v>1.74023602266766E-19</v>
      </c>
      <c r="N23" s="53">
        <v>3.17235943921937E-19</v>
      </c>
      <c r="O23" s="83">
        <v>4.65383406021108E-17</v>
      </c>
    </row>
    <row r="24" ht="14.25" customHeight="1">
      <c r="A24" s="104"/>
      <c r="B24" s="6" t="s">
        <v>359</v>
      </c>
      <c r="C24" s="65">
        <v>0.629946101175355</v>
      </c>
      <c r="D24" s="65">
        <v>0.607805872314911</v>
      </c>
      <c r="E24" s="65">
        <v>0.569339923272833</v>
      </c>
      <c r="F24" s="102">
        <v>0.63154731478354</v>
      </c>
      <c r="G24" s="65">
        <v>0.637421435884134</v>
      </c>
      <c r="H24" s="66">
        <v>0.589511085209067</v>
      </c>
      <c r="I24" s="21"/>
      <c r="J24" s="82">
        <v>2.70627134424657E-17</v>
      </c>
      <c r="K24" s="53">
        <v>6.56786475254542E-16</v>
      </c>
      <c r="L24" s="53">
        <v>9.61717084543651E-14</v>
      </c>
      <c r="M24" s="105">
        <v>2.12750515768032E-17</v>
      </c>
      <c r="N24" s="53">
        <v>8.69454868378974E-18</v>
      </c>
      <c r="O24" s="83">
        <v>7.64121849167518E-15</v>
      </c>
    </row>
    <row r="25" ht="14.25" customHeight="1">
      <c r="A25" s="104"/>
      <c r="B25" s="6" t="s">
        <v>345</v>
      </c>
      <c r="C25" s="65">
        <v>0.609562721921647</v>
      </c>
      <c r="D25" s="65">
        <v>0.597485407622524</v>
      </c>
      <c r="E25" s="65">
        <v>0.557052501753476</v>
      </c>
      <c r="F25" s="65">
        <v>0.595732568093723</v>
      </c>
      <c r="G25" s="102">
        <v>0.603090841965041</v>
      </c>
      <c r="H25" s="66">
        <v>0.571806763917982</v>
      </c>
      <c r="I25" s="21"/>
      <c r="J25" s="82">
        <v>5.1458076641337E-16</v>
      </c>
      <c r="K25" s="53">
        <v>2.67266848801618E-15</v>
      </c>
      <c r="L25" s="53">
        <v>4.14200370322826E-13</v>
      </c>
      <c r="M25" s="53">
        <v>3.37526516110793E-15</v>
      </c>
      <c r="N25" s="105">
        <v>1.25492747439255E-15</v>
      </c>
      <c r="O25" s="83">
        <v>7.12105468037588E-14</v>
      </c>
    </row>
    <row r="26" ht="14.25" customHeight="1">
      <c r="A26" s="104"/>
      <c r="B26" s="6" t="s">
        <v>374</v>
      </c>
      <c r="C26" s="65">
        <v>0.638644009174085</v>
      </c>
      <c r="D26" s="65">
        <v>0.624562788804796</v>
      </c>
      <c r="E26" s="65">
        <v>0.581464794963776</v>
      </c>
      <c r="F26" s="65">
        <v>0.634552412115242</v>
      </c>
      <c r="G26" s="65">
        <v>0.627467980807455</v>
      </c>
      <c r="H26" s="66">
        <v>0.589773067292988</v>
      </c>
      <c r="I26" s="21"/>
      <c r="J26" s="82">
        <v>7.19960445749472E-18</v>
      </c>
      <c r="K26" s="53">
        <v>6.01589571737793E-17</v>
      </c>
      <c r="L26" s="53">
        <v>2.14282808565978E-14</v>
      </c>
      <c r="M26" s="53">
        <v>1.34926806620197E-17</v>
      </c>
      <c r="N26" s="53">
        <v>3.91662490416055E-17</v>
      </c>
      <c r="O26" s="83">
        <v>7.38538187375583E-15</v>
      </c>
    </row>
    <row r="27" ht="14.25" customHeight="1">
      <c r="A27" s="106"/>
      <c r="B27" s="9" t="s">
        <v>351</v>
      </c>
      <c r="C27" s="112">
        <v>0.655754690338437</v>
      </c>
      <c r="D27" s="112">
        <v>0.63937329929979</v>
      </c>
      <c r="E27" s="112">
        <v>0.604800265165227</v>
      </c>
      <c r="F27" s="112">
        <v>0.648138094251459</v>
      </c>
      <c r="G27" s="112">
        <v>0.647654007368731</v>
      </c>
      <c r="H27" s="113">
        <v>0.611854766123997</v>
      </c>
      <c r="I27" s="21"/>
      <c r="J27" s="84">
        <v>4.68516408160021E-19</v>
      </c>
      <c r="K27" s="85">
        <v>6.43065612249307E-18</v>
      </c>
      <c r="L27" s="85">
        <v>9.9359306355053E-16</v>
      </c>
      <c r="M27" s="85">
        <v>1.61536040990092E-18</v>
      </c>
      <c r="N27" s="85">
        <v>1.74549528777911E-18</v>
      </c>
      <c r="O27" s="108">
        <v>3.73431493032329E-16</v>
      </c>
    </row>
    <row r="28" ht="14.25" customHeight="1">
      <c r="A28" s="47"/>
      <c r="B28" s="21"/>
      <c r="C28" s="114"/>
      <c r="D28" s="114"/>
      <c r="E28" s="114"/>
      <c r="F28" s="114"/>
      <c r="G28" s="114"/>
      <c r="H28" s="114"/>
      <c r="I28" s="21"/>
      <c r="J28" s="114"/>
      <c r="K28" s="114"/>
      <c r="L28" s="114"/>
      <c r="M28" s="114"/>
      <c r="N28" s="114"/>
      <c r="O28" s="114"/>
    </row>
    <row r="29" ht="14.25" customHeight="1">
      <c r="A29" s="47" t="s">
        <v>377</v>
      </c>
      <c r="B29" s="21"/>
      <c r="C29" s="114"/>
      <c r="D29" s="114"/>
      <c r="E29" s="114"/>
      <c r="F29" s="114"/>
      <c r="G29" s="114"/>
      <c r="H29" s="114"/>
      <c r="I29" s="21"/>
      <c r="J29" s="114"/>
      <c r="K29" s="114"/>
      <c r="L29" s="114"/>
      <c r="M29" s="114"/>
      <c r="N29" s="114"/>
      <c r="O29" s="114"/>
    </row>
    <row r="30" ht="14.25" customHeight="1">
      <c r="A30" s="47"/>
      <c r="B30" s="21"/>
      <c r="C30" s="91" t="s">
        <v>368</v>
      </c>
      <c r="I30" s="21"/>
      <c r="J30" s="91" t="s">
        <v>369</v>
      </c>
    </row>
    <row r="31" ht="14.25" customHeight="1">
      <c r="A31" s="21"/>
      <c r="B31" s="21"/>
      <c r="C31" s="48" t="s">
        <v>370</v>
      </c>
      <c r="I31" s="21"/>
      <c r="J31" s="48" t="s">
        <v>370</v>
      </c>
    </row>
    <row r="32" ht="14.25" customHeight="1">
      <c r="A32" s="21"/>
      <c r="B32" s="21"/>
      <c r="C32" s="93" t="s">
        <v>342</v>
      </c>
      <c r="D32" s="94" t="s">
        <v>356</v>
      </c>
      <c r="E32" s="94" t="s">
        <v>343</v>
      </c>
      <c r="F32" s="94" t="s">
        <v>359</v>
      </c>
      <c r="G32" s="94" t="s">
        <v>345</v>
      </c>
      <c r="H32" s="95" t="s">
        <v>347</v>
      </c>
      <c r="I32" s="21"/>
      <c r="J32" s="93" t="s">
        <v>342</v>
      </c>
      <c r="K32" s="94" t="s">
        <v>356</v>
      </c>
      <c r="L32" s="94" t="s">
        <v>343</v>
      </c>
      <c r="M32" s="94" t="s">
        <v>359</v>
      </c>
      <c r="N32" s="94" t="s">
        <v>345</v>
      </c>
      <c r="O32" s="95" t="s">
        <v>347</v>
      </c>
    </row>
    <row r="33" ht="14.25" customHeight="1">
      <c r="A33" s="21"/>
      <c r="B33" s="21"/>
      <c r="C33" s="96"/>
      <c r="D33" s="26"/>
      <c r="E33" s="26"/>
      <c r="F33" s="26"/>
      <c r="G33" s="26"/>
      <c r="H33" s="27"/>
      <c r="I33" s="21"/>
      <c r="J33" s="96"/>
      <c r="K33" s="26"/>
      <c r="L33" s="26"/>
      <c r="M33" s="26"/>
      <c r="N33" s="26"/>
      <c r="O33" s="27"/>
    </row>
    <row r="34" ht="14.25" customHeight="1">
      <c r="A34" s="97" t="s">
        <v>371</v>
      </c>
      <c r="B34" s="97" t="s">
        <v>372</v>
      </c>
      <c r="C34" s="98"/>
      <c r="D34" s="98"/>
      <c r="E34" s="98"/>
      <c r="F34" s="98"/>
      <c r="G34" s="98"/>
      <c r="H34" s="86"/>
      <c r="I34" s="21"/>
      <c r="J34" s="99"/>
      <c r="K34" s="80"/>
      <c r="L34" s="80"/>
      <c r="M34" s="80"/>
      <c r="N34" s="80"/>
      <c r="O34" s="81"/>
    </row>
    <row r="35" ht="14.25" customHeight="1">
      <c r="A35" s="100" t="s">
        <v>373</v>
      </c>
      <c r="B35" s="101" t="s">
        <v>342</v>
      </c>
      <c r="C35" s="102">
        <v>-0.0108498800847121</v>
      </c>
      <c r="D35" s="65">
        <v>-0.0151410834030508</v>
      </c>
      <c r="E35" s="65">
        <v>-0.0294334063704812</v>
      </c>
      <c r="F35" s="65">
        <v>-0.00247388798217454</v>
      </c>
      <c r="G35" s="65">
        <v>-0.0380660369813843</v>
      </c>
      <c r="H35" s="66">
        <v>-0.025146786687908</v>
      </c>
      <c r="I35" s="21"/>
      <c r="J35" s="103">
        <v>0.901732051328312</v>
      </c>
      <c r="K35" s="53">
        <v>0.863191364902817</v>
      </c>
      <c r="L35" s="53">
        <v>0.737609737750583</v>
      </c>
      <c r="M35" s="53">
        <v>0.977540509741461</v>
      </c>
      <c r="N35" s="53">
        <v>0.664765672899059</v>
      </c>
      <c r="O35" s="83">
        <v>0.774715812877677</v>
      </c>
    </row>
    <row r="36" ht="14.25" customHeight="1">
      <c r="A36" s="104"/>
      <c r="B36" s="6" t="s">
        <v>356</v>
      </c>
      <c r="C36" s="65">
        <v>0.251306594144505</v>
      </c>
      <c r="D36" s="102">
        <v>0.229755906515982</v>
      </c>
      <c r="E36" s="65">
        <v>0.192644034292642</v>
      </c>
      <c r="F36" s="65">
        <v>0.204476111669416</v>
      </c>
      <c r="G36" s="65">
        <v>0.182275872030484</v>
      </c>
      <c r="H36" s="66">
        <v>0.200561929153104</v>
      </c>
      <c r="I36" s="21"/>
      <c r="J36" s="82">
        <v>0.00365346992264167</v>
      </c>
      <c r="K36" s="105">
        <v>0.00804588214443417</v>
      </c>
      <c r="L36" s="53">
        <v>0.0268954041304249</v>
      </c>
      <c r="M36" s="53">
        <v>0.0186821862161636</v>
      </c>
      <c r="N36" s="53">
        <v>0.0364537596081806</v>
      </c>
      <c r="O36" s="83">
        <v>0.0211192474699382</v>
      </c>
    </row>
    <row r="37" ht="14.25" customHeight="1">
      <c r="A37" s="104"/>
      <c r="B37" s="6" t="s">
        <v>343</v>
      </c>
      <c r="C37" s="65">
        <v>0.016797127358751</v>
      </c>
      <c r="D37" s="65">
        <v>0.0254539437749402</v>
      </c>
      <c r="E37" s="102">
        <v>0.0313902631955029</v>
      </c>
      <c r="F37" s="65">
        <v>0.0270792016006219</v>
      </c>
      <c r="G37" s="65">
        <v>-0.00708960571596528</v>
      </c>
      <c r="H37" s="66">
        <v>0.0362838852922167</v>
      </c>
      <c r="I37" s="21"/>
      <c r="J37" s="82">
        <v>0.848398464202681</v>
      </c>
      <c r="K37" s="53">
        <v>0.7720388676242</v>
      </c>
      <c r="L37" s="105">
        <v>0.720863818656493</v>
      </c>
      <c r="M37" s="53">
        <v>0.757919669115339</v>
      </c>
      <c r="N37" s="53">
        <v>0.935696714965019</v>
      </c>
      <c r="O37" s="83">
        <v>0.679576411686</v>
      </c>
    </row>
    <row r="38" ht="14.25" customHeight="1">
      <c r="A38" s="104"/>
      <c r="B38" s="6" t="s">
        <v>359</v>
      </c>
      <c r="C38" s="65">
        <v>0.18076096169784</v>
      </c>
      <c r="D38" s="65">
        <v>0.178888803800453</v>
      </c>
      <c r="E38" s="65">
        <v>0.118479916646256</v>
      </c>
      <c r="F38" s="102">
        <v>0.187377008799829</v>
      </c>
      <c r="G38" s="65">
        <v>0.144492014291519</v>
      </c>
      <c r="H38" s="66">
        <v>0.132198841224809</v>
      </c>
      <c r="I38" s="21"/>
      <c r="J38" s="82">
        <v>0.0380653091335818</v>
      </c>
      <c r="K38" s="53">
        <v>0.0401392242452135</v>
      </c>
      <c r="L38" s="53">
        <v>0.176038188386055</v>
      </c>
      <c r="M38" s="105">
        <v>0.0314434129461854</v>
      </c>
      <c r="N38" s="53">
        <v>0.0983341695748949</v>
      </c>
      <c r="O38" s="83">
        <v>0.130777483169043</v>
      </c>
    </row>
    <row r="39" ht="14.25" customHeight="1">
      <c r="A39" s="104"/>
      <c r="B39" s="6" t="s">
        <v>345</v>
      </c>
      <c r="C39" s="65">
        <v>0.0291108220976368</v>
      </c>
      <c r="D39" s="65">
        <v>0.0192519357787115</v>
      </c>
      <c r="E39" s="65">
        <v>-0.0175219438446269</v>
      </c>
      <c r="F39" s="65">
        <v>0.0141444882612832</v>
      </c>
      <c r="G39" s="102">
        <v>0.0146760964380365</v>
      </c>
      <c r="H39" s="66">
        <v>0.00866925537698244</v>
      </c>
      <c r="I39" s="21"/>
      <c r="J39" s="82">
        <v>0.740382375487014</v>
      </c>
      <c r="K39" s="53">
        <v>0.826568691335857</v>
      </c>
      <c r="L39" s="53">
        <v>0.84194016641013</v>
      </c>
      <c r="M39" s="53">
        <v>0.872116872547386</v>
      </c>
      <c r="N39" s="105">
        <v>0.8673537122405</v>
      </c>
      <c r="O39" s="83">
        <v>0.921410871090971</v>
      </c>
    </row>
    <row r="40" ht="14.25" customHeight="1">
      <c r="A40" s="104"/>
      <c r="B40" s="6" t="s">
        <v>374</v>
      </c>
      <c r="C40" s="65">
        <v>0.0259672399303907</v>
      </c>
      <c r="D40" s="65">
        <v>0.0643570118610907</v>
      </c>
      <c r="E40" s="65">
        <v>-7.5141115467527E-4</v>
      </c>
      <c r="F40" s="65">
        <v>0.0295118595414618</v>
      </c>
      <c r="G40" s="65">
        <v>-0.0291526528961557</v>
      </c>
      <c r="H40" s="66">
        <v>-0.0039325216194231</v>
      </c>
      <c r="I40" s="21"/>
      <c r="J40" s="82">
        <v>0.767571367360178</v>
      </c>
      <c r="K40" s="53">
        <v>0.463476937495343</v>
      </c>
      <c r="L40" s="53">
        <v>0.99317741475153</v>
      </c>
      <c r="M40" s="53">
        <v>0.736935934729065</v>
      </c>
      <c r="N40" s="53">
        <v>0.740022647375333</v>
      </c>
      <c r="O40" s="83">
        <v>0.964305243686197</v>
      </c>
    </row>
    <row r="41" ht="14.25" customHeight="1">
      <c r="A41" s="106"/>
      <c r="B41" s="6" t="s">
        <v>351</v>
      </c>
      <c r="C41" s="65">
        <v>0.0338150826965375</v>
      </c>
      <c r="D41" s="65">
        <v>0.04463846961634</v>
      </c>
      <c r="E41" s="65">
        <v>0.0370392977734443</v>
      </c>
      <c r="F41" s="65">
        <v>0.0416607361691512</v>
      </c>
      <c r="G41" s="65">
        <v>-0.0023679260049322</v>
      </c>
      <c r="H41" s="107">
        <v>0.0431676237881747</v>
      </c>
      <c r="I41" s="21"/>
      <c r="J41" s="84">
        <v>0.700296183191073</v>
      </c>
      <c r="K41" s="85">
        <v>0.611290278011674</v>
      </c>
      <c r="L41" s="85">
        <v>0.673283143941161</v>
      </c>
      <c r="M41" s="85">
        <v>0.635286756227677</v>
      </c>
      <c r="N41" s="85">
        <v>0.978502263055611</v>
      </c>
      <c r="O41" s="108">
        <v>0.623093872430867</v>
      </c>
    </row>
    <row r="42" ht="14.25" customHeight="1">
      <c r="A42" s="109" t="s">
        <v>375</v>
      </c>
      <c r="B42" s="101" t="s">
        <v>342</v>
      </c>
      <c r="C42" s="110">
        <v>0.518597575669267</v>
      </c>
      <c r="D42" s="98">
        <v>0.448735032181787</v>
      </c>
      <c r="E42" s="98">
        <v>0.553037319221905</v>
      </c>
      <c r="F42" s="98">
        <v>0.488052132329754</v>
      </c>
      <c r="G42" s="98">
        <v>0.48083825052524</v>
      </c>
      <c r="H42" s="86">
        <v>0.54264683976385</v>
      </c>
      <c r="I42" s="21"/>
      <c r="J42" s="111">
        <v>1.89489792616193E-10</v>
      </c>
      <c r="K42" s="80">
        <v>6.80220242404786E-8</v>
      </c>
      <c r="L42" s="80">
        <v>6.14693620000321E-12</v>
      </c>
      <c r="M42" s="80">
        <v>2.92119446390053E-9</v>
      </c>
      <c r="N42" s="80">
        <v>5.36378190230975E-9</v>
      </c>
      <c r="O42" s="81">
        <v>1.8019382848011E-11</v>
      </c>
    </row>
    <row r="43" ht="14.25" customHeight="1">
      <c r="A43" s="104"/>
      <c r="B43" s="6" t="s">
        <v>356</v>
      </c>
      <c r="C43" s="65">
        <v>0.455781486932705</v>
      </c>
      <c r="D43" s="102">
        <v>0.383186956019667</v>
      </c>
      <c r="E43" s="65">
        <v>0.470884077007225</v>
      </c>
      <c r="F43" s="65">
        <v>0.441733126936577</v>
      </c>
      <c r="G43" s="65">
        <v>0.432723959952976</v>
      </c>
      <c r="H43" s="66">
        <v>0.458063990076379</v>
      </c>
      <c r="I43" s="21"/>
      <c r="J43" s="82">
        <v>3.98229420117029E-8</v>
      </c>
      <c r="K43" s="105">
        <v>5.7619735092629E-6</v>
      </c>
      <c r="L43" s="53">
        <v>1.21268099578276E-8</v>
      </c>
      <c r="M43" s="53">
        <v>1.14433207477488E-7</v>
      </c>
      <c r="N43" s="53">
        <v>2.19709199401962E-7</v>
      </c>
      <c r="O43" s="83">
        <v>3.33951674439219E-8</v>
      </c>
    </row>
    <row r="44" ht="14.25" customHeight="1">
      <c r="A44" s="104"/>
      <c r="B44" s="6" t="s">
        <v>343</v>
      </c>
      <c r="C44" s="65">
        <v>0.541627986043822</v>
      </c>
      <c r="D44" s="65">
        <v>0.417447967990584</v>
      </c>
      <c r="E44" s="102">
        <v>0.61740129856297</v>
      </c>
      <c r="F44" s="65">
        <v>0.503612735196349</v>
      </c>
      <c r="G44" s="65">
        <v>0.518872086330065</v>
      </c>
      <c r="H44" s="66">
        <v>0.588877632815956</v>
      </c>
      <c r="I44" s="21"/>
      <c r="J44" s="82">
        <v>1.99840563232097E-11</v>
      </c>
      <c r="K44" s="53">
        <v>6.3656671510911E-7</v>
      </c>
      <c r="L44" s="105">
        <v>3.16125970617876E-15</v>
      </c>
      <c r="M44" s="53">
        <v>7.49921533693005E-10</v>
      </c>
      <c r="N44" s="53">
        <v>1.8465814527833E-10</v>
      </c>
      <c r="O44" s="83">
        <v>1.11459065934886E-13</v>
      </c>
    </row>
    <row r="45" ht="14.25" customHeight="1">
      <c r="A45" s="104"/>
      <c r="B45" s="6" t="s">
        <v>359</v>
      </c>
      <c r="C45" s="65">
        <v>0.390918946866276</v>
      </c>
      <c r="D45" s="65">
        <v>0.339693022847702</v>
      </c>
      <c r="E45" s="65">
        <v>0.369975519619076</v>
      </c>
      <c r="F45" s="102">
        <v>0.388322223639276</v>
      </c>
      <c r="G45" s="65">
        <v>0.404828944415362</v>
      </c>
      <c r="H45" s="66">
        <v>0.38688674669395</v>
      </c>
      <c r="I45" s="21"/>
      <c r="J45" s="82">
        <v>3.58005987918701E-6</v>
      </c>
      <c r="K45" s="53">
        <v>6.75334110864839E-5</v>
      </c>
      <c r="L45" s="53">
        <v>1.26411786028285E-5</v>
      </c>
      <c r="M45" s="105">
        <v>4.20616962671745E-6</v>
      </c>
      <c r="N45" s="53">
        <v>1.47460303522454E-6</v>
      </c>
      <c r="O45" s="83">
        <v>4.59543416274494E-6</v>
      </c>
    </row>
    <row r="46" ht="14.25" customHeight="1">
      <c r="A46" s="104"/>
      <c r="B46" s="6" t="s">
        <v>345</v>
      </c>
      <c r="C46" s="65">
        <v>0.364844406908091</v>
      </c>
      <c r="D46" s="65">
        <v>0.284250867410626</v>
      </c>
      <c r="E46" s="65">
        <v>0.440154247386088</v>
      </c>
      <c r="F46" s="65">
        <v>0.306385655041108</v>
      </c>
      <c r="G46" s="102">
        <v>0.357448487605273</v>
      </c>
      <c r="H46" s="66">
        <v>0.432700510159235</v>
      </c>
      <c r="I46" s="21"/>
      <c r="J46" s="82">
        <v>1.69958192464522E-5</v>
      </c>
      <c r="K46" s="53">
        <v>9.56078304791485E-4</v>
      </c>
      <c r="L46" s="53">
        <v>1.28467821705705E-7</v>
      </c>
      <c r="M46" s="53">
        <v>3.52986617332181E-4</v>
      </c>
      <c r="N46" s="105">
        <v>2.5811723574307E-5</v>
      </c>
      <c r="O46" s="83">
        <v>2.20077165985641E-7</v>
      </c>
    </row>
    <row r="47" ht="14.25" customHeight="1">
      <c r="A47" s="104"/>
      <c r="B47" s="6" t="s">
        <v>374</v>
      </c>
      <c r="C47" s="65">
        <v>0.527984355388181</v>
      </c>
      <c r="D47" s="65">
        <v>0.417589850369095</v>
      </c>
      <c r="E47" s="65">
        <v>0.566147051207421</v>
      </c>
      <c r="F47" s="65">
        <v>0.502216399275649</v>
      </c>
      <c r="G47" s="65">
        <v>0.491272774604463</v>
      </c>
      <c r="H47" s="66">
        <v>0.546517004525011</v>
      </c>
      <c r="I47" s="21"/>
      <c r="J47" s="82">
        <v>7.73161442856862E-11</v>
      </c>
      <c r="K47" s="53">
        <v>6.3045883116307E-7</v>
      </c>
      <c r="L47" s="53">
        <v>1.49922254478065E-12</v>
      </c>
      <c r="M47" s="53">
        <v>8.49622504326233E-10</v>
      </c>
      <c r="N47" s="53">
        <v>2.21691081509851E-9</v>
      </c>
      <c r="O47" s="83">
        <v>1.21237467542107E-11</v>
      </c>
    </row>
    <row r="48" ht="14.25" customHeight="1">
      <c r="A48" s="106"/>
      <c r="B48" s="9" t="s">
        <v>351</v>
      </c>
      <c r="C48" s="65">
        <v>0.547034248824486</v>
      </c>
      <c r="D48" s="65">
        <v>0.424785769520031</v>
      </c>
      <c r="E48" s="65">
        <v>0.611696981795521</v>
      </c>
      <c r="F48" s="65">
        <v>0.498826854954526</v>
      </c>
      <c r="G48" s="65">
        <v>0.528562134569819</v>
      </c>
      <c r="H48" s="107">
        <v>0.589097683887673</v>
      </c>
      <c r="I48" s="21"/>
      <c r="J48" s="84">
        <v>1.14939276477765E-11</v>
      </c>
      <c r="K48" s="85">
        <v>3.84379466830516E-7</v>
      </c>
      <c r="L48" s="85">
        <v>6.63400731457091E-15</v>
      </c>
      <c r="M48" s="85">
        <v>1.147645125598E-9</v>
      </c>
      <c r="N48" s="85">
        <v>7.30996947146384E-11</v>
      </c>
      <c r="O48" s="108">
        <v>1.08581428101142E-13</v>
      </c>
    </row>
    <row r="49" ht="14.25" customHeight="1">
      <c r="A49" s="100" t="s">
        <v>376</v>
      </c>
      <c r="B49" s="6" t="s">
        <v>342</v>
      </c>
      <c r="C49" s="110">
        <v>0.457342185634043</v>
      </c>
      <c r="D49" s="98">
        <v>0.392901618696873</v>
      </c>
      <c r="E49" s="98">
        <v>0.485759412913788</v>
      </c>
      <c r="F49" s="98">
        <v>0.431068270114499</v>
      </c>
      <c r="G49" s="98">
        <v>0.429875359900525</v>
      </c>
      <c r="H49" s="86">
        <v>0.479583616583445</v>
      </c>
      <c r="I49" s="21"/>
      <c r="J49" s="111">
        <v>3.53118169445023E-8</v>
      </c>
      <c r="K49" s="80">
        <v>3.16260230062196E-6</v>
      </c>
      <c r="L49" s="80">
        <v>3.54895358992294E-9</v>
      </c>
      <c r="M49" s="80">
        <v>2.47187287741852E-7</v>
      </c>
      <c r="N49" s="80">
        <v>2.68986757149765E-7</v>
      </c>
      <c r="O49" s="81">
        <v>5.95318940529515E-9</v>
      </c>
    </row>
    <row r="50" ht="14.25" customHeight="1">
      <c r="A50" s="104"/>
      <c r="B50" s="6" t="s">
        <v>356</v>
      </c>
      <c r="C50" s="65">
        <v>0.490645769771263</v>
      </c>
      <c r="D50" s="102">
        <v>0.414909567613286</v>
      </c>
      <c r="E50" s="65">
        <v>0.498456405252565</v>
      </c>
      <c r="F50" s="65">
        <v>0.468916943138854</v>
      </c>
      <c r="G50" s="65">
        <v>0.465353003813508</v>
      </c>
      <c r="H50" s="66">
        <v>0.48797734477899</v>
      </c>
      <c r="I50" s="21"/>
      <c r="J50" s="82">
        <v>2.33975827797593E-9</v>
      </c>
      <c r="K50" s="105">
        <v>7.55845905533401E-7</v>
      </c>
      <c r="L50" s="53">
        <v>1.18574916414606E-9</v>
      </c>
      <c r="M50" s="53">
        <v>1.42046424135637E-8</v>
      </c>
      <c r="N50" s="53">
        <v>1.88699270246759E-8</v>
      </c>
      <c r="O50" s="83">
        <v>2.93986887055891E-9</v>
      </c>
    </row>
    <row r="51" ht="14.25" customHeight="1">
      <c r="A51" s="104"/>
      <c r="B51" s="6" t="s">
        <v>343</v>
      </c>
      <c r="C51" s="65">
        <v>0.564487022926353</v>
      </c>
      <c r="D51" s="65">
        <v>0.438052113209915</v>
      </c>
      <c r="E51" s="102">
        <v>0.645870808347661</v>
      </c>
      <c r="F51" s="65">
        <v>0.527671132078217</v>
      </c>
      <c r="G51" s="65">
        <v>0.542626304349131</v>
      </c>
      <c r="H51" s="66">
        <v>0.617168111806882</v>
      </c>
      <c r="I51" s="21"/>
      <c r="J51" s="82">
        <v>1.79867869852452E-12</v>
      </c>
      <c r="K51" s="53">
        <v>1.49724732535397E-7</v>
      </c>
      <c r="L51" s="105">
        <v>6.17646462236423E-17</v>
      </c>
      <c r="M51" s="53">
        <v>7.969921280415E-11</v>
      </c>
      <c r="N51" s="53">
        <v>1.80570691730965E-11</v>
      </c>
      <c r="O51" s="83">
        <v>3.25947590079696E-15</v>
      </c>
    </row>
    <row r="52" ht="14.25" customHeight="1">
      <c r="A52" s="104"/>
      <c r="B52" s="6" t="s">
        <v>359</v>
      </c>
      <c r="C52" s="65">
        <v>0.441261403652286</v>
      </c>
      <c r="D52" s="65">
        <v>0.379068834912422</v>
      </c>
      <c r="E52" s="65">
        <v>0.403519158685335</v>
      </c>
      <c r="F52" s="102">
        <v>0.436871257158918</v>
      </c>
      <c r="G52" s="65">
        <v>0.449689984161327</v>
      </c>
      <c r="H52" s="66">
        <v>0.423583818240581</v>
      </c>
      <c r="I52" s="21"/>
      <c r="J52" s="82">
        <v>1.18464895162287E-7</v>
      </c>
      <c r="K52" s="53">
        <v>7.38804903344576E-6</v>
      </c>
      <c r="L52" s="53">
        <v>1.60581447580673E-6</v>
      </c>
      <c r="M52" s="105">
        <v>1.63099470926952E-7</v>
      </c>
      <c r="N52" s="53">
        <v>6.33060341931699E-8</v>
      </c>
      <c r="O52" s="83">
        <v>4.1783272979936E-7</v>
      </c>
    </row>
    <row r="53" ht="14.25" customHeight="1">
      <c r="A53" s="104"/>
      <c r="B53" s="6" t="s">
        <v>345</v>
      </c>
      <c r="C53" s="65">
        <v>0.291403335883723</v>
      </c>
      <c r="D53" s="65">
        <v>0.229752774822509</v>
      </c>
      <c r="E53" s="65">
        <v>0.330807065826644</v>
      </c>
      <c r="F53" s="65">
        <v>0.238759320094526</v>
      </c>
      <c r="G53" s="102">
        <v>0.285846300611393</v>
      </c>
      <c r="H53" s="66">
        <v>0.338488115938073</v>
      </c>
      <c r="I53" s="21"/>
      <c r="J53" s="82">
        <v>6.98905797632638E-4</v>
      </c>
      <c r="K53" s="53">
        <v>0.00804676624919606</v>
      </c>
      <c r="L53" s="53">
        <v>1.06978631008647E-4</v>
      </c>
      <c r="M53" s="53">
        <v>0.00583278176491206</v>
      </c>
      <c r="N53" s="105">
        <v>8.92168237890122E-4</v>
      </c>
      <c r="O53" s="83">
        <v>7.19390620231722E-5</v>
      </c>
    </row>
    <row r="54" ht="14.25" customHeight="1">
      <c r="A54" s="104"/>
      <c r="B54" s="6" t="s">
        <v>374</v>
      </c>
      <c r="C54" s="65">
        <v>0.559972168809029</v>
      </c>
      <c r="D54" s="65">
        <v>0.443274537616356</v>
      </c>
      <c r="E54" s="65">
        <v>0.605745211083117</v>
      </c>
      <c r="F54" s="65">
        <v>0.532719148976499</v>
      </c>
      <c r="G54" s="65">
        <v>0.519446243878597</v>
      </c>
      <c r="H54" s="66">
        <v>0.581546858553866</v>
      </c>
      <c r="I54" s="21"/>
      <c r="J54" s="82">
        <v>2.93657783922735E-12</v>
      </c>
      <c r="K54" s="53">
        <v>1.02154146067018E-7</v>
      </c>
      <c r="L54" s="53">
        <v>1.41521761075035E-14</v>
      </c>
      <c r="M54" s="53">
        <v>4.86773156895771E-11</v>
      </c>
      <c r="N54" s="53">
        <v>1.74934011743815E-10</v>
      </c>
      <c r="O54" s="83">
        <v>2.6345578164855E-13</v>
      </c>
    </row>
    <row r="55" ht="14.25" customHeight="1">
      <c r="A55" s="106"/>
      <c r="B55" s="9" t="s">
        <v>351</v>
      </c>
      <c r="C55" s="112">
        <v>0.574529379582908</v>
      </c>
      <c r="D55" s="112">
        <v>0.448289294542196</v>
      </c>
      <c r="E55" s="112">
        <v>0.645578688694454</v>
      </c>
      <c r="F55" s="112">
        <v>0.52705664290438</v>
      </c>
      <c r="G55" s="112">
        <v>0.555855709264654</v>
      </c>
      <c r="H55" s="113">
        <v>0.62243458956719</v>
      </c>
      <c r="I55" s="21"/>
      <c r="J55" s="84">
        <v>5.88438818491229E-13</v>
      </c>
      <c r="K55" s="85">
        <v>7.03367044283252E-8</v>
      </c>
      <c r="L55" s="85">
        <v>6.44459160230498E-17</v>
      </c>
      <c r="M55" s="85">
        <v>8.45822637103609E-11</v>
      </c>
      <c r="N55" s="85">
        <v>4.56213113289552E-12</v>
      </c>
      <c r="O55" s="108">
        <v>1.62309179594152E-15</v>
      </c>
    </row>
    <row r="56" ht="14.25" customHeight="1">
      <c r="A56" s="21"/>
      <c r="B56" s="21"/>
      <c r="C56" s="48"/>
      <c r="D56" s="48"/>
      <c r="E56" s="48"/>
      <c r="F56" s="48"/>
      <c r="G56" s="21"/>
      <c r="H56" s="21"/>
      <c r="I56" s="21"/>
      <c r="J56" s="21"/>
      <c r="K56" s="21"/>
      <c r="L56" s="21"/>
      <c r="M56" s="21"/>
      <c r="N56" s="21"/>
      <c r="O56" s="21"/>
    </row>
    <row r="57" ht="14.25" customHeight="1">
      <c r="A57" s="47" t="s">
        <v>378</v>
      </c>
      <c r="B57" s="21"/>
      <c r="C57" s="114"/>
      <c r="D57" s="114"/>
      <c r="E57" s="114"/>
      <c r="F57" s="114"/>
      <c r="G57" s="114"/>
      <c r="H57" s="114"/>
      <c r="I57" s="21"/>
      <c r="J57" s="114"/>
      <c r="K57" s="114"/>
      <c r="L57" s="114"/>
      <c r="M57" s="114"/>
      <c r="N57" s="114"/>
      <c r="O57" s="114"/>
    </row>
    <row r="58" ht="14.25" customHeight="1">
      <c r="A58" s="21"/>
      <c r="B58" s="21"/>
      <c r="C58" s="91" t="s">
        <v>368</v>
      </c>
      <c r="I58" s="21"/>
      <c r="J58" s="91" t="s">
        <v>369</v>
      </c>
    </row>
    <row r="59" ht="14.25" customHeight="1">
      <c r="A59" s="21"/>
      <c r="B59" s="21"/>
      <c r="C59" s="48" t="s">
        <v>370</v>
      </c>
      <c r="I59" s="21"/>
      <c r="J59" s="48" t="s">
        <v>370</v>
      </c>
    </row>
    <row r="60" ht="14.25" customHeight="1">
      <c r="A60" s="21"/>
      <c r="B60" s="21"/>
      <c r="C60" s="93" t="s">
        <v>342</v>
      </c>
      <c r="D60" s="94" t="s">
        <v>356</v>
      </c>
      <c r="E60" s="94" t="s">
        <v>343</v>
      </c>
      <c r="F60" s="94" t="s">
        <v>359</v>
      </c>
      <c r="G60" s="94" t="s">
        <v>345</v>
      </c>
      <c r="H60" s="95" t="s">
        <v>347</v>
      </c>
      <c r="I60" s="21"/>
      <c r="J60" s="93" t="s">
        <v>342</v>
      </c>
      <c r="K60" s="94" t="s">
        <v>356</v>
      </c>
      <c r="L60" s="94" t="s">
        <v>343</v>
      </c>
      <c r="M60" s="94" t="s">
        <v>359</v>
      </c>
      <c r="N60" s="94" t="s">
        <v>345</v>
      </c>
      <c r="O60" s="95" t="s">
        <v>347</v>
      </c>
    </row>
    <row r="61" ht="14.25" customHeight="1">
      <c r="A61" s="21"/>
      <c r="B61" s="21"/>
      <c r="C61" s="96"/>
      <c r="D61" s="26"/>
      <c r="E61" s="26"/>
      <c r="F61" s="26"/>
      <c r="G61" s="26"/>
      <c r="H61" s="27"/>
      <c r="I61" s="21"/>
      <c r="J61" s="96"/>
      <c r="K61" s="26"/>
      <c r="L61" s="26"/>
      <c r="M61" s="26"/>
      <c r="N61" s="26"/>
      <c r="O61" s="27"/>
    </row>
    <row r="62" ht="14.25" customHeight="1">
      <c r="A62" s="115" t="s">
        <v>371</v>
      </c>
      <c r="B62" s="115" t="s">
        <v>372</v>
      </c>
      <c r="C62" s="116"/>
      <c r="D62" s="48"/>
      <c r="E62" s="48"/>
      <c r="F62" s="48"/>
      <c r="G62" s="48"/>
      <c r="H62" s="117"/>
      <c r="I62" s="21"/>
      <c r="J62" s="93"/>
      <c r="K62" s="94"/>
      <c r="L62" s="94"/>
      <c r="M62" s="94"/>
      <c r="N62" s="94"/>
      <c r="O62" s="95"/>
    </row>
    <row r="63" ht="14.25" customHeight="1">
      <c r="A63" s="116" t="s">
        <v>373</v>
      </c>
      <c r="B63" s="4" t="s">
        <v>342</v>
      </c>
      <c r="C63" s="118">
        <v>0.710906252264687</v>
      </c>
      <c r="D63" s="65">
        <v>0.703142926142942</v>
      </c>
      <c r="E63" s="65">
        <v>0.635964378671504</v>
      </c>
      <c r="F63" s="65">
        <v>0.714976737982859</v>
      </c>
      <c r="G63" s="65">
        <v>0.729478510569205</v>
      </c>
      <c r="H63" s="66">
        <v>0.654718433765436</v>
      </c>
      <c r="I63" s="21"/>
      <c r="J63" s="103">
        <v>0.00954761648618641</v>
      </c>
      <c r="K63" s="53">
        <v>0.0107430333527372</v>
      </c>
      <c r="L63" s="53">
        <v>0.0262202821915052</v>
      </c>
      <c r="M63" s="53">
        <v>0.00896198557853557</v>
      </c>
      <c r="N63" s="53">
        <v>0.00709133523640284</v>
      </c>
      <c r="O63" s="83">
        <v>0.0208654226859487</v>
      </c>
    </row>
    <row r="64" ht="14.25" customHeight="1">
      <c r="A64" s="28"/>
      <c r="B64" s="4" t="s">
        <v>356</v>
      </c>
      <c r="C64" s="119">
        <v>0.728522994453403</v>
      </c>
      <c r="D64" s="102">
        <v>0.714452215678706</v>
      </c>
      <c r="E64" s="65">
        <v>0.657282453194767</v>
      </c>
      <c r="F64" s="65">
        <v>0.730694795097408</v>
      </c>
      <c r="G64" s="65">
        <v>0.747333854881173</v>
      </c>
      <c r="H64" s="66">
        <v>0.677518664440246</v>
      </c>
      <c r="I64" s="21"/>
      <c r="J64" s="82">
        <v>0.0072046778719038</v>
      </c>
      <c r="K64" s="105">
        <v>0.00903590374178291</v>
      </c>
      <c r="L64" s="53">
        <v>0.0202009132942914</v>
      </c>
      <c r="M64" s="53">
        <v>0.0069490016754293</v>
      </c>
      <c r="N64" s="53">
        <v>0.005209368994416</v>
      </c>
      <c r="O64" s="83">
        <v>0.0154858925886961</v>
      </c>
    </row>
    <row r="65" ht="14.25" customHeight="1">
      <c r="A65" s="28"/>
      <c r="B65" s="4" t="s">
        <v>343</v>
      </c>
      <c r="C65" s="119">
        <v>0.737413258731333</v>
      </c>
      <c r="D65" s="65">
        <v>0.723285602421143</v>
      </c>
      <c r="E65" s="102">
        <v>0.676342917020026</v>
      </c>
      <c r="F65" s="65">
        <v>0.741852100417568</v>
      </c>
      <c r="G65" s="65">
        <v>0.754569885239751</v>
      </c>
      <c r="H65" s="66">
        <v>0.69329511457705</v>
      </c>
      <c r="I65" s="21"/>
      <c r="J65" s="82">
        <v>0.00620103907602064</v>
      </c>
      <c r="K65" s="53">
        <v>0.00785024158583566</v>
      </c>
      <c r="L65" s="105">
        <v>0.0157351562414162</v>
      </c>
      <c r="M65" s="53">
        <v>0.00574122136031559</v>
      </c>
      <c r="N65" s="53">
        <v>0.00456527624465152</v>
      </c>
      <c r="O65" s="83">
        <v>0.0124153230259611</v>
      </c>
    </row>
    <row r="66" ht="14.25" customHeight="1">
      <c r="A66" s="28"/>
      <c r="B66" s="4" t="s">
        <v>359</v>
      </c>
      <c r="C66" s="119">
        <v>0.737977289099234</v>
      </c>
      <c r="D66" s="65">
        <v>0.719749696918022</v>
      </c>
      <c r="E66" s="65">
        <v>0.664487039912927</v>
      </c>
      <c r="F66" s="102">
        <v>0.737502209528226</v>
      </c>
      <c r="G66" s="65">
        <v>0.757290339497506</v>
      </c>
      <c r="H66" s="66">
        <v>0.687029609470181</v>
      </c>
      <c r="I66" s="21"/>
      <c r="J66" s="82">
        <v>0.00614112585942778</v>
      </c>
      <c r="K66" s="53">
        <v>0.00830992483331118</v>
      </c>
      <c r="L66" s="53">
        <v>0.0184164579999654</v>
      </c>
      <c r="M66" s="105">
        <v>0.00619156134555669</v>
      </c>
      <c r="N66" s="53">
        <v>0.00433941317697521</v>
      </c>
      <c r="O66" s="83">
        <v>0.0135750491479367</v>
      </c>
    </row>
    <row r="67" ht="14.25" customHeight="1">
      <c r="A67" s="28"/>
      <c r="B67" s="4" t="s">
        <v>345</v>
      </c>
      <c r="C67" s="119">
        <v>0.715244966562502</v>
      </c>
      <c r="D67" s="65">
        <v>0.700342097594358</v>
      </c>
      <c r="E67" s="65">
        <v>0.647177514714221</v>
      </c>
      <c r="F67" s="65">
        <v>0.716798987132303</v>
      </c>
      <c r="G67" s="102">
        <v>0.734294004037754</v>
      </c>
      <c r="H67" s="66">
        <v>0.667269066412966</v>
      </c>
      <c r="I67" s="21"/>
      <c r="J67" s="82">
        <v>0.00892436043631698</v>
      </c>
      <c r="K67" s="53">
        <v>0.0112004781714814</v>
      </c>
      <c r="L67" s="53">
        <v>0.0229121868305039</v>
      </c>
      <c r="M67" s="53">
        <v>0.00870868957794257</v>
      </c>
      <c r="N67" s="105">
        <v>0.00654035254771916</v>
      </c>
      <c r="O67" s="83">
        <v>0.0177593113555609</v>
      </c>
    </row>
    <row r="68" ht="14.25" customHeight="1">
      <c r="A68" s="28"/>
      <c r="B68" s="4" t="s">
        <v>374</v>
      </c>
      <c r="C68" s="119">
        <v>0.711530489017444</v>
      </c>
      <c r="D68" s="65">
        <v>0.695929497186857</v>
      </c>
      <c r="E68" s="65">
        <v>0.643991260119925</v>
      </c>
      <c r="F68" s="65">
        <v>0.7147958345939</v>
      </c>
      <c r="G68" s="65">
        <v>0.7302375354885</v>
      </c>
      <c r="H68" s="66">
        <v>0.663233325277172</v>
      </c>
      <c r="I68" s="21"/>
      <c r="J68" s="82">
        <v>0.00945600488132146</v>
      </c>
      <c r="K68" s="53">
        <v>0.0119502984477492</v>
      </c>
      <c r="L68" s="53">
        <v>0.0238194250902093</v>
      </c>
      <c r="M68" s="53">
        <v>0.00898742815423959</v>
      </c>
      <c r="N68" s="53">
        <v>0.00700225778220567</v>
      </c>
      <c r="O68" s="83">
        <v>0.0187183474605429</v>
      </c>
    </row>
    <row r="69" ht="14.25" customHeight="1">
      <c r="A69" s="96"/>
      <c r="B69" s="7" t="s">
        <v>351</v>
      </c>
      <c r="C69" s="120">
        <v>0.732421286047077</v>
      </c>
      <c r="D69" s="112">
        <v>0.716795791229185</v>
      </c>
      <c r="E69" s="112">
        <v>0.669874453337195</v>
      </c>
      <c r="F69" s="112">
        <v>0.736396794907144</v>
      </c>
      <c r="G69" s="112">
        <v>0.750074098717939</v>
      </c>
      <c r="H69" s="113">
        <v>0.68758598405677</v>
      </c>
      <c r="I69" s="21"/>
      <c r="J69" s="84">
        <v>0.00675065716312492</v>
      </c>
      <c r="K69" s="85">
        <v>0.00870912907844653</v>
      </c>
      <c r="L69" s="85">
        <v>0.0171596345479828</v>
      </c>
      <c r="M69" s="85">
        <v>0.00631012004994699</v>
      </c>
      <c r="N69" s="85">
        <v>0.004957882940421</v>
      </c>
      <c r="O69" s="108">
        <v>0.013468949558456</v>
      </c>
    </row>
    <row r="70" ht="14.25" customHeight="1">
      <c r="A70" s="21"/>
      <c r="B70" s="21"/>
      <c r="C70" s="21"/>
      <c r="D70" s="21"/>
      <c r="E70" s="21"/>
      <c r="F70" s="21"/>
      <c r="G70" s="21"/>
      <c r="H70" s="21"/>
      <c r="I70" s="21"/>
      <c r="J70" s="21"/>
      <c r="K70" s="21"/>
      <c r="L70" s="21"/>
      <c r="M70" s="21"/>
      <c r="N70" s="21"/>
      <c r="O70" s="21"/>
    </row>
    <row r="71" ht="14.25" customHeight="1">
      <c r="A71" s="47" t="s">
        <v>379</v>
      </c>
      <c r="B71" s="21"/>
      <c r="C71" s="114"/>
      <c r="D71" s="114"/>
      <c r="E71" s="114"/>
      <c r="F71" s="114"/>
      <c r="G71" s="114"/>
      <c r="H71" s="114"/>
      <c r="I71" s="21"/>
      <c r="J71" s="114"/>
      <c r="K71" s="114"/>
      <c r="L71" s="114"/>
      <c r="M71" s="114"/>
      <c r="N71" s="114"/>
      <c r="O71" s="114"/>
    </row>
    <row r="72" ht="14.25" customHeight="1">
      <c r="A72" s="21"/>
      <c r="B72" s="21"/>
      <c r="C72" s="91" t="s">
        <v>368</v>
      </c>
      <c r="I72" s="21"/>
      <c r="J72" s="91" t="s">
        <v>369</v>
      </c>
    </row>
    <row r="73" ht="14.25" customHeight="1">
      <c r="A73" s="21"/>
      <c r="B73" s="21"/>
      <c r="C73" s="48" t="s">
        <v>370</v>
      </c>
      <c r="I73" s="21"/>
      <c r="J73" s="48" t="s">
        <v>370</v>
      </c>
    </row>
    <row r="74" ht="14.25" customHeight="1">
      <c r="A74" s="21"/>
      <c r="B74" s="21"/>
      <c r="C74" s="93" t="s">
        <v>342</v>
      </c>
      <c r="D74" s="94" t="s">
        <v>356</v>
      </c>
      <c r="E74" s="94" t="s">
        <v>343</v>
      </c>
      <c r="F74" s="94" t="s">
        <v>359</v>
      </c>
      <c r="G74" s="94" t="s">
        <v>345</v>
      </c>
      <c r="H74" s="95" t="s">
        <v>347</v>
      </c>
      <c r="I74" s="21"/>
      <c r="J74" s="93" t="s">
        <v>342</v>
      </c>
      <c r="K74" s="94" t="s">
        <v>356</v>
      </c>
      <c r="L74" s="94" t="s">
        <v>343</v>
      </c>
      <c r="M74" s="94" t="s">
        <v>359</v>
      </c>
      <c r="N74" s="94" t="s">
        <v>345</v>
      </c>
      <c r="O74" s="95" t="s">
        <v>347</v>
      </c>
    </row>
    <row r="75" ht="14.25" customHeight="1">
      <c r="A75" s="21"/>
      <c r="B75" s="21"/>
      <c r="C75" s="96"/>
      <c r="D75" s="26"/>
      <c r="E75" s="26"/>
      <c r="F75" s="26"/>
      <c r="G75" s="26"/>
      <c r="H75" s="27"/>
      <c r="I75" s="21"/>
      <c r="J75" s="96"/>
      <c r="K75" s="26"/>
      <c r="L75" s="26"/>
      <c r="M75" s="26"/>
      <c r="N75" s="26"/>
      <c r="O75" s="27"/>
    </row>
    <row r="76" ht="14.25" customHeight="1">
      <c r="A76" s="115" t="s">
        <v>371</v>
      </c>
      <c r="B76" s="115" t="s">
        <v>372</v>
      </c>
      <c r="C76" s="116"/>
      <c r="D76" s="48"/>
      <c r="E76" s="48"/>
      <c r="F76" s="48"/>
      <c r="G76" s="48"/>
      <c r="H76" s="117"/>
      <c r="I76" s="21"/>
      <c r="J76" s="93"/>
      <c r="K76" s="94"/>
      <c r="L76" s="94"/>
      <c r="M76" s="94"/>
      <c r="N76" s="94"/>
      <c r="O76" s="95"/>
    </row>
    <row r="77" ht="14.25" customHeight="1">
      <c r="A77" s="116" t="s">
        <v>373</v>
      </c>
      <c r="B77" s="4" t="s">
        <v>342</v>
      </c>
      <c r="C77" s="118">
        <v>0.353423088215838</v>
      </c>
      <c r="D77" s="65">
        <v>0.386389215312521</v>
      </c>
      <c r="E77" s="65">
        <v>0.251524966071648</v>
      </c>
      <c r="F77" s="65">
        <v>0.349645829190765</v>
      </c>
      <c r="G77" s="65">
        <v>0.408335266141422</v>
      </c>
      <c r="H77" s="66">
        <v>0.281860648014424</v>
      </c>
      <c r="I77" s="21"/>
      <c r="J77" s="103">
        <v>0.646576911784161</v>
      </c>
      <c r="K77" s="53">
        <v>0.613610784687478</v>
      </c>
      <c r="L77" s="53">
        <v>0.748475033928351</v>
      </c>
      <c r="M77" s="53">
        <v>0.650354170809234</v>
      </c>
      <c r="N77" s="53">
        <v>0.591664733858577</v>
      </c>
      <c r="O77" s="83">
        <v>0.718139351985575</v>
      </c>
    </row>
    <row r="78" ht="14.25" customHeight="1">
      <c r="A78" s="28"/>
      <c r="B78" s="4" t="s">
        <v>356</v>
      </c>
      <c r="C78" s="119">
        <v>0.348600838130903</v>
      </c>
      <c r="D78" s="102">
        <v>0.379427884918997</v>
      </c>
      <c r="E78" s="65">
        <v>0.239902072741933</v>
      </c>
      <c r="F78" s="65">
        <v>0.340549859454267</v>
      </c>
      <c r="G78" s="65">
        <v>0.404449687565206</v>
      </c>
      <c r="H78" s="66">
        <v>0.274767208474002</v>
      </c>
      <c r="I78" s="21"/>
      <c r="J78" s="82">
        <v>0.651399161869096</v>
      </c>
      <c r="K78" s="105">
        <v>0.620572115081002</v>
      </c>
      <c r="L78" s="53">
        <v>0.760097927258066</v>
      </c>
      <c r="M78" s="53">
        <v>0.659450140545732</v>
      </c>
      <c r="N78" s="53">
        <v>0.595550312434793</v>
      </c>
      <c r="O78" s="83">
        <v>0.725232791525997</v>
      </c>
    </row>
    <row r="79" ht="14.25" customHeight="1">
      <c r="A79" s="28"/>
      <c r="B79" s="4" t="s">
        <v>343</v>
      </c>
      <c r="C79" s="119">
        <v>0.324088550860458</v>
      </c>
      <c r="D79" s="65">
        <v>0.357749234198679</v>
      </c>
      <c r="E79" s="102">
        <v>0.222404584671116</v>
      </c>
      <c r="F79" s="65">
        <v>0.320938667050738</v>
      </c>
      <c r="G79" s="65">
        <v>0.379501913041624</v>
      </c>
      <c r="H79" s="66">
        <v>0.252216734696397</v>
      </c>
      <c r="I79" s="21"/>
      <c r="J79" s="82">
        <v>0.675911449139541</v>
      </c>
      <c r="K79" s="53">
        <v>0.64225076580132</v>
      </c>
      <c r="L79" s="105">
        <v>0.777595415328883</v>
      </c>
      <c r="M79" s="53">
        <v>0.679061332949261</v>
      </c>
      <c r="N79" s="53">
        <v>0.620498086958375</v>
      </c>
      <c r="O79" s="83">
        <v>0.747783265303602</v>
      </c>
    </row>
    <row r="80" ht="14.25" customHeight="1">
      <c r="A80" s="28"/>
      <c r="B80" s="4" t="s">
        <v>359</v>
      </c>
      <c r="C80" s="119">
        <v>0.385486079486197</v>
      </c>
      <c r="D80" s="65">
        <v>0.415018476934908</v>
      </c>
      <c r="E80" s="65">
        <v>0.27628556116183</v>
      </c>
      <c r="F80" s="102">
        <v>0.376183879282852</v>
      </c>
      <c r="G80" s="65">
        <v>0.440507922554751</v>
      </c>
      <c r="H80" s="66">
        <v>0.312166189164239</v>
      </c>
      <c r="I80" s="21"/>
      <c r="J80" s="82">
        <v>0.614513920513802</v>
      </c>
      <c r="K80" s="53">
        <v>0.584981523065091</v>
      </c>
      <c r="L80" s="53">
        <v>0.723714438838169</v>
      </c>
      <c r="M80" s="105">
        <v>0.623816120717147</v>
      </c>
      <c r="N80" s="53">
        <v>0.559492077445248</v>
      </c>
      <c r="O80" s="83">
        <v>0.68783381083576</v>
      </c>
    </row>
    <row r="81" ht="14.25" customHeight="1">
      <c r="A81" s="28"/>
      <c r="B81" s="4" t="s">
        <v>345</v>
      </c>
      <c r="C81" s="119">
        <v>0.301415697284388</v>
      </c>
      <c r="D81" s="65">
        <v>0.332280877210674</v>
      </c>
      <c r="E81" s="65">
        <v>0.189968019341577</v>
      </c>
      <c r="F81" s="65">
        <v>0.292339185513626</v>
      </c>
      <c r="G81" s="102">
        <v>0.358418356901614</v>
      </c>
      <c r="H81" s="66">
        <v>0.226114195982659</v>
      </c>
      <c r="I81" s="21"/>
      <c r="J81" s="82">
        <v>0.698584302715611</v>
      </c>
      <c r="K81" s="53">
        <v>0.667719122789325</v>
      </c>
      <c r="L81" s="53">
        <v>0.810031980658422</v>
      </c>
      <c r="M81" s="53">
        <v>0.707660814486373</v>
      </c>
      <c r="N81" s="105">
        <v>0.641581643098385</v>
      </c>
      <c r="O81" s="83">
        <v>0.77388580401734</v>
      </c>
    </row>
    <row r="82" ht="14.25" customHeight="1">
      <c r="A82" s="28"/>
      <c r="B82" s="4" t="s">
        <v>374</v>
      </c>
      <c r="C82" s="119">
        <v>0.310031586213907</v>
      </c>
      <c r="D82" s="65">
        <v>0.34265865311277</v>
      </c>
      <c r="E82" s="65">
        <v>0.203807063753194</v>
      </c>
      <c r="F82" s="65">
        <v>0.30435862548322</v>
      </c>
      <c r="G82" s="65">
        <v>0.366372881429987</v>
      </c>
      <c r="H82" s="66">
        <v>0.23640807528973</v>
      </c>
      <c r="I82" s="21"/>
      <c r="J82" s="82">
        <v>0.689968413786092</v>
      </c>
      <c r="K82" s="53">
        <v>0.65734134688723</v>
      </c>
      <c r="L82" s="53">
        <v>0.796192936246805</v>
      </c>
      <c r="M82" s="53">
        <v>0.695641374516779</v>
      </c>
      <c r="N82" s="53">
        <v>0.633627118570012</v>
      </c>
      <c r="O82" s="83">
        <v>0.763591924710269</v>
      </c>
    </row>
    <row r="83" ht="14.25" customHeight="1">
      <c r="A83" s="96"/>
      <c r="B83" s="7" t="s">
        <v>351</v>
      </c>
      <c r="C83" s="120">
        <v>0.329625190259498</v>
      </c>
      <c r="D83" s="112">
        <v>0.36312739444084</v>
      </c>
      <c r="E83" s="112">
        <v>0.227774343463828</v>
      </c>
      <c r="F83" s="112">
        <v>0.326288928436279</v>
      </c>
      <c r="G83" s="112">
        <v>0.384969130663693</v>
      </c>
      <c r="H83" s="113">
        <v>0.257762385446342</v>
      </c>
      <c r="I83" s="21"/>
      <c r="J83" s="84">
        <v>0.670374809740501</v>
      </c>
      <c r="K83" s="85">
        <v>0.636872605559159</v>
      </c>
      <c r="L83" s="85">
        <v>0.772225656536171</v>
      </c>
      <c r="M83" s="85">
        <v>0.67371107156372</v>
      </c>
      <c r="N83" s="85">
        <v>0.615030869336306</v>
      </c>
      <c r="O83" s="108">
        <v>0.742237614553657</v>
      </c>
    </row>
    <row r="84" ht="14.25" customHeight="1">
      <c r="A84" s="21"/>
      <c r="B84" s="21"/>
      <c r="C84" s="21"/>
      <c r="D84" s="21"/>
      <c r="E84" s="21"/>
      <c r="F84" s="21"/>
      <c r="G84" s="21"/>
      <c r="H84" s="21"/>
      <c r="I84" s="21"/>
      <c r="J84" s="21"/>
      <c r="K84" s="21"/>
      <c r="L84" s="21"/>
      <c r="M84" s="21"/>
      <c r="N84" s="21"/>
      <c r="O84" s="21"/>
    </row>
    <row r="85" ht="14.25" customHeight="1">
      <c r="A85" s="25"/>
      <c r="B85" s="25"/>
      <c r="C85" s="25"/>
      <c r="D85" s="25"/>
      <c r="E85" s="25"/>
      <c r="F85" s="25"/>
      <c r="G85" s="25"/>
      <c r="H85" s="25"/>
      <c r="I85" s="25"/>
      <c r="J85" s="21"/>
      <c r="K85" s="21"/>
      <c r="L85" s="21"/>
      <c r="M85" s="21"/>
      <c r="N85" s="21"/>
      <c r="O85" s="21"/>
    </row>
    <row r="86" ht="14.25" customHeight="1">
      <c r="A86" s="58" t="s">
        <v>380</v>
      </c>
      <c r="I86" s="91"/>
      <c r="J86" s="21"/>
      <c r="K86" s="21"/>
      <c r="L86" s="21"/>
      <c r="M86" s="21"/>
      <c r="N86" s="21"/>
      <c r="O86" s="21"/>
    </row>
    <row r="87" ht="14.25" customHeight="1">
      <c r="I87" s="91"/>
      <c r="J87" s="21"/>
      <c r="K87" s="21"/>
      <c r="L87" s="21"/>
      <c r="M87" s="21"/>
      <c r="N87" s="21"/>
      <c r="O87" s="21"/>
    </row>
    <row r="88" ht="14.25" customHeight="1">
      <c r="I88" s="91"/>
      <c r="J88" s="21"/>
      <c r="K88" s="21"/>
      <c r="L88" s="21"/>
      <c r="M88" s="21"/>
      <c r="N88" s="21"/>
      <c r="O88" s="21"/>
    </row>
    <row r="89" ht="14.25" customHeight="1">
      <c r="I89" s="91"/>
      <c r="J89" s="21"/>
      <c r="K89" s="21"/>
      <c r="L89" s="21"/>
      <c r="M89" s="21"/>
      <c r="N89" s="21"/>
      <c r="O89" s="21"/>
    </row>
    <row r="90" ht="14.25" customHeight="1">
      <c r="I90" s="91"/>
      <c r="J90" s="21"/>
      <c r="K90" s="21"/>
      <c r="L90" s="21"/>
      <c r="M90" s="21"/>
      <c r="N90" s="21"/>
      <c r="O90" s="21"/>
    </row>
    <row r="91" ht="14.25" customHeight="1">
      <c r="I91" s="91"/>
      <c r="J91" s="21"/>
      <c r="K91" s="21"/>
      <c r="L91" s="21"/>
      <c r="M91" s="21"/>
      <c r="N91" s="21"/>
      <c r="O91" s="21"/>
    </row>
    <row r="92" ht="14.25" customHeight="1">
      <c r="I92" s="91"/>
      <c r="J92" s="21"/>
      <c r="K92" s="21"/>
      <c r="L92" s="21"/>
      <c r="M92" s="21"/>
      <c r="N92" s="21"/>
      <c r="O92" s="21"/>
    </row>
    <row r="93" ht="14.25" customHeight="1">
      <c r="I93" s="91"/>
      <c r="J93" s="21"/>
      <c r="K93" s="21"/>
      <c r="L93" s="21"/>
      <c r="M93" s="21"/>
      <c r="N93" s="21"/>
      <c r="O93" s="21"/>
    </row>
    <row r="94" ht="14.25" customHeight="1">
      <c r="I94" s="91"/>
      <c r="J94" s="21"/>
      <c r="K94" s="21"/>
      <c r="L94" s="21"/>
      <c r="M94" s="21"/>
      <c r="N94" s="21"/>
      <c r="O94" s="21"/>
    </row>
    <row r="95" ht="14.25" customHeight="1">
      <c r="I95" s="91"/>
      <c r="J95" s="21"/>
      <c r="K95" s="21"/>
      <c r="L95" s="21"/>
      <c r="M95" s="21"/>
      <c r="N95" s="21"/>
      <c r="O95" s="21"/>
    </row>
    <row r="96" ht="14.25" customHeight="1">
      <c r="I96" s="91"/>
      <c r="J96" s="21"/>
      <c r="K96" s="21"/>
      <c r="L96" s="21"/>
      <c r="M96" s="21"/>
      <c r="N96" s="21"/>
      <c r="O96" s="21"/>
    </row>
    <row r="97" ht="14.25" customHeight="1">
      <c r="I97" s="21"/>
      <c r="J97" s="21"/>
      <c r="K97" s="21"/>
      <c r="L97" s="21"/>
      <c r="M97" s="21"/>
      <c r="N97" s="21"/>
      <c r="O97" s="21"/>
    </row>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73">
    <mergeCell ref="G60:G61"/>
    <mergeCell ref="H60:H61"/>
    <mergeCell ref="A35:A41"/>
    <mergeCell ref="A42:A48"/>
    <mergeCell ref="A49:A55"/>
    <mergeCell ref="C58:H58"/>
    <mergeCell ref="C59:H59"/>
    <mergeCell ref="C60:C61"/>
    <mergeCell ref="D60:D61"/>
    <mergeCell ref="E74:E75"/>
    <mergeCell ref="F74:F75"/>
    <mergeCell ref="A77:A83"/>
    <mergeCell ref="A86:H98"/>
    <mergeCell ref="G74:G75"/>
    <mergeCell ref="H74:H75"/>
    <mergeCell ref="E60:E61"/>
    <mergeCell ref="F60:F61"/>
    <mergeCell ref="A63:A69"/>
    <mergeCell ref="C72:H72"/>
    <mergeCell ref="C73:H73"/>
    <mergeCell ref="C74:C75"/>
    <mergeCell ref="D74:D75"/>
    <mergeCell ref="J73:O73"/>
    <mergeCell ref="J74:J75"/>
    <mergeCell ref="K74:K75"/>
    <mergeCell ref="L74:L75"/>
    <mergeCell ref="M74:M75"/>
    <mergeCell ref="N74:N75"/>
    <mergeCell ref="O74:O75"/>
    <mergeCell ref="J60:J61"/>
    <mergeCell ref="K60:K61"/>
    <mergeCell ref="L60:L61"/>
    <mergeCell ref="M60:M61"/>
    <mergeCell ref="N60:N61"/>
    <mergeCell ref="O60:O61"/>
    <mergeCell ref="J72:O72"/>
    <mergeCell ref="H4:H5"/>
    <mergeCell ref="J4:J5"/>
    <mergeCell ref="K4:K5"/>
    <mergeCell ref="L4:L5"/>
    <mergeCell ref="M4:M5"/>
    <mergeCell ref="N4:N5"/>
    <mergeCell ref="J30:O30"/>
    <mergeCell ref="J31:O31"/>
    <mergeCell ref="C2:H2"/>
    <mergeCell ref="J2:O2"/>
    <mergeCell ref="C3:H3"/>
    <mergeCell ref="J3:O3"/>
    <mergeCell ref="C4:C5"/>
    <mergeCell ref="D4:D5"/>
    <mergeCell ref="E4:E5"/>
    <mergeCell ref="O4:O5"/>
    <mergeCell ref="C32:C33"/>
    <mergeCell ref="D32:D33"/>
    <mergeCell ref="E32:E33"/>
    <mergeCell ref="F32:F33"/>
    <mergeCell ref="G32:G33"/>
    <mergeCell ref="H32:H33"/>
    <mergeCell ref="J32:J33"/>
    <mergeCell ref="F4:F5"/>
    <mergeCell ref="G4:G5"/>
    <mergeCell ref="A7:A13"/>
    <mergeCell ref="A14:A20"/>
    <mergeCell ref="A21:A27"/>
    <mergeCell ref="C30:H30"/>
    <mergeCell ref="C31:H31"/>
    <mergeCell ref="K32:K33"/>
    <mergeCell ref="L32:L33"/>
    <mergeCell ref="M32:M33"/>
    <mergeCell ref="N32:N33"/>
    <mergeCell ref="O32:O33"/>
    <mergeCell ref="J58:O58"/>
    <mergeCell ref="J59:O59"/>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5" width="8.63"/>
    <col customWidth="1" min="6" max="6" width="12.0"/>
    <col customWidth="1" min="7" max="7" width="14.5"/>
    <col customWidth="1" min="8" max="8" width="14.13"/>
    <col customWidth="1" min="9" max="10" width="8.63"/>
    <col customWidth="1" min="11" max="11" width="12.88"/>
    <col customWidth="1" min="12" max="12" width="13.25"/>
    <col customWidth="1" min="13" max="26" width="8.63"/>
  </cols>
  <sheetData>
    <row r="1" ht="33.75" customHeight="1">
      <c r="A1" s="121" t="s">
        <v>381</v>
      </c>
      <c r="B1" s="121" t="s">
        <v>382</v>
      </c>
      <c r="C1" s="121" t="s">
        <v>383</v>
      </c>
      <c r="D1" s="122" t="s">
        <v>384</v>
      </c>
      <c r="E1" s="121" t="s">
        <v>385</v>
      </c>
      <c r="F1" s="122" t="s">
        <v>386</v>
      </c>
      <c r="G1" s="121" t="s">
        <v>387</v>
      </c>
      <c r="H1" s="121" t="s">
        <v>388</v>
      </c>
      <c r="I1" s="121" t="s">
        <v>389</v>
      </c>
      <c r="J1" s="121" t="s">
        <v>390</v>
      </c>
      <c r="K1" s="121" t="s">
        <v>391</v>
      </c>
      <c r="L1" s="122" t="s">
        <v>392</v>
      </c>
    </row>
    <row r="2" ht="14.25" customHeight="1">
      <c r="A2" s="123">
        <v>0.0</v>
      </c>
      <c r="B2" s="124">
        <v>67.0</v>
      </c>
      <c r="C2" s="124">
        <v>416.0</v>
      </c>
      <c r="D2" s="125">
        <v>350.0</v>
      </c>
      <c r="E2" s="126" t="s">
        <v>393</v>
      </c>
      <c r="F2" s="125" t="s">
        <v>394</v>
      </c>
      <c r="G2" s="124">
        <v>100.0</v>
      </c>
      <c r="H2" s="124">
        <v>0.0</v>
      </c>
      <c r="I2" s="124">
        <v>91.0</v>
      </c>
      <c r="J2" s="124">
        <v>0.0</v>
      </c>
      <c r="K2" s="127">
        <f t="shared" ref="K2:K34" si="1">(G2/D2)-(H2/D2)</f>
        <v>0.2857142857</v>
      </c>
      <c r="L2" s="128">
        <f t="shared" ref="L2:L34" si="2">(I2/D2)-(J2/D2)</f>
        <v>0.26</v>
      </c>
    </row>
    <row r="3" ht="14.25" customHeight="1">
      <c r="A3" s="123">
        <v>1.0</v>
      </c>
      <c r="B3" s="124">
        <v>862.0</v>
      </c>
      <c r="C3" s="124">
        <v>1123.0</v>
      </c>
      <c r="D3" s="125">
        <v>262.0</v>
      </c>
      <c r="E3" s="126" t="s">
        <v>395</v>
      </c>
      <c r="F3" s="125" t="s">
        <v>394</v>
      </c>
      <c r="G3" s="124">
        <v>0.0</v>
      </c>
      <c r="H3" s="124">
        <v>12.0</v>
      </c>
      <c r="I3" s="124">
        <v>0.0</v>
      </c>
      <c r="J3" s="124">
        <v>0.0</v>
      </c>
      <c r="K3" s="127">
        <f t="shared" si="1"/>
        <v>-0.04580152672</v>
      </c>
      <c r="L3" s="128">
        <f t="shared" si="2"/>
        <v>0</v>
      </c>
    </row>
    <row r="4" ht="14.25" customHeight="1">
      <c r="A4" s="123">
        <v>2.0</v>
      </c>
      <c r="B4" s="124">
        <v>2863.0</v>
      </c>
      <c r="C4" s="124">
        <v>3212.0</v>
      </c>
      <c r="D4" s="125">
        <v>350.0</v>
      </c>
      <c r="E4" s="126" t="s">
        <v>396</v>
      </c>
      <c r="F4" s="125"/>
      <c r="G4" s="124">
        <v>100.0</v>
      </c>
      <c r="H4" s="124">
        <v>0.0</v>
      </c>
      <c r="I4" s="124">
        <v>0.0</v>
      </c>
      <c r="J4" s="124">
        <v>0.0</v>
      </c>
      <c r="K4" s="127">
        <f t="shared" si="1"/>
        <v>0.2857142857</v>
      </c>
      <c r="L4" s="128">
        <f t="shared" si="2"/>
        <v>0</v>
      </c>
    </row>
    <row r="5" ht="14.25" customHeight="1">
      <c r="A5" s="123">
        <v>3.0</v>
      </c>
      <c r="B5" s="124">
        <v>4247.0</v>
      </c>
      <c r="C5" s="124">
        <v>4531.0</v>
      </c>
      <c r="D5" s="125">
        <v>285.0</v>
      </c>
      <c r="E5" s="126" t="s">
        <v>396</v>
      </c>
      <c r="F5" s="125"/>
      <c r="G5" s="124">
        <v>0.0</v>
      </c>
      <c r="H5" s="124">
        <v>27.0</v>
      </c>
      <c r="I5" s="124">
        <v>0.0</v>
      </c>
      <c r="J5" s="124">
        <v>0.0</v>
      </c>
      <c r="K5" s="127">
        <f t="shared" si="1"/>
        <v>-0.09473684211</v>
      </c>
      <c r="L5" s="128">
        <f t="shared" si="2"/>
        <v>0</v>
      </c>
    </row>
    <row r="6" ht="14.25" customHeight="1">
      <c r="A6" s="123">
        <v>4.0</v>
      </c>
      <c r="B6" s="124">
        <v>4957.0</v>
      </c>
      <c r="C6" s="124">
        <v>5219.0</v>
      </c>
      <c r="D6" s="125">
        <v>263.0</v>
      </c>
      <c r="E6" s="126" t="s">
        <v>396</v>
      </c>
      <c r="F6" s="125" t="s">
        <v>397</v>
      </c>
      <c r="G6" s="124">
        <v>0.0</v>
      </c>
      <c r="H6" s="124">
        <v>13.0</v>
      </c>
      <c r="I6" s="124">
        <v>0.0</v>
      </c>
      <c r="J6" s="124">
        <v>0.0</v>
      </c>
      <c r="K6" s="127">
        <f t="shared" si="1"/>
        <v>-0.04942965779</v>
      </c>
      <c r="L6" s="128">
        <f t="shared" si="2"/>
        <v>0</v>
      </c>
    </row>
    <row r="7" ht="14.25" customHeight="1">
      <c r="A7" s="123">
        <v>5.0</v>
      </c>
      <c r="B7" s="124">
        <v>5318.0</v>
      </c>
      <c r="C7" s="124">
        <v>5572.0</v>
      </c>
      <c r="D7" s="125">
        <v>255.0</v>
      </c>
      <c r="E7" s="126" t="s">
        <v>396</v>
      </c>
      <c r="F7" s="125" t="s">
        <v>397</v>
      </c>
      <c r="G7" s="124">
        <v>0.0</v>
      </c>
      <c r="H7" s="124">
        <v>5.0</v>
      </c>
      <c r="I7" s="124">
        <v>0.0</v>
      </c>
      <c r="J7" s="124">
        <v>0.0</v>
      </c>
      <c r="K7" s="127">
        <f t="shared" si="1"/>
        <v>-0.01960784314</v>
      </c>
      <c r="L7" s="128">
        <f t="shared" si="2"/>
        <v>0</v>
      </c>
    </row>
    <row r="8" ht="14.25" customHeight="1">
      <c r="A8" s="123">
        <v>6.0</v>
      </c>
      <c r="B8" s="124">
        <v>6008.0</v>
      </c>
      <c r="C8" s="124">
        <v>6258.0</v>
      </c>
      <c r="D8" s="125">
        <v>251.0</v>
      </c>
      <c r="E8" s="126" t="s">
        <v>396</v>
      </c>
      <c r="F8" s="125" t="s">
        <v>397</v>
      </c>
      <c r="G8" s="124">
        <v>0.0</v>
      </c>
      <c r="H8" s="124">
        <v>1.0</v>
      </c>
      <c r="I8" s="124">
        <v>0.0</v>
      </c>
      <c r="J8" s="124">
        <v>0.0</v>
      </c>
      <c r="K8" s="127">
        <f t="shared" si="1"/>
        <v>-0.003984063745</v>
      </c>
      <c r="L8" s="128">
        <f t="shared" si="2"/>
        <v>0</v>
      </c>
    </row>
    <row r="9" ht="14.25" customHeight="1">
      <c r="A9" s="123">
        <v>7.0</v>
      </c>
      <c r="B9" s="124">
        <v>7346.0</v>
      </c>
      <c r="C9" s="124">
        <v>7815.0</v>
      </c>
      <c r="D9" s="125">
        <v>470.0</v>
      </c>
      <c r="E9" s="126" t="s">
        <v>396</v>
      </c>
      <c r="F9" s="125"/>
      <c r="G9" s="124">
        <v>0.0</v>
      </c>
      <c r="H9" s="124">
        <v>117.0</v>
      </c>
      <c r="I9" s="124">
        <v>0.0</v>
      </c>
      <c r="J9" s="124">
        <v>185.0</v>
      </c>
      <c r="K9" s="127">
        <f t="shared" si="1"/>
        <v>-0.2489361702</v>
      </c>
      <c r="L9" s="128">
        <f t="shared" si="2"/>
        <v>-0.3936170213</v>
      </c>
    </row>
    <row r="10" ht="14.25" customHeight="1">
      <c r="A10" s="123">
        <v>8.0</v>
      </c>
      <c r="B10" s="124">
        <v>8066.0</v>
      </c>
      <c r="C10" s="124">
        <v>8678.0</v>
      </c>
      <c r="D10" s="125">
        <v>613.0</v>
      </c>
      <c r="E10" s="126" t="s">
        <v>398</v>
      </c>
      <c r="F10" s="125"/>
      <c r="G10" s="124">
        <v>0.0</v>
      </c>
      <c r="H10" s="124">
        <v>128.0</v>
      </c>
      <c r="I10" s="124">
        <v>0.0</v>
      </c>
      <c r="J10" s="124">
        <v>132.0</v>
      </c>
      <c r="K10" s="127">
        <f t="shared" si="1"/>
        <v>-0.2088091354</v>
      </c>
      <c r="L10" s="128">
        <f t="shared" si="2"/>
        <v>-0.2153344209</v>
      </c>
    </row>
    <row r="11" ht="14.25" customHeight="1">
      <c r="A11" s="123">
        <v>9.0</v>
      </c>
      <c r="B11" s="124">
        <v>9152.0</v>
      </c>
      <c r="C11" s="124">
        <v>9403.0</v>
      </c>
      <c r="D11" s="125">
        <v>252.0</v>
      </c>
      <c r="E11" s="126" t="s">
        <v>399</v>
      </c>
      <c r="F11" s="125"/>
      <c r="G11" s="124">
        <v>0.0</v>
      </c>
      <c r="H11" s="124">
        <v>2.0</v>
      </c>
      <c r="I11" s="124">
        <v>0.0</v>
      </c>
      <c r="J11" s="124">
        <v>0.0</v>
      </c>
      <c r="K11" s="127">
        <f t="shared" si="1"/>
        <v>-0.007936507937</v>
      </c>
      <c r="L11" s="128">
        <f t="shared" si="2"/>
        <v>0</v>
      </c>
    </row>
    <row r="12" ht="14.25" customHeight="1">
      <c r="A12" s="123">
        <v>10.0</v>
      </c>
      <c r="B12" s="124">
        <v>9487.0</v>
      </c>
      <c r="C12" s="124">
        <v>9928.0</v>
      </c>
      <c r="D12" s="125">
        <v>442.0</v>
      </c>
      <c r="E12" s="126" t="s">
        <v>399</v>
      </c>
      <c r="F12" s="125"/>
      <c r="G12" s="124">
        <v>0.0</v>
      </c>
      <c r="H12" s="124">
        <v>42.0</v>
      </c>
      <c r="I12" s="124">
        <v>0.0</v>
      </c>
      <c r="J12" s="124">
        <v>51.0</v>
      </c>
      <c r="K12" s="127">
        <f t="shared" si="1"/>
        <v>-0.09502262443</v>
      </c>
      <c r="L12" s="128">
        <f t="shared" si="2"/>
        <v>-0.1153846154</v>
      </c>
    </row>
    <row r="13" ht="14.25" customHeight="1">
      <c r="A13" s="123">
        <v>11.0</v>
      </c>
      <c r="B13" s="124">
        <v>10275.0</v>
      </c>
      <c r="C13" s="124">
        <v>10622.0</v>
      </c>
      <c r="D13" s="125">
        <v>348.0</v>
      </c>
      <c r="E13" s="126" t="s">
        <v>400</v>
      </c>
      <c r="F13" s="125"/>
      <c r="G13" s="124">
        <v>98.0</v>
      </c>
      <c r="H13" s="124">
        <v>0.0</v>
      </c>
      <c r="I13" s="124">
        <v>0.0</v>
      </c>
      <c r="J13" s="124">
        <v>103.0</v>
      </c>
      <c r="K13" s="127">
        <f t="shared" si="1"/>
        <v>0.2816091954</v>
      </c>
      <c r="L13" s="128">
        <f t="shared" si="2"/>
        <v>-0.2959770115</v>
      </c>
    </row>
    <row r="14" ht="14.25" customHeight="1">
      <c r="A14" s="123">
        <v>12.0</v>
      </c>
      <c r="B14" s="124">
        <v>10760.0</v>
      </c>
      <c r="C14" s="124">
        <v>11052.0</v>
      </c>
      <c r="D14" s="125">
        <v>293.0</v>
      </c>
      <c r="E14" s="126" t="s">
        <v>401</v>
      </c>
      <c r="F14" s="125"/>
      <c r="G14" s="124">
        <v>0.0</v>
      </c>
      <c r="H14" s="124">
        <v>43.0</v>
      </c>
      <c r="I14" s="124">
        <v>0.0</v>
      </c>
      <c r="J14" s="124">
        <v>46.0</v>
      </c>
      <c r="K14" s="127">
        <f t="shared" si="1"/>
        <v>-0.1467576792</v>
      </c>
      <c r="L14" s="128">
        <f t="shared" si="2"/>
        <v>-0.156996587</v>
      </c>
    </row>
    <row r="15" ht="14.25" customHeight="1">
      <c r="A15" s="123">
        <v>13.0</v>
      </c>
      <c r="B15" s="124">
        <v>11708.0</v>
      </c>
      <c r="C15" s="124">
        <v>12025.0</v>
      </c>
      <c r="D15" s="125">
        <v>318.0</v>
      </c>
      <c r="E15" s="126" t="s">
        <v>402</v>
      </c>
      <c r="F15" s="125"/>
      <c r="G15" s="124">
        <v>0.0</v>
      </c>
      <c r="H15" s="124">
        <v>68.0</v>
      </c>
      <c r="I15" s="124">
        <v>0.0</v>
      </c>
      <c r="J15" s="124">
        <v>0.0</v>
      </c>
      <c r="K15" s="127">
        <f t="shared" si="1"/>
        <v>-0.213836478</v>
      </c>
      <c r="L15" s="128">
        <f t="shared" si="2"/>
        <v>0</v>
      </c>
    </row>
    <row r="16" ht="14.25" customHeight="1">
      <c r="A16" s="123">
        <v>14.0</v>
      </c>
      <c r="B16" s="124">
        <v>12088.0</v>
      </c>
      <c r="C16" s="124">
        <v>12816.0</v>
      </c>
      <c r="D16" s="125">
        <v>729.0</v>
      </c>
      <c r="E16" s="126" t="s">
        <v>403</v>
      </c>
      <c r="F16" s="125"/>
      <c r="G16" s="124">
        <v>0.0</v>
      </c>
      <c r="H16" s="124">
        <v>188.0</v>
      </c>
      <c r="I16" s="124">
        <v>0.0</v>
      </c>
      <c r="J16" s="124">
        <v>136.0</v>
      </c>
      <c r="K16" s="127">
        <f t="shared" si="1"/>
        <v>-0.2578875171</v>
      </c>
      <c r="L16" s="128">
        <f t="shared" si="2"/>
        <v>-0.1865569273</v>
      </c>
    </row>
    <row r="17" ht="14.25" customHeight="1">
      <c r="A17" s="123">
        <v>15.0</v>
      </c>
      <c r="B17" s="124">
        <v>12985.0</v>
      </c>
      <c r="C17" s="124">
        <v>13404.0</v>
      </c>
      <c r="D17" s="125">
        <v>420.0</v>
      </c>
      <c r="E17" s="126" t="s">
        <v>404</v>
      </c>
      <c r="F17" s="125" t="s">
        <v>405</v>
      </c>
      <c r="G17" s="124">
        <v>0.0</v>
      </c>
      <c r="H17" s="124">
        <v>22.0</v>
      </c>
      <c r="I17" s="124">
        <v>0.0</v>
      </c>
      <c r="J17" s="124">
        <v>0.0</v>
      </c>
      <c r="K17" s="127">
        <f t="shared" si="1"/>
        <v>-0.05238095238</v>
      </c>
      <c r="L17" s="128">
        <f t="shared" si="2"/>
        <v>0</v>
      </c>
    </row>
    <row r="18" ht="14.25" customHeight="1">
      <c r="A18" s="123">
        <v>16.0</v>
      </c>
      <c r="B18" s="124">
        <v>13642.0</v>
      </c>
      <c r="C18" s="124">
        <v>13935.0</v>
      </c>
      <c r="D18" s="125">
        <v>294.0</v>
      </c>
      <c r="E18" s="126" t="s">
        <v>406</v>
      </c>
      <c r="F18" s="125"/>
      <c r="G18" s="124">
        <v>0.0</v>
      </c>
      <c r="H18" s="124">
        <v>39.0</v>
      </c>
      <c r="I18" s="124">
        <v>0.0</v>
      </c>
      <c r="J18" s="124">
        <v>0.0</v>
      </c>
      <c r="K18" s="127">
        <f t="shared" si="1"/>
        <v>-0.1326530612</v>
      </c>
      <c r="L18" s="128">
        <f t="shared" si="2"/>
        <v>0</v>
      </c>
    </row>
    <row r="19" ht="14.25" customHeight="1">
      <c r="A19" s="123">
        <v>17.0</v>
      </c>
      <c r="B19" s="124">
        <v>14183.0</v>
      </c>
      <c r="C19" s="124">
        <v>14673.0</v>
      </c>
      <c r="D19" s="125">
        <v>491.0</v>
      </c>
      <c r="E19" s="126" t="s">
        <v>406</v>
      </c>
      <c r="F19" s="125"/>
      <c r="G19" s="124">
        <v>100.0</v>
      </c>
      <c r="H19" s="124">
        <v>68.0</v>
      </c>
      <c r="I19" s="124">
        <v>0.0</v>
      </c>
      <c r="J19" s="124">
        <v>0.0</v>
      </c>
      <c r="K19" s="127">
        <f t="shared" si="1"/>
        <v>0.06517311609</v>
      </c>
      <c r="L19" s="128">
        <f t="shared" si="2"/>
        <v>0</v>
      </c>
    </row>
    <row r="20" ht="14.25" customHeight="1">
      <c r="A20" s="123">
        <v>18.0</v>
      </c>
      <c r="B20" s="124">
        <v>15022.0</v>
      </c>
      <c r="C20" s="124">
        <v>16368.0</v>
      </c>
      <c r="D20" s="125">
        <v>1347.0</v>
      </c>
      <c r="E20" s="126" t="s">
        <v>407</v>
      </c>
      <c r="F20" s="125"/>
      <c r="G20" s="124">
        <v>0.0</v>
      </c>
      <c r="H20" s="124">
        <v>97.0</v>
      </c>
      <c r="I20" s="124">
        <v>0.0</v>
      </c>
      <c r="J20" s="124">
        <v>344.0</v>
      </c>
      <c r="K20" s="127">
        <f t="shared" si="1"/>
        <v>-0.07201187825</v>
      </c>
      <c r="L20" s="128">
        <f t="shared" si="2"/>
        <v>-0.2553823311</v>
      </c>
    </row>
    <row r="21" ht="14.25" customHeight="1">
      <c r="A21" s="123">
        <v>19.0</v>
      </c>
      <c r="B21" s="124">
        <v>16400.0</v>
      </c>
      <c r="C21" s="124">
        <v>16953.0</v>
      </c>
      <c r="D21" s="125">
        <v>554.0</v>
      </c>
      <c r="E21" s="126" t="s">
        <v>408</v>
      </c>
      <c r="F21" s="125" t="s">
        <v>409</v>
      </c>
      <c r="G21" s="124">
        <v>0.0</v>
      </c>
      <c r="H21" s="124">
        <v>64.0</v>
      </c>
      <c r="I21" s="124">
        <v>0.0</v>
      </c>
      <c r="J21" s="124">
        <v>32.0</v>
      </c>
      <c r="K21" s="127">
        <f t="shared" si="1"/>
        <v>-0.1155234657</v>
      </c>
      <c r="L21" s="128">
        <f t="shared" si="2"/>
        <v>-0.05776173285</v>
      </c>
    </row>
    <row r="22" ht="14.25" customHeight="1">
      <c r="A22" s="123">
        <v>20.0</v>
      </c>
      <c r="B22" s="124">
        <v>17053.0</v>
      </c>
      <c r="C22" s="124">
        <v>17311.0</v>
      </c>
      <c r="D22" s="125">
        <v>259.0</v>
      </c>
      <c r="E22" s="126" t="s">
        <v>408</v>
      </c>
      <c r="F22" s="125"/>
      <c r="G22" s="124">
        <v>0.0</v>
      </c>
      <c r="H22" s="124">
        <v>9.0</v>
      </c>
      <c r="I22" s="124">
        <v>0.0</v>
      </c>
      <c r="J22" s="124">
        <v>3.0</v>
      </c>
      <c r="K22" s="127">
        <f t="shared" si="1"/>
        <v>-0.03474903475</v>
      </c>
      <c r="L22" s="128">
        <f t="shared" si="2"/>
        <v>-0.01158301158</v>
      </c>
    </row>
    <row r="23" ht="14.25" customHeight="1">
      <c r="A23" s="123">
        <v>21.0</v>
      </c>
      <c r="B23" s="124">
        <v>17785.0</v>
      </c>
      <c r="C23" s="124">
        <v>18093.0</v>
      </c>
      <c r="D23" s="125">
        <v>309.0</v>
      </c>
      <c r="E23" s="126" t="s">
        <v>410</v>
      </c>
      <c r="F23" s="125"/>
      <c r="G23" s="124">
        <v>0.0</v>
      </c>
      <c r="H23" s="124">
        <v>59.0</v>
      </c>
      <c r="I23" s="124">
        <v>0.0</v>
      </c>
      <c r="J23" s="124">
        <v>0.0</v>
      </c>
      <c r="K23" s="127">
        <f t="shared" si="1"/>
        <v>-0.1909385113</v>
      </c>
      <c r="L23" s="128">
        <f t="shared" si="2"/>
        <v>0</v>
      </c>
    </row>
    <row r="24" ht="14.25" customHeight="1">
      <c r="A24" s="123">
        <v>22.0</v>
      </c>
      <c r="B24" s="124">
        <v>18961.0</v>
      </c>
      <c r="C24" s="124">
        <v>19227.0</v>
      </c>
      <c r="D24" s="125">
        <v>267.0</v>
      </c>
      <c r="E24" s="126" t="s">
        <v>411</v>
      </c>
      <c r="F24" s="125"/>
      <c r="G24" s="124">
        <v>0.0</v>
      </c>
      <c r="H24" s="124">
        <v>17.0</v>
      </c>
      <c r="I24" s="124">
        <v>0.0</v>
      </c>
      <c r="J24" s="124">
        <v>0.0</v>
      </c>
      <c r="K24" s="127">
        <f t="shared" si="1"/>
        <v>-0.06367041199</v>
      </c>
      <c r="L24" s="128">
        <f t="shared" si="2"/>
        <v>0</v>
      </c>
    </row>
    <row r="25" ht="14.25" customHeight="1">
      <c r="A25" s="123">
        <v>23.0</v>
      </c>
      <c r="B25" s="124">
        <v>19309.0</v>
      </c>
      <c r="C25" s="124">
        <v>19934.0</v>
      </c>
      <c r="D25" s="125">
        <v>626.0</v>
      </c>
      <c r="E25" s="126" t="s">
        <v>412</v>
      </c>
      <c r="F25" s="125"/>
      <c r="G25" s="124">
        <v>0.0</v>
      </c>
      <c r="H25" s="124">
        <v>128.0</v>
      </c>
      <c r="I25" s="124">
        <v>0.0</v>
      </c>
      <c r="J25" s="124">
        <v>44.0</v>
      </c>
      <c r="K25" s="127">
        <f t="shared" si="1"/>
        <v>-0.2044728435</v>
      </c>
      <c r="L25" s="128">
        <f t="shared" si="2"/>
        <v>-0.07028753994</v>
      </c>
    </row>
    <row r="26" ht="14.25" customHeight="1">
      <c r="A26" s="123">
        <v>24.0</v>
      </c>
      <c r="B26" s="124">
        <v>20417.0</v>
      </c>
      <c r="C26" s="124">
        <v>20667.0</v>
      </c>
      <c r="D26" s="125">
        <v>251.0</v>
      </c>
      <c r="E26" s="126" t="s">
        <v>413</v>
      </c>
      <c r="F26" s="125"/>
      <c r="G26" s="124">
        <v>0.0</v>
      </c>
      <c r="H26" s="124">
        <v>1.0</v>
      </c>
      <c r="I26" s="124">
        <v>0.0</v>
      </c>
      <c r="J26" s="124">
        <v>0.0</v>
      </c>
      <c r="K26" s="127">
        <f t="shared" si="1"/>
        <v>-0.003984063745</v>
      </c>
      <c r="L26" s="128">
        <f t="shared" si="2"/>
        <v>0</v>
      </c>
    </row>
    <row r="27" ht="14.25" customHeight="1">
      <c r="A27" s="123">
        <v>25.0</v>
      </c>
      <c r="B27" s="124">
        <v>20688.0</v>
      </c>
      <c r="C27" s="124">
        <v>21123.0</v>
      </c>
      <c r="D27" s="125">
        <v>436.0</v>
      </c>
      <c r="E27" s="126" t="s">
        <v>414</v>
      </c>
      <c r="F27" s="125"/>
      <c r="G27" s="124">
        <v>0.0</v>
      </c>
      <c r="H27" s="124">
        <v>77.0</v>
      </c>
      <c r="I27" s="124">
        <v>0.0</v>
      </c>
      <c r="J27" s="124">
        <v>106.0</v>
      </c>
      <c r="K27" s="127">
        <f t="shared" si="1"/>
        <v>-0.1766055046</v>
      </c>
      <c r="L27" s="128">
        <f t="shared" si="2"/>
        <v>-0.2431192661</v>
      </c>
    </row>
    <row r="28" ht="14.25" customHeight="1">
      <c r="A28" s="123">
        <v>26.0</v>
      </c>
      <c r="B28" s="124">
        <v>21298.0</v>
      </c>
      <c r="C28" s="124">
        <v>21645.0</v>
      </c>
      <c r="D28" s="125">
        <v>348.0</v>
      </c>
      <c r="E28" s="126" t="s">
        <v>415</v>
      </c>
      <c r="F28" s="125"/>
      <c r="G28" s="124">
        <v>0.0</v>
      </c>
      <c r="H28" s="124">
        <v>98.0</v>
      </c>
      <c r="I28" s="124">
        <v>0.0</v>
      </c>
      <c r="J28" s="124">
        <v>0.0</v>
      </c>
      <c r="K28" s="127">
        <f t="shared" si="1"/>
        <v>-0.2816091954</v>
      </c>
      <c r="L28" s="128">
        <f t="shared" si="2"/>
        <v>0</v>
      </c>
    </row>
    <row r="29" ht="14.25" customHeight="1">
      <c r="A29" s="129">
        <v>27.0</v>
      </c>
      <c r="B29" s="130">
        <v>22499.0</v>
      </c>
      <c r="C29" s="130">
        <v>24029.0</v>
      </c>
      <c r="D29" s="131">
        <v>1531.0</v>
      </c>
      <c r="E29" s="132" t="s">
        <v>416</v>
      </c>
      <c r="F29" s="131" t="s">
        <v>417</v>
      </c>
      <c r="G29" s="130">
        <v>672.0</v>
      </c>
      <c r="H29" s="130">
        <v>21.0</v>
      </c>
      <c r="I29" s="130">
        <v>0.0</v>
      </c>
      <c r="J29" s="130">
        <v>0.0</v>
      </c>
      <c r="K29" s="133">
        <f t="shared" si="1"/>
        <v>0.4252122796</v>
      </c>
      <c r="L29" s="134">
        <f t="shared" si="2"/>
        <v>0</v>
      </c>
    </row>
    <row r="30" ht="14.25" customHeight="1">
      <c r="A30" s="123">
        <v>28.0</v>
      </c>
      <c r="B30" s="124">
        <v>24134.0</v>
      </c>
      <c r="C30" s="124">
        <v>24839.0</v>
      </c>
      <c r="D30" s="125">
        <v>706.0</v>
      </c>
      <c r="E30" s="126" t="s">
        <v>416</v>
      </c>
      <c r="F30" s="125"/>
      <c r="G30" s="124">
        <v>100.0</v>
      </c>
      <c r="H30" s="124">
        <v>77.0</v>
      </c>
      <c r="I30" s="124">
        <v>0.0</v>
      </c>
      <c r="J30" s="124">
        <v>169.0</v>
      </c>
      <c r="K30" s="127">
        <f t="shared" si="1"/>
        <v>0.03257790368</v>
      </c>
      <c r="L30" s="128">
        <f t="shared" si="2"/>
        <v>-0.2393767705</v>
      </c>
    </row>
    <row r="31" ht="14.25" customHeight="1">
      <c r="A31" s="123">
        <v>29.0</v>
      </c>
      <c r="B31" s="124">
        <v>26201.0</v>
      </c>
      <c r="C31" s="124">
        <v>26884.0</v>
      </c>
      <c r="D31" s="125">
        <v>684.0</v>
      </c>
      <c r="E31" s="126" t="s">
        <v>418</v>
      </c>
      <c r="F31" s="125" t="s">
        <v>419</v>
      </c>
      <c r="G31" s="124">
        <v>60.0</v>
      </c>
      <c r="H31" s="124">
        <v>68.0</v>
      </c>
      <c r="I31" s="124">
        <v>0.0</v>
      </c>
      <c r="J31" s="124">
        <v>8.0</v>
      </c>
      <c r="K31" s="127">
        <f t="shared" si="1"/>
        <v>-0.01169590643</v>
      </c>
      <c r="L31" s="128">
        <f t="shared" si="2"/>
        <v>-0.01169590643</v>
      </c>
    </row>
    <row r="32" ht="14.25" customHeight="1">
      <c r="A32" s="123">
        <v>30.0</v>
      </c>
      <c r="B32" s="124">
        <v>27633.0</v>
      </c>
      <c r="C32" s="124">
        <v>27982.0</v>
      </c>
      <c r="D32" s="125">
        <v>350.0</v>
      </c>
      <c r="E32" s="126" t="s">
        <v>420</v>
      </c>
      <c r="F32" s="125" t="s">
        <v>421</v>
      </c>
      <c r="G32" s="124">
        <v>78.0</v>
      </c>
      <c r="H32" s="124">
        <v>0.0</v>
      </c>
      <c r="I32" s="124">
        <v>78.0</v>
      </c>
      <c r="J32" s="124">
        <v>0.0</v>
      </c>
      <c r="K32" s="127">
        <f t="shared" si="1"/>
        <v>0.2228571429</v>
      </c>
      <c r="L32" s="128">
        <f t="shared" si="2"/>
        <v>0.2228571429</v>
      </c>
    </row>
    <row r="33" ht="14.25" customHeight="1">
      <c r="A33" s="123">
        <v>31.0</v>
      </c>
      <c r="B33" s="124">
        <v>28125.0</v>
      </c>
      <c r="C33" s="124">
        <v>28455.0</v>
      </c>
      <c r="D33" s="125">
        <v>331.0</v>
      </c>
      <c r="E33" s="126" t="s">
        <v>422</v>
      </c>
      <c r="F33" s="125" t="s">
        <v>423</v>
      </c>
      <c r="G33" s="124">
        <v>81.0</v>
      </c>
      <c r="H33" s="124">
        <v>0.0</v>
      </c>
      <c r="I33" s="124">
        <v>163.0</v>
      </c>
      <c r="J33" s="124">
        <v>0.0</v>
      </c>
      <c r="K33" s="127">
        <f t="shared" si="1"/>
        <v>0.2447129909</v>
      </c>
      <c r="L33" s="128">
        <f t="shared" si="2"/>
        <v>0.4924471299</v>
      </c>
    </row>
    <row r="34" ht="14.25" customHeight="1">
      <c r="A34" s="135">
        <v>32.0</v>
      </c>
      <c r="B34" s="136">
        <v>28707.0</v>
      </c>
      <c r="C34" s="136">
        <v>29058.0</v>
      </c>
      <c r="D34" s="137">
        <v>352.0</v>
      </c>
      <c r="E34" s="138" t="s">
        <v>293</v>
      </c>
      <c r="F34" s="137" t="s">
        <v>423</v>
      </c>
      <c r="G34" s="136">
        <v>102.0</v>
      </c>
      <c r="H34" s="136">
        <v>0.0</v>
      </c>
      <c r="I34" s="136">
        <v>116.0</v>
      </c>
      <c r="J34" s="136">
        <v>0.0</v>
      </c>
      <c r="K34" s="139">
        <f t="shared" si="1"/>
        <v>0.2897727273</v>
      </c>
      <c r="L34" s="140">
        <f t="shared" si="2"/>
        <v>0.3295454545</v>
      </c>
    </row>
    <row r="35" ht="14.25" customHeight="1"/>
    <row r="36" ht="14.25" customHeight="1">
      <c r="A36" s="58" t="s">
        <v>424</v>
      </c>
    </row>
    <row r="37" ht="14.25" customHeight="1"/>
    <row r="38" ht="14.25" customHeight="1"/>
    <row r="39" ht="14.25" customHeight="1"/>
    <row r="40" ht="14.25" customHeight="1"/>
    <row r="41" ht="14.25" customHeight="1"/>
    <row r="42" ht="14.25" customHeight="1"/>
    <row r="43" ht="14.25" customHeight="1">
      <c r="A43" s="25"/>
      <c r="B43" s="25"/>
      <c r="C43" s="25"/>
      <c r="D43" s="25"/>
      <c r="E43" s="25"/>
      <c r="F43" s="25"/>
      <c r="G43" s="25"/>
      <c r="H43" s="25"/>
      <c r="I43" s="25"/>
      <c r="J43" s="25"/>
      <c r="K43" s="25"/>
      <c r="L43" s="25"/>
    </row>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36:L42"/>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2" width="8.63"/>
    <col customWidth="1" min="13" max="13" width="12.75"/>
    <col customWidth="1" min="14" max="14" width="13.25"/>
    <col customWidth="1" min="15" max="15" width="10.75"/>
    <col customWidth="1" min="16" max="16" width="13.38"/>
    <col customWidth="1" min="17" max="17" width="8.5"/>
    <col customWidth="1" min="18" max="18" width="10.63"/>
    <col customWidth="1" min="19" max="19" width="8.63"/>
    <col customWidth="1" min="20" max="20" width="11.25"/>
    <col customWidth="1" min="21" max="21" width="8.63"/>
    <col customWidth="1" min="22" max="22" width="9.25"/>
    <col customWidth="1" min="23" max="23" width="10.5"/>
    <col customWidth="1" min="24" max="24" width="8.63"/>
    <col customWidth="1" min="25" max="25" width="11.0"/>
    <col customWidth="1" min="26" max="26" width="10.88"/>
    <col customWidth="1" min="27" max="27" width="10.5"/>
  </cols>
  <sheetData>
    <row r="1" ht="14.25" customHeight="1">
      <c r="A1" s="47" t="s">
        <v>425</v>
      </c>
      <c r="B1" s="2" t="s">
        <v>426</v>
      </c>
      <c r="C1" s="24" t="s">
        <v>427</v>
      </c>
      <c r="D1" s="24" t="s">
        <v>428</v>
      </c>
      <c r="E1" s="22" t="s">
        <v>429</v>
      </c>
      <c r="F1" s="22" t="s">
        <v>430</v>
      </c>
      <c r="G1" s="23" t="s">
        <v>428</v>
      </c>
      <c r="H1" s="22" t="s">
        <v>431</v>
      </c>
      <c r="I1" s="22" t="s">
        <v>432</v>
      </c>
      <c r="J1" s="23" t="s">
        <v>433</v>
      </c>
      <c r="K1" s="141" t="s">
        <v>434</v>
      </c>
      <c r="L1" s="90"/>
      <c r="M1" s="90"/>
      <c r="N1" s="90"/>
      <c r="O1" s="90"/>
      <c r="P1" s="90"/>
      <c r="Q1" s="90"/>
      <c r="R1" s="90"/>
      <c r="S1" s="90"/>
      <c r="T1" s="90"/>
      <c r="U1" s="90"/>
      <c r="V1" s="90"/>
      <c r="W1" s="90"/>
      <c r="X1" s="90"/>
      <c r="Y1" s="142" t="s">
        <v>435</v>
      </c>
      <c r="Z1" s="22" t="s">
        <v>436</v>
      </c>
      <c r="AA1" s="23" t="s">
        <v>437</v>
      </c>
    </row>
    <row r="2" ht="14.25" customHeight="1">
      <c r="B2" s="28"/>
      <c r="G2" s="29"/>
      <c r="I2" s="26"/>
      <c r="J2" s="29"/>
      <c r="K2" s="2" t="s">
        <v>438</v>
      </c>
      <c r="L2" s="24" t="s">
        <v>439</v>
      </c>
      <c r="M2" s="24" t="s">
        <v>440</v>
      </c>
      <c r="N2" s="24" t="s">
        <v>441</v>
      </c>
      <c r="O2" s="101" t="s">
        <v>442</v>
      </c>
      <c r="P2" s="24" t="s">
        <v>443</v>
      </c>
      <c r="Q2" s="24" t="s">
        <v>444</v>
      </c>
      <c r="R2" s="24" t="s">
        <v>445</v>
      </c>
      <c r="S2" s="24" t="s">
        <v>446</v>
      </c>
      <c r="T2" s="24" t="s">
        <v>447</v>
      </c>
      <c r="U2" s="24" t="s">
        <v>448</v>
      </c>
      <c r="V2" s="24" t="s">
        <v>449</v>
      </c>
      <c r="W2" s="24" t="s">
        <v>450</v>
      </c>
      <c r="X2" s="24" t="s">
        <v>451</v>
      </c>
      <c r="Y2" s="28"/>
      <c r="AA2" s="29"/>
    </row>
    <row r="3" ht="14.25" customHeight="1">
      <c r="A3" s="24" t="s">
        <v>267</v>
      </c>
      <c r="B3" s="33">
        <v>405.0</v>
      </c>
      <c r="C3" s="34" t="s">
        <v>262</v>
      </c>
      <c r="D3" s="34" t="s">
        <v>261</v>
      </c>
      <c r="E3" s="34" t="s">
        <v>452</v>
      </c>
      <c r="F3" s="34" t="s">
        <v>453</v>
      </c>
      <c r="G3" s="143" t="s">
        <v>454</v>
      </c>
      <c r="H3" s="34" t="s">
        <v>455</v>
      </c>
      <c r="I3" s="144" t="s">
        <v>455</v>
      </c>
      <c r="J3" s="143" t="b">
        <v>1</v>
      </c>
      <c r="K3" s="145">
        <v>6.261788710573E-4</v>
      </c>
      <c r="L3" s="98">
        <v>1.47940301157E-5</v>
      </c>
      <c r="M3" s="98">
        <v>0.99707287217765</v>
      </c>
      <c r="N3" s="98">
        <v>9.47298970248E-5</v>
      </c>
      <c r="O3" s="86">
        <v>0.0010432226094791</v>
      </c>
      <c r="P3" s="98">
        <v>0.99766343141786</v>
      </c>
      <c r="Q3" s="98">
        <v>0.0</v>
      </c>
      <c r="R3" s="98">
        <v>0.0</v>
      </c>
      <c r="S3" s="98">
        <v>0.0</v>
      </c>
      <c r="T3" s="98">
        <v>7.61052383235E-5</v>
      </c>
      <c r="U3" s="98">
        <v>0.0</v>
      </c>
      <c r="V3" s="98">
        <v>0.0</v>
      </c>
      <c r="W3" s="98">
        <v>0.0</v>
      </c>
      <c r="X3" s="98">
        <v>1.156737998843E-4</v>
      </c>
      <c r="Y3" s="33">
        <v>1.0</v>
      </c>
      <c r="Z3" s="34">
        <v>0.0</v>
      </c>
      <c r="AA3" s="143">
        <v>2.0</v>
      </c>
    </row>
    <row r="4" ht="14.25" customHeight="1">
      <c r="A4" s="47"/>
      <c r="B4" s="37">
        <v>670.0</v>
      </c>
      <c r="C4" s="21" t="s">
        <v>456</v>
      </c>
      <c r="D4" s="21" t="s">
        <v>261</v>
      </c>
      <c r="E4" s="21" t="s">
        <v>457</v>
      </c>
      <c r="F4" s="21" t="s">
        <v>458</v>
      </c>
      <c r="G4" s="36" t="s">
        <v>459</v>
      </c>
      <c r="H4" s="21" t="s">
        <v>460</v>
      </c>
      <c r="I4" s="144" t="s">
        <v>460</v>
      </c>
      <c r="J4" s="36" t="b">
        <v>1</v>
      </c>
      <c r="K4" s="119">
        <v>1.69656581148E-5</v>
      </c>
      <c r="L4" s="65">
        <v>2.14386686586E-5</v>
      </c>
      <c r="M4" s="65">
        <v>0.995166455821766</v>
      </c>
      <c r="N4" s="65">
        <v>0.606081596273845</v>
      </c>
      <c r="O4" s="66">
        <v>0.996036772534056</v>
      </c>
      <c r="P4" s="65">
        <v>0.997330512743024</v>
      </c>
      <c r="Q4" s="65">
        <v>6.85416619068E-5</v>
      </c>
      <c r="R4" s="65">
        <v>0.0</v>
      </c>
      <c r="S4" s="65">
        <v>0.0</v>
      </c>
      <c r="T4" s="65">
        <v>0.0</v>
      </c>
      <c r="U4" s="65">
        <v>0.0</v>
      </c>
      <c r="V4" s="65">
        <v>0.0</v>
      </c>
      <c r="W4" s="65">
        <v>0.0</v>
      </c>
      <c r="X4" s="65">
        <v>0.0</v>
      </c>
      <c r="Y4" s="37">
        <v>3.0</v>
      </c>
      <c r="Z4" s="21">
        <v>0.0</v>
      </c>
      <c r="AA4" s="36">
        <v>4.0</v>
      </c>
    </row>
    <row r="5" ht="14.25" customHeight="1">
      <c r="A5" s="146"/>
      <c r="B5" s="42">
        <v>733.0</v>
      </c>
      <c r="C5" s="40" t="s">
        <v>456</v>
      </c>
      <c r="D5" s="40" t="s">
        <v>263</v>
      </c>
      <c r="E5" s="40" t="s">
        <v>461</v>
      </c>
      <c r="F5" s="40" t="s">
        <v>462</v>
      </c>
      <c r="G5" s="39" t="s">
        <v>463</v>
      </c>
      <c r="H5" s="40" t="s">
        <v>464</v>
      </c>
      <c r="I5" s="147" t="s">
        <v>464</v>
      </c>
      <c r="J5" s="39" t="b">
        <v>0</v>
      </c>
      <c r="K5" s="120">
        <v>1.122851907742E-4</v>
      </c>
      <c r="L5" s="112">
        <v>2.013212940216E-4</v>
      </c>
      <c r="M5" s="112">
        <v>1.669929451903E-4</v>
      </c>
      <c r="N5" s="112">
        <v>6.17550221499E-5</v>
      </c>
      <c r="O5" s="87">
        <v>1.472143557241E-4</v>
      </c>
      <c r="P5" s="112">
        <v>5.02942211939E-5</v>
      </c>
      <c r="Q5" s="112">
        <v>2.31401133865E-5</v>
      </c>
      <c r="R5" s="112">
        <v>1.712306213037E-4</v>
      </c>
      <c r="S5" s="112">
        <v>0.0</v>
      </c>
      <c r="T5" s="112">
        <v>0.993778129783491</v>
      </c>
      <c r="U5" s="112">
        <v>2.177321024211E-4</v>
      </c>
      <c r="V5" s="112">
        <v>0.0</v>
      </c>
      <c r="W5" s="112">
        <v>4.68603561387E-4</v>
      </c>
      <c r="X5" s="112">
        <v>2.884338044418E-4</v>
      </c>
      <c r="Y5" s="42">
        <v>0.0</v>
      </c>
      <c r="Z5" s="40">
        <v>1.0</v>
      </c>
      <c r="AA5" s="39">
        <v>0.0</v>
      </c>
    </row>
    <row r="6" ht="14.25" customHeight="1">
      <c r="A6" s="24" t="s">
        <v>268</v>
      </c>
      <c r="B6" s="33">
        <v>897.0</v>
      </c>
      <c r="C6" s="34" t="s">
        <v>263</v>
      </c>
      <c r="D6" s="34" t="s">
        <v>262</v>
      </c>
      <c r="E6" s="34" t="s">
        <v>465</v>
      </c>
      <c r="F6" s="34" t="s">
        <v>461</v>
      </c>
      <c r="G6" s="143" t="s">
        <v>466</v>
      </c>
      <c r="H6" s="34" t="s">
        <v>467</v>
      </c>
      <c r="I6" s="144" t="s">
        <v>467</v>
      </c>
      <c r="J6" s="143" t="b">
        <v>1</v>
      </c>
      <c r="K6" s="145">
        <v>5.1037898191E-6</v>
      </c>
      <c r="L6" s="98">
        <v>1.18625953344E-5</v>
      </c>
      <c r="M6" s="98">
        <v>5.38961805573E-5</v>
      </c>
      <c r="N6" s="98">
        <v>6.6365746878E-6</v>
      </c>
      <c r="O6" s="86">
        <v>0.995716928625841</v>
      </c>
      <c r="P6" s="98">
        <v>2.512436560976E-4</v>
      </c>
      <c r="Q6" s="98">
        <v>0.0</v>
      </c>
      <c r="R6" s="98">
        <v>0.0</v>
      </c>
      <c r="S6" s="98">
        <v>0.0</v>
      </c>
      <c r="T6" s="98">
        <v>0.0</v>
      </c>
      <c r="U6" s="98">
        <v>0.0</v>
      </c>
      <c r="V6" s="98">
        <v>0.0</v>
      </c>
      <c r="W6" s="98">
        <v>0.0</v>
      </c>
      <c r="X6" s="98">
        <v>0.0</v>
      </c>
      <c r="Y6" s="33">
        <v>1.0</v>
      </c>
      <c r="Z6" s="34">
        <v>0.0</v>
      </c>
      <c r="AA6" s="143">
        <v>1.0</v>
      </c>
    </row>
    <row r="7" ht="14.25" customHeight="1">
      <c r="A7" s="47"/>
      <c r="B7" s="37">
        <v>913.0</v>
      </c>
      <c r="C7" s="21" t="s">
        <v>263</v>
      </c>
      <c r="D7" s="21" t="s">
        <v>456</v>
      </c>
      <c r="E7" s="21" t="s">
        <v>468</v>
      </c>
      <c r="F7" s="21" t="s">
        <v>469</v>
      </c>
      <c r="G7" s="36" t="s">
        <v>470</v>
      </c>
      <c r="H7" s="21" t="s">
        <v>471</v>
      </c>
      <c r="I7" s="144" t="s">
        <v>471</v>
      </c>
      <c r="J7" s="36" t="b">
        <v>0</v>
      </c>
      <c r="K7" s="119">
        <v>0.998142932521979</v>
      </c>
      <c r="L7" s="65">
        <v>7.388571745672E-4</v>
      </c>
      <c r="M7" s="65">
        <v>7.340127656625E-4</v>
      </c>
      <c r="N7" s="65">
        <v>0.001428215835125</v>
      </c>
      <c r="O7" s="66">
        <v>4.180796209411E-4</v>
      </c>
      <c r="P7" s="65">
        <v>0.0013317921399135</v>
      </c>
      <c r="Q7" s="65">
        <v>0.0025939135670943</v>
      </c>
      <c r="R7" s="65">
        <v>0.0018710553015429</v>
      </c>
      <c r="S7" s="65">
        <v>0.0019277597402597</v>
      </c>
      <c r="T7" s="65">
        <v>9.275379948453E-4</v>
      </c>
      <c r="U7" s="65">
        <v>0.0021780323655609</v>
      </c>
      <c r="V7" s="65">
        <v>9.188763454975E-4</v>
      </c>
      <c r="W7" s="65">
        <v>7.492741406762E-4</v>
      </c>
      <c r="X7" s="65">
        <v>7.503607503607E-4</v>
      </c>
      <c r="Y7" s="37">
        <v>1.0</v>
      </c>
      <c r="Z7" s="21">
        <v>0.0</v>
      </c>
      <c r="AA7" s="36">
        <v>0.0</v>
      </c>
    </row>
    <row r="8" ht="14.25" customHeight="1">
      <c r="A8" s="47"/>
      <c r="B8" s="37">
        <v>1059.0</v>
      </c>
      <c r="C8" s="21" t="s">
        <v>263</v>
      </c>
      <c r="D8" s="21" t="s">
        <v>456</v>
      </c>
      <c r="E8" s="21" t="s">
        <v>472</v>
      </c>
      <c r="F8" s="21" t="s">
        <v>473</v>
      </c>
      <c r="G8" s="36" t="s">
        <v>474</v>
      </c>
      <c r="H8" s="21" t="s">
        <v>475</v>
      </c>
      <c r="I8" s="144" t="s">
        <v>475</v>
      </c>
      <c r="J8" s="36" t="b">
        <v>1</v>
      </c>
      <c r="K8" s="119">
        <v>0.0020880148458366</v>
      </c>
      <c r="L8" s="65">
        <v>0.0012896782911852</v>
      </c>
      <c r="M8" s="65">
        <v>7.741505492111E-4</v>
      </c>
      <c r="N8" s="65">
        <v>6.086334163386E-4</v>
      </c>
      <c r="O8" s="66">
        <v>3.896174735644E-4</v>
      </c>
      <c r="P8" s="65">
        <v>4.537319452496E-4</v>
      </c>
      <c r="Q8" s="65">
        <v>0.992241219104255</v>
      </c>
      <c r="R8" s="65">
        <v>0.998746337987278</v>
      </c>
      <c r="S8" s="65">
        <v>0.0031281533804238</v>
      </c>
      <c r="T8" s="65">
        <v>0.0028763183125599</v>
      </c>
      <c r="U8" s="65">
        <v>0.996401544064728</v>
      </c>
      <c r="V8" s="65">
        <v>0.0</v>
      </c>
      <c r="W8" s="65">
        <v>0.0041183077499064</v>
      </c>
      <c r="X8" s="65">
        <v>0.0015009814109225</v>
      </c>
      <c r="Y8" s="37">
        <v>0.0</v>
      </c>
      <c r="Z8" s="21">
        <v>3.0</v>
      </c>
      <c r="AA8" s="36">
        <v>0.0</v>
      </c>
    </row>
    <row r="9" ht="14.25" customHeight="1">
      <c r="A9" s="47"/>
      <c r="B9" s="37">
        <v>1498.0</v>
      </c>
      <c r="C9" s="21" t="s">
        <v>263</v>
      </c>
      <c r="D9" s="21" t="s">
        <v>456</v>
      </c>
      <c r="E9" s="21" t="s">
        <v>476</v>
      </c>
      <c r="F9" s="21" t="s">
        <v>477</v>
      </c>
      <c r="G9" s="36" t="s">
        <v>478</v>
      </c>
      <c r="H9" s="21" t="s">
        <v>479</v>
      </c>
      <c r="I9" s="144" t="s">
        <v>479</v>
      </c>
      <c r="J9" s="36" t="b">
        <v>0</v>
      </c>
      <c r="K9" s="119">
        <v>1.008992862658E-4</v>
      </c>
      <c r="L9" s="65">
        <v>3.004316208431E-4</v>
      </c>
      <c r="M9" s="65">
        <v>2.622734998341E-4</v>
      </c>
      <c r="N9" s="65">
        <v>2.891206371765E-4</v>
      </c>
      <c r="O9" s="66">
        <v>1.646155052128E-4</v>
      </c>
      <c r="P9" s="65">
        <v>1.010534825556E-4</v>
      </c>
      <c r="Q9" s="65">
        <v>9.044526901669E-4</v>
      </c>
      <c r="R9" s="65">
        <v>1.195711381843E-4</v>
      </c>
      <c r="S9" s="65">
        <v>0.992197926290935</v>
      </c>
      <c r="T9" s="65">
        <v>6.90448791714E-5</v>
      </c>
      <c r="U9" s="65">
        <v>2.19226131754E-5</v>
      </c>
      <c r="V9" s="65">
        <v>0.0</v>
      </c>
      <c r="W9" s="65">
        <v>8.458646616541E-4</v>
      </c>
      <c r="X9" s="65">
        <v>5.83873416243E-5</v>
      </c>
      <c r="Y9" s="37">
        <v>0.0</v>
      </c>
      <c r="Z9" s="21">
        <v>1.0</v>
      </c>
      <c r="AA9" s="36">
        <v>0.0</v>
      </c>
    </row>
    <row r="10" ht="14.25" customHeight="1">
      <c r="A10" s="47"/>
      <c r="B10" s="37">
        <v>1807.0</v>
      </c>
      <c r="C10" s="21" t="s">
        <v>262</v>
      </c>
      <c r="D10" s="21" t="s">
        <v>261</v>
      </c>
      <c r="E10" s="21" t="s">
        <v>480</v>
      </c>
      <c r="F10" s="21" t="s">
        <v>481</v>
      </c>
      <c r="G10" s="36" t="s">
        <v>482</v>
      </c>
      <c r="H10" s="21" t="s">
        <v>483</v>
      </c>
      <c r="I10" s="144" t="s">
        <v>483</v>
      </c>
      <c r="J10" s="36" t="b">
        <v>0</v>
      </c>
      <c r="K10" s="119">
        <v>3.31756497536E-5</v>
      </c>
      <c r="L10" s="65">
        <v>2.12482710617E-5</v>
      </c>
      <c r="M10" s="65">
        <v>1.27229053008E-5</v>
      </c>
      <c r="N10" s="65">
        <v>2.05814979705E-5</v>
      </c>
      <c r="O10" s="66">
        <v>1.92489076244E-5</v>
      </c>
      <c r="P10" s="65">
        <v>0.0</v>
      </c>
      <c r="Q10" s="65">
        <v>1.150906914648E-4</v>
      </c>
      <c r="R10" s="65">
        <v>0.0</v>
      </c>
      <c r="S10" s="65">
        <v>0.992263706693575</v>
      </c>
      <c r="T10" s="65">
        <v>0.0</v>
      </c>
      <c r="U10" s="65">
        <v>0.0</v>
      </c>
      <c r="V10" s="65">
        <v>0.0</v>
      </c>
      <c r="W10" s="65">
        <v>0.0</v>
      </c>
      <c r="X10" s="65">
        <v>0.0</v>
      </c>
      <c r="Y10" s="37">
        <v>0.0</v>
      </c>
      <c r="Z10" s="21">
        <v>1.0</v>
      </c>
      <c r="AA10" s="36">
        <v>0.0</v>
      </c>
    </row>
    <row r="11" ht="14.25" customHeight="1">
      <c r="A11" s="47"/>
      <c r="B11" s="37">
        <v>2334.0</v>
      </c>
      <c r="C11" s="21" t="s">
        <v>263</v>
      </c>
      <c r="D11" s="21" t="s">
        <v>456</v>
      </c>
      <c r="E11" s="21" t="s">
        <v>465</v>
      </c>
      <c r="F11" s="21" t="s">
        <v>484</v>
      </c>
      <c r="G11" s="36" t="s">
        <v>485</v>
      </c>
      <c r="H11" s="21" t="s">
        <v>486</v>
      </c>
      <c r="I11" s="144" t="s">
        <v>486</v>
      </c>
      <c r="J11" s="36" t="b">
        <v>1</v>
      </c>
      <c r="K11" s="119">
        <v>0.0043005925583276</v>
      </c>
      <c r="L11" s="65">
        <v>0.0013637114402816</v>
      </c>
      <c r="M11" s="65">
        <v>0.0029253192312653</v>
      </c>
      <c r="N11" s="65">
        <v>9.892044376572E-4</v>
      </c>
      <c r="O11" s="66">
        <v>0.0012554127604015</v>
      </c>
      <c r="P11" s="65">
        <v>0.997239371580585</v>
      </c>
      <c r="Q11" s="65">
        <v>9.580334610711E-4</v>
      </c>
      <c r="R11" s="65">
        <v>0.0014074595355383</v>
      </c>
      <c r="S11" s="65">
        <v>6.103763987792E-4</v>
      </c>
      <c r="T11" s="65">
        <v>0.0023259728534484</v>
      </c>
      <c r="U11" s="65">
        <v>8.319103288235E-4</v>
      </c>
      <c r="V11" s="65">
        <v>0.0054506780111672</v>
      </c>
      <c r="W11" s="65">
        <v>0.0026325686348251</v>
      </c>
      <c r="X11" s="65">
        <v>9.31261276992E-4</v>
      </c>
      <c r="Y11" s="37">
        <v>0.0</v>
      </c>
      <c r="Z11" s="21">
        <v>0.0</v>
      </c>
      <c r="AA11" s="36">
        <v>1.0</v>
      </c>
    </row>
    <row r="12" ht="14.25" customHeight="1">
      <c r="A12" s="47"/>
      <c r="B12" s="37">
        <v>2395.0</v>
      </c>
      <c r="C12" s="21" t="s">
        <v>263</v>
      </c>
      <c r="D12" s="21" t="s">
        <v>456</v>
      </c>
      <c r="E12" s="21" t="s">
        <v>487</v>
      </c>
      <c r="F12" s="21" t="s">
        <v>484</v>
      </c>
      <c r="G12" s="36" t="s">
        <v>488</v>
      </c>
      <c r="H12" s="21" t="s">
        <v>489</v>
      </c>
      <c r="I12" s="144" t="s">
        <v>489</v>
      </c>
      <c r="J12" s="36" t="b">
        <v>0</v>
      </c>
      <c r="K12" s="119">
        <v>0.0011398192523503</v>
      </c>
      <c r="L12" s="65">
        <v>0.0030706735231587</v>
      </c>
      <c r="M12" s="65">
        <v>4.582526671335E-4</v>
      </c>
      <c r="N12" s="65">
        <v>2.513597193719E-4</v>
      </c>
      <c r="O12" s="66">
        <v>4.866499557766E-4</v>
      </c>
      <c r="P12" s="65">
        <v>0.0084210526315789</v>
      </c>
      <c r="Q12" s="65">
        <v>2.566435687454E-4</v>
      </c>
      <c r="R12" s="65">
        <v>0.680776342569805</v>
      </c>
      <c r="S12" s="65">
        <v>2.029838627829E-4</v>
      </c>
      <c r="T12" s="65">
        <v>4.207595091649E-4</v>
      </c>
      <c r="U12" s="65">
        <v>1.312623058411E-4</v>
      </c>
      <c r="V12" s="65">
        <v>5.348308597406E-4</v>
      </c>
      <c r="W12" s="65">
        <v>6.582040432534E-4</v>
      </c>
      <c r="X12" s="65">
        <v>1.163737926219E-4</v>
      </c>
      <c r="Y12" s="37">
        <v>0.0</v>
      </c>
      <c r="Z12" s="21">
        <v>1.0</v>
      </c>
      <c r="AA12" s="36">
        <v>0.0</v>
      </c>
    </row>
    <row r="13" ht="14.25" customHeight="1">
      <c r="A13" s="47"/>
      <c r="B13" s="37">
        <v>2597.0</v>
      </c>
      <c r="C13" s="21" t="s">
        <v>456</v>
      </c>
      <c r="D13" s="21" t="s">
        <v>263</v>
      </c>
      <c r="E13" s="21" t="s">
        <v>490</v>
      </c>
      <c r="F13" s="21" t="s">
        <v>491</v>
      </c>
      <c r="G13" s="36" t="s">
        <v>492</v>
      </c>
      <c r="H13" s="21" t="s">
        <v>493</v>
      </c>
      <c r="I13" s="144" t="s">
        <v>493</v>
      </c>
      <c r="J13" s="36" t="b">
        <v>0</v>
      </c>
      <c r="K13" s="119">
        <v>3.88425272156E-5</v>
      </c>
      <c r="L13" s="65">
        <v>1.99348267085E-5</v>
      </c>
      <c r="M13" s="65">
        <v>6.90680166479E-5</v>
      </c>
      <c r="N13" s="65">
        <v>3.40767908089E-5</v>
      </c>
      <c r="O13" s="66">
        <v>1.000046155976E-4</v>
      </c>
      <c r="P13" s="65">
        <v>2.49993750156E-5</v>
      </c>
      <c r="Q13" s="65">
        <v>2.41680160475E-5</v>
      </c>
      <c r="R13" s="65">
        <v>0.674568701406571</v>
      </c>
      <c r="S13" s="65">
        <v>0.0</v>
      </c>
      <c r="T13" s="65">
        <v>7.79806140193E-5</v>
      </c>
      <c r="U13" s="65">
        <v>1.110025752597E-4</v>
      </c>
      <c r="V13" s="65">
        <v>0.0</v>
      </c>
      <c r="W13" s="65">
        <v>9.51565324959E-5</v>
      </c>
      <c r="X13" s="65">
        <v>0.0</v>
      </c>
      <c r="Y13" s="37">
        <v>0.0</v>
      </c>
      <c r="Z13" s="21">
        <v>1.0</v>
      </c>
      <c r="AA13" s="36">
        <v>0.0</v>
      </c>
    </row>
    <row r="14" ht="14.25" customHeight="1">
      <c r="A14" s="47"/>
      <c r="B14" s="37">
        <v>2659.0</v>
      </c>
      <c r="C14" s="21" t="s">
        <v>261</v>
      </c>
      <c r="D14" s="21" t="s">
        <v>262</v>
      </c>
      <c r="E14" s="21" t="s">
        <v>494</v>
      </c>
      <c r="F14" s="21" t="s">
        <v>452</v>
      </c>
      <c r="G14" s="36" t="s">
        <v>495</v>
      </c>
      <c r="H14" s="21" t="s">
        <v>496</v>
      </c>
      <c r="I14" s="144" t="s">
        <v>496</v>
      </c>
      <c r="J14" s="36" t="b">
        <v>0</v>
      </c>
      <c r="K14" s="119">
        <v>9.90742160644E-5</v>
      </c>
      <c r="L14" s="65">
        <v>1.924158751462E-4</v>
      </c>
      <c r="M14" s="65">
        <v>9.23996180815E-5</v>
      </c>
      <c r="N14" s="65">
        <v>6.066910282E-5</v>
      </c>
      <c r="O14" s="66">
        <v>8.66995073891E-5</v>
      </c>
      <c r="P14" s="65">
        <v>1.007886713533E-4</v>
      </c>
      <c r="Q14" s="65">
        <v>2.40344172855E-5</v>
      </c>
      <c r="R14" s="65">
        <v>4.03833728192E-5</v>
      </c>
      <c r="S14" s="65">
        <v>0.991133827057473</v>
      </c>
      <c r="T14" s="65">
        <v>8.55671546587E-5</v>
      </c>
      <c r="U14" s="65">
        <v>2.21503566207E-5</v>
      </c>
      <c r="V14" s="65">
        <v>6.717721348918E-4</v>
      </c>
      <c r="W14" s="65">
        <v>0.0</v>
      </c>
      <c r="X14" s="65">
        <v>0.0</v>
      </c>
      <c r="Y14" s="37">
        <v>0.0</v>
      </c>
      <c r="Z14" s="21">
        <v>1.0</v>
      </c>
      <c r="AA14" s="36">
        <v>0.0</v>
      </c>
    </row>
    <row r="15" ht="14.25" customHeight="1">
      <c r="A15" s="146"/>
      <c r="B15" s="42">
        <v>2692.0</v>
      </c>
      <c r="C15" s="40" t="s">
        <v>262</v>
      </c>
      <c r="D15" s="40" t="s">
        <v>456</v>
      </c>
      <c r="E15" s="40" t="s">
        <v>497</v>
      </c>
      <c r="F15" s="40" t="s">
        <v>498</v>
      </c>
      <c r="G15" s="39" t="s">
        <v>499</v>
      </c>
      <c r="H15" s="40" t="s">
        <v>500</v>
      </c>
      <c r="I15" s="147" t="s">
        <v>500</v>
      </c>
      <c r="J15" s="39" t="b">
        <v>0</v>
      </c>
      <c r="K15" s="120">
        <v>2.50488019762E-5</v>
      </c>
      <c r="L15" s="112">
        <v>4.47070586999E-5</v>
      </c>
      <c r="M15" s="112">
        <v>0.0</v>
      </c>
      <c r="N15" s="112">
        <v>2.263735743071E-4</v>
      </c>
      <c r="O15" s="87">
        <v>0.0</v>
      </c>
      <c r="P15" s="112">
        <v>0.0</v>
      </c>
      <c r="Q15" s="112">
        <v>0.69351916712964</v>
      </c>
      <c r="R15" s="112">
        <v>1.37147872836E-5</v>
      </c>
      <c r="S15" s="112">
        <v>7.259904584111E-4</v>
      </c>
      <c r="T15" s="112">
        <v>2.34257871064E-5</v>
      </c>
      <c r="U15" s="112">
        <v>0.0</v>
      </c>
      <c r="V15" s="112">
        <v>0.0</v>
      </c>
      <c r="W15" s="112">
        <v>0.0</v>
      </c>
      <c r="X15" s="112">
        <v>6.12857755714E-5</v>
      </c>
      <c r="Y15" s="42">
        <v>0.0</v>
      </c>
      <c r="Z15" s="40">
        <v>1.0</v>
      </c>
      <c r="AA15" s="39">
        <v>0.0</v>
      </c>
    </row>
    <row r="16" ht="14.25" customHeight="1">
      <c r="A16" s="47" t="s">
        <v>269</v>
      </c>
      <c r="B16" s="37">
        <v>2749.0</v>
      </c>
      <c r="C16" s="21" t="s">
        <v>263</v>
      </c>
      <c r="D16" s="21" t="s">
        <v>456</v>
      </c>
      <c r="E16" s="21" t="s">
        <v>462</v>
      </c>
      <c r="F16" s="21" t="s">
        <v>461</v>
      </c>
      <c r="G16" s="36" t="s">
        <v>501</v>
      </c>
      <c r="H16" s="21" t="s">
        <v>502</v>
      </c>
      <c r="I16" s="144" t="s">
        <v>502</v>
      </c>
      <c r="J16" s="36" t="b">
        <v>0</v>
      </c>
      <c r="K16" s="119">
        <v>1.554336207263E-4</v>
      </c>
      <c r="L16" s="65">
        <v>0.0012260984532138</v>
      </c>
      <c r="M16" s="65">
        <v>1.335820013666E-4</v>
      </c>
      <c r="N16" s="65">
        <v>2.857102174059E-4</v>
      </c>
      <c r="O16" s="66">
        <v>2.851812683436E-4</v>
      </c>
      <c r="P16" s="65">
        <v>1.008929021843E-4</v>
      </c>
      <c r="Q16" s="65">
        <v>0.0051243805032959</v>
      </c>
      <c r="R16" s="65">
        <v>0.0012390867788016</v>
      </c>
      <c r="S16" s="65">
        <v>0.0</v>
      </c>
      <c r="T16" s="65">
        <v>0.988541551661593</v>
      </c>
      <c r="U16" s="65">
        <v>2.491280518186E-4</v>
      </c>
      <c r="V16" s="65">
        <v>0.0</v>
      </c>
      <c r="W16" s="65">
        <v>4.784688995215E-4</v>
      </c>
      <c r="X16" s="65">
        <v>6.252735571812E-4</v>
      </c>
      <c r="Y16" s="37">
        <v>0.0</v>
      </c>
      <c r="Z16" s="21">
        <v>1.0</v>
      </c>
      <c r="AA16" s="36">
        <v>0.0</v>
      </c>
    </row>
    <row r="17" ht="14.25" customHeight="1">
      <c r="A17" s="47"/>
      <c r="B17" s="37">
        <v>2790.0</v>
      </c>
      <c r="C17" s="21" t="s">
        <v>263</v>
      </c>
      <c r="D17" s="21" t="s">
        <v>456</v>
      </c>
      <c r="E17" s="21" t="s">
        <v>498</v>
      </c>
      <c r="F17" s="21" t="s">
        <v>503</v>
      </c>
      <c r="G17" s="36" t="s">
        <v>504</v>
      </c>
      <c r="H17" s="21" t="s">
        <v>505</v>
      </c>
      <c r="I17" s="144" t="s">
        <v>505</v>
      </c>
      <c r="J17" s="36" t="b">
        <v>1</v>
      </c>
      <c r="K17" s="119">
        <v>2.87528267137E-4</v>
      </c>
      <c r="L17" s="65">
        <v>2.454031618522E-4</v>
      </c>
      <c r="M17" s="65">
        <v>0.995709612578273</v>
      </c>
      <c r="N17" s="65">
        <v>0.610700920040064</v>
      </c>
      <c r="O17" s="66">
        <v>0.997177709061895</v>
      </c>
      <c r="P17" s="65">
        <v>0.984240434398282</v>
      </c>
      <c r="Q17" s="65">
        <v>9.62139798912E-5</v>
      </c>
      <c r="R17" s="65">
        <v>2.448213484215E-4</v>
      </c>
      <c r="S17" s="65">
        <v>0.0018658650357624</v>
      </c>
      <c r="T17" s="65">
        <v>0.0010985243934742</v>
      </c>
      <c r="U17" s="65">
        <v>5.334993108967E-4</v>
      </c>
      <c r="V17" s="65">
        <v>1.344266702513E-4</v>
      </c>
      <c r="W17" s="65">
        <v>0.0</v>
      </c>
      <c r="X17" s="65">
        <v>1.222792858889E-4</v>
      </c>
      <c r="Y17" s="37">
        <v>3.0</v>
      </c>
      <c r="Z17" s="21">
        <v>0.0</v>
      </c>
      <c r="AA17" s="36">
        <v>4.0</v>
      </c>
    </row>
    <row r="18" ht="14.25" customHeight="1">
      <c r="A18" s="47"/>
      <c r="B18" s="37">
        <v>2832.0</v>
      </c>
      <c r="C18" s="21" t="s">
        <v>262</v>
      </c>
      <c r="D18" s="21" t="s">
        <v>261</v>
      </c>
      <c r="E18" s="21" t="s">
        <v>494</v>
      </c>
      <c r="F18" s="21" t="s">
        <v>458</v>
      </c>
      <c r="G18" s="36" t="s">
        <v>506</v>
      </c>
      <c r="H18" s="21" t="s">
        <v>507</v>
      </c>
      <c r="I18" s="144" t="s">
        <v>507</v>
      </c>
      <c r="J18" s="36" t="b">
        <v>1</v>
      </c>
      <c r="K18" s="119">
        <v>4.0550975596E-5</v>
      </c>
      <c r="L18" s="65">
        <v>3.707749649484E-4</v>
      </c>
      <c r="M18" s="65">
        <v>4.41566470039E-5</v>
      </c>
      <c r="N18" s="65">
        <v>0.380089129620379</v>
      </c>
      <c r="O18" s="66">
        <v>2.00293229287E-5</v>
      </c>
      <c r="P18" s="65">
        <v>2.54439977609E-5</v>
      </c>
      <c r="Q18" s="65">
        <v>4.78984552748E-5</v>
      </c>
      <c r="R18" s="65">
        <v>0.0</v>
      </c>
      <c r="S18" s="65">
        <v>0.0</v>
      </c>
      <c r="T18" s="65">
        <v>4.67275162767E-5</v>
      </c>
      <c r="U18" s="65">
        <v>4.44562994576E-5</v>
      </c>
      <c r="V18" s="65">
        <v>0.0014660802345728</v>
      </c>
      <c r="W18" s="65">
        <v>0.0</v>
      </c>
      <c r="X18" s="65">
        <v>0.0</v>
      </c>
      <c r="Y18" s="37">
        <v>1.0</v>
      </c>
      <c r="Z18" s="21">
        <v>0.0</v>
      </c>
      <c r="AA18" s="36">
        <v>1.0</v>
      </c>
    </row>
    <row r="19" ht="14.25" customHeight="1">
      <c r="A19" s="47"/>
      <c r="B19" s="37">
        <v>3037.0</v>
      </c>
      <c r="C19" s="21" t="s">
        <v>263</v>
      </c>
      <c r="D19" s="21" t="s">
        <v>456</v>
      </c>
      <c r="E19" s="21" t="s">
        <v>476</v>
      </c>
      <c r="F19" s="21" t="s">
        <v>477</v>
      </c>
      <c r="G19" s="36" t="s">
        <v>508</v>
      </c>
      <c r="H19" s="21" t="s">
        <v>509</v>
      </c>
      <c r="I19" s="144" t="s">
        <v>509</v>
      </c>
      <c r="J19" s="36" t="b">
        <v>0</v>
      </c>
      <c r="K19" s="119">
        <v>0.999295660229216</v>
      </c>
      <c r="L19" s="65">
        <v>0.9972183915409</v>
      </c>
      <c r="M19" s="65">
        <v>0.999102594826663</v>
      </c>
      <c r="N19" s="65">
        <v>0.998816649405295</v>
      </c>
      <c r="O19" s="66">
        <v>0.999230588715044</v>
      </c>
      <c r="P19" s="65">
        <v>0.99833358582033</v>
      </c>
      <c r="Q19" s="65">
        <v>0.998263486918268</v>
      </c>
      <c r="R19" s="65">
        <v>0.998994669100625</v>
      </c>
      <c r="S19" s="65">
        <v>0.998683277625848</v>
      </c>
      <c r="T19" s="65">
        <v>0.997172385409203</v>
      </c>
      <c r="U19" s="65">
        <v>0.998779264943105</v>
      </c>
      <c r="V19" s="65">
        <v>0.999341238471673</v>
      </c>
      <c r="W19" s="65">
        <v>0.998969265367316</v>
      </c>
      <c r="X19" s="65">
        <v>0.998118089861209</v>
      </c>
      <c r="Y19" s="37">
        <v>5.0</v>
      </c>
      <c r="Z19" s="21">
        <v>8.0</v>
      </c>
      <c r="AA19" s="36">
        <v>4.0</v>
      </c>
    </row>
    <row r="20" ht="14.25" customHeight="1">
      <c r="A20" s="47"/>
      <c r="B20" s="37">
        <v>3267.0</v>
      </c>
      <c r="C20" s="21" t="s">
        <v>263</v>
      </c>
      <c r="D20" s="21" t="s">
        <v>456</v>
      </c>
      <c r="E20" s="21" t="s">
        <v>498</v>
      </c>
      <c r="F20" s="21" t="s">
        <v>503</v>
      </c>
      <c r="G20" s="36" t="s">
        <v>510</v>
      </c>
      <c r="H20" s="21" t="s">
        <v>511</v>
      </c>
      <c r="I20" s="144" t="s">
        <v>511</v>
      </c>
      <c r="J20" s="36" t="b">
        <v>1</v>
      </c>
      <c r="K20" s="119">
        <v>0.997787350895012</v>
      </c>
      <c r="L20" s="65">
        <v>9.856685712343E-4</v>
      </c>
      <c r="M20" s="65">
        <v>0.0013351100828838</v>
      </c>
      <c r="N20" s="65">
        <v>5.712456534488E-4</v>
      </c>
      <c r="O20" s="66">
        <v>7.546356188012E-4</v>
      </c>
      <c r="P20" s="65">
        <v>5.766578914378E-4</v>
      </c>
      <c r="Q20" s="65">
        <v>0.0011943589508015</v>
      </c>
      <c r="R20" s="65">
        <v>9.232757824762E-4</v>
      </c>
      <c r="S20" s="65">
        <v>0.0272800483189047</v>
      </c>
      <c r="T20" s="65">
        <v>8.451025924093E-4</v>
      </c>
      <c r="U20" s="65">
        <v>0.0016121301904056</v>
      </c>
      <c r="V20" s="65">
        <v>0.001833660772757</v>
      </c>
      <c r="W20" s="65">
        <v>0.0169618592446818</v>
      </c>
      <c r="X20" s="65">
        <v>8.661008141347E-4</v>
      </c>
      <c r="Y20" s="37">
        <v>1.0</v>
      </c>
      <c r="Z20" s="21">
        <v>0.0</v>
      </c>
      <c r="AA20" s="36">
        <v>0.0</v>
      </c>
    </row>
    <row r="21" ht="14.25" customHeight="1">
      <c r="A21" s="47"/>
      <c r="B21" s="37">
        <v>3428.0</v>
      </c>
      <c r="C21" s="21" t="s">
        <v>262</v>
      </c>
      <c r="D21" s="21" t="s">
        <v>261</v>
      </c>
      <c r="E21" s="21" t="s">
        <v>497</v>
      </c>
      <c r="F21" s="21" t="s">
        <v>512</v>
      </c>
      <c r="G21" s="36" t="s">
        <v>513</v>
      </c>
      <c r="H21" s="21" t="s">
        <v>514</v>
      </c>
      <c r="I21" s="144" t="s">
        <v>514</v>
      </c>
      <c r="J21" s="36" t="b">
        <v>1</v>
      </c>
      <c r="K21" s="119">
        <v>8.07429026988E-5</v>
      </c>
      <c r="L21" s="65">
        <v>1.17732003535E-4</v>
      </c>
      <c r="M21" s="65">
        <v>4.58577695799E-5</v>
      </c>
      <c r="N21" s="65">
        <v>7.52202764391E-5</v>
      </c>
      <c r="O21" s="66">
        <v>4.4047394997E-5</v>
      </c>
      <c r="P21" s="65">
        <v>2.50896956619E-5</v>
      </c>
      <c r="Q21" s="65">
        <v>9.18716552975E-5</v>
      </c>
      <c r="R21" s="65">
        <v>5.27697523779E-5</v>
      </c>
      <c r="S21" s="65">
        <v>0.0</v>
      </c>
      <c r="T21" s="65">
        <v>9.14153379701E-5</v>
      </c>
      <c r="U21" s="65">
        <v>2.17988403016E-5</v>
      </c>
      <c r="V21" s="65">
        <v>0.0</v>
      </c>
      <c r="W21" s="65">
        <v>8.432493207158E-4</v>
      </c>
      <c r="X21" s="65">
        <v>0.993711790393013</v>
      </c>
      <c r="Y21" s="37">
        <v>0.0</v>
      </c>
      <c r="Z21" s="21">
        <v>1.0</v>
      </c>
      <c r="AA21" s="36">
        <v>0.0</v>
      </c>
    </row>
    <row r="22" ht="14.25" customHeight="1">
      <c r="A22" s="47"/>
      <c r="B22" s="37">
        <v>3431.0</v>
      </c>
      <c r="C22" s="21" t="s">
        <v>261</v>
      </c>
      <c r="D22" s="21" t="s">
        <v>456</v>
      </c>
      <c r="E22" s="21" t="s">
        <v>515</v>
      </c>
      <c r="F22" s="21" t="s">
        <v>490</v>
      </c>
      <c r="G22" s="36" t="s">
        <v>516</v>
      </c>
      <c r="H22" s="21" t="s">
        <v>517</v>
      </c>
      <c r="I22" s="144" t="s">
        <v>517</v>
      </c>
      <c r="J22" s="36" t="b">
        <v>1</v>
      </c>
      <c r="K22" s="119">
        <v>4.785079391521E-4</v>
      </c>
      <c r="L22" s="65">
        <v>0.0012090464015119</v>
      </c>
      <c r="M22" s="65">
        <v>6.801265493894E-4</v>
      </c>
      <c r="N22" s="65">
        <v>4.13552359505E-4</v>
      </c>
      <c r="O22" s="66">
        <v>0.998109155141612</v>
      </c>
      <c r="P22" s="65">
        <v>7.525020693806E-4</v>
      </c>
      <c r="Q22" s="65">
        <v>2.297002411852E-4</v>
      </c>
      <c r="R22" s="65">
        <v>0.0010818370120189</v>
      </c>
      <c r="S22" s="65">
        <v>3.019627579265E-4</v>
      </c>
      <c r="T22" s="65">
        <v>0.0011502132845825</v>
      </c>
      <c r="U22" s="65">
        <v>3.051904170209E-4</v>
      </c>
      <c r="V22" s="65">
        <v>3.928244074898E-4</v>
      </c>
      <c r="W22" s="65">
        <v>0.0011244377811094</v>
      </c>
      <c r="X22" s="65">
        <v>0.0010971243792585</v>
      </c>
      <c r="Y22" s="37">
        <v>1.0</v>
      </c>
      <c r="Z22" s="21">
        <v>0.0</v>
      </c>
      <c r="AA22" s="36">
        <v>1.0</v>
      </c>
    </row>
    <row r="23" ht="14.25" customHeight="1">
      <c r="A23" s="47"/>
      <c r="B23" s="37">
        <v>3457.0</v>
      </c>
      <c r="C23" s="21" t="s">
        <v>263</v>
      </c>
      <c r="D23" s="21" t="s">
        <v>456</v>
      </c>
      <c r="E23" s="21" t="s">
        <v>518</v>
      </c>
      <c r="F23" s="21" t="s">
        <v>519</v>
      </c>
      <c r="G23" s="36" t="s">
        <v>520</v>
      </c>
      <c r="H23" s="21" t="s">
        <v>521</v>
      </c>
      <c r="I23" s="144" t="s">
        <v>521</v>
      </c>
      <c r="J23" s="36" t="b">
        <v>0</v>
      </c>
      <c r="K23" s="119">
        <v>1.147523983251E-4</v>
      </c>
      <c r="L23" s="65">
        <v>2.044474812405E-4</v>
      </c>
      <c r="M23" s="65">
        <v>1.987180140427E-4</v>
      </c>
      <c r="N23" s="65">
        <v>1.175826240512E-4</v>
      </c>
      <c r="O23" s="66">
        <v>3.050138660908E-4</v>
      </c>
      <c r="P23" s="65">
        <v>1.003864879787E-4</v>
      </c>
      <c r="Q23" s="65">
        <v>6.65870683321E-4</v>
      </c>
      <c r="R23" s="65">
        <v>3.95642655553E-5</v>
      </c>
      <c r="S23" s="65">
        <v>0.0</v>
      </c>
      <c r="T23" s="65">
        <v>9.13680074921E-5</v>
      </c>
      <c r="U23" s="65">
        <v>2.17898154402E-5</v>
      </c>
      <c r="V23" s="65">
        <v>0.989427778511959</v>
      </c>
      <c r="W23" s="65">
        <v>0.0</v>
      </c>
      <c r="X23" s="65">
        <v>5.77233895174E-5</v>
      </c>
      <c r="Y23" s="37">
        <v>0.0</v>
      </c>
      <c r="Z23" s="21">
        <v>1.0</v>
      </c>
      <c r="AA23" s="36">
        <v>0.0</v>
      </c>
    </row>
    <row r="24" ht="14.25" customHeight="1">
      <c r="A24" s="47"/>
      <c r="B24" s="37">
        <v>3565.0</v>
      </c>
      <c r="C24" s="21" t="s">
        <v>456</v>
      </c>
      <c r="D24" s="21" t="s">
        <v>263</v>
      </c>
      <c r="E24" s="21" t="s">
        <v>522</v>
      </c>
      <c r="F24" s="21" t="s">
        <v>523</v>
      </c>
      <c r="G24" s="36" t="s">
        <v>524</v>
      </c>
      <c r="H24" s="21" t="s">
        <v>525</v>
      </c>
      <c r="I24" s="144" t="s">
        <v>525</v>
      </c>
      <c r="J24" s="36" t="b">
        <v>0</v>
      </c>
      <c r="K24" s="119">
        <v>1.7103694569E-6</v>
      </c>
      <c r="L24" s="65">
        <v>7.72480244887E-5</v>
      </c>
      <c r="M24" s="65">
        <v>5.10303017932E-5</v>
      </c>
      <c r="N24" s="65">
        <v>1.12768621034E-5</v>
      </c>
      <c r="O24" s="66">
        <v>0.910772574666692</v>
      </c>
      <c r="P24" s="65">
        <v>3.25406758448E-4</v>
      </c>
      <c r="Q24" s="65">
        <v>0.0</v>
      </c>
      <c r="R24" s="65">
        <v>0.0</v>
      </c>
      <c r="S24" s="65">
        <v>0.0</v>
      </c>
      <c r="T24" s="65">
        <v>1.86164271353E-5</v>
      </c>
      <c r="U24" s="65">
        <v>0.0</v>
      </c>
      <c r="V24" s="65">
        <v>0.0</v>
      </c>
      <c r="W24" s="65">
        <v>0.0</v>
      </c>
      <c r="X24" s="65">
        <v>1.177232326799E-4</v>
      </c>
      <c r="Y24" s="37">
        <v>1.0</v>
      </c>
      <c r="Z24" s="21">
        <v>0.0</v>
      </c>
      <c r="AA24" s="36">
        <v>1.0</v>
      </c>
    </row>
    <row r="25" ht="14.25" customHeight="1">
      <c r="A25" s="47"/>
      <c r="B25" s="37">
        <v>3828.0</v>
      </c>
      <c r="C25" s="21" t="s">
        <v>263</v>
      </c>
      <c r="D25" s="21" t="s">
        <v>456</v>
      </c>
      <c r="E25" s="21" t="s">
        <v>526</v>
      </c>
      <c r="F25" s="21" t="s">
        <v>527</v>
      </c>
      <c r="G25" s="36" t="s">
        <v>528</v>
      </c>
      <c r="H25" s="21" t="s">
        <v>529</v>
      </c>
      <c r="I25" s="144" t="s">
        <v>529</v>
      </c>
      <c r="J25" s="36" t="b">
        <v>1</v>
      </c>
      <c r="K25" s="119">
        <v>0.0011766573034666</v>
      </c>
      <c r="L25" s="65">
        <v>0.0019109774814362</v>
      </c>
      <c r="M25" s="65">
        <v>8.612169618237E-4</v>
      </c>
      <c r="N25" s="65">
        <v>6.2511104049E-4</v>
      </c>
      <c r="O25" s="66">
        <v>9.620342792054E-4</v>
      </c>
      <c r="P25" s="65">
        <v>5.996701814002E-4</v>
      </c>
      <c r="Q25" s="65">
        <v>8.540103866128E-4</v>
      </c>
      <c r="R25" s="65">
        <v>7.700171262429E-4</v>
      </c>
      <c r="S25" s="65">
        <v>0.0010094891984655</v>
      </c>
      <c r="T25" s="65">
        <v>0.991916779040647</v>
      </c>
      <c r="U25" s="65">
        <v>0.0020605449483767</v>
      </c>
      <c r="V25" s="65">
        <v>5.252790544977E-4</v>
      </c>
      <c r="W25" s="65">
        <v>0.0019788918205804</v>
      </c>
      <c r="X25" s="65">
        <v>0.0011879306248515</v>
      </c>
      <c r="Y25" s="37">
        <v>0.0</v>
      </c>
      <c r="Z25" s="21">
        <v>1.0</v>
      </c>
      <c r="AA25" s="36">
        <v>0.0</v>
      </c>
    </row>
    <row r="26" ht="14.25" customHeight="1">
      <c r="A26" s="47"/>
      <c r="B26" s="37">
        <v>4002.0</v>
      </c>
      <c r="C26" s="21" t="s">
        <v>263</v>
      </c>
      <c r="D26" s="21" t="s">
        <v>456</v>
      </c>
      <c r="E26" s="21" t="s">
        <v>498</v>
      </c>
      <c r="F26" s="21" t="s">
        <v>503</v>
      </c>
      <c r="G26" s="36" t="s">
        <v>530</v>
      </c>
      <c r="H26" s="21" t="s">
        <v>531</v>
      </c>
      <c r="I26" s="144" t="s">
        <v>531</v>
      </c>
      <c r="J26" s="36" t="b">
        <v>1</v>
      </c>
      <c r="K26" s="119">
        <v>5.971959981887E-4</v>
      </c>
      <c r="L26" s="65">
        <v>4.900882248977E-4</v>
      </c>
      <c r="M26" s="65">
        <v>3.27615116729E-4</v>
      </c>
      <c r="N26" s="65">
        <v>3.209124517149E-4</v>
      </c>
      <c r="O26" s="66">
        <v>3.782177453591E-4</v>
      </c>
      <c r="P26" s="65">
        <v>0.0010007004903432</v>
      </c>
      <c r="Q26" s="65">
        <v>0.0013670381612178</v>
      </c>
      <c r="R26" s="65">
        <v>6.225990197377E-4</v>
      </c>
      <c r="S26" s="65">
        <v>0.0064777327935222</v>
      </c>
      <c r="T26" s="65">
        <v>3.67827366356E-4</v>
      </c>
      <c r="U26" s="65">
        <v>0.0013336831518649</v>
      </c>
      <c r="V26" s="65">
        <v>5.24109014675E-4</v>
      </c>
      <c r="W26" s="65">
        <v>0.996405599697313</v>
      </c>
      <c r="X26" s="65">
        <v>1.1840625185E-4</v>
      </c>
      <c r="Y26" s="37">
        <v>0.0</v>
      </c>
      <c r="Z26" s="21">
        <v>1.0</v>
      </c>
      <c r="AA26" s="36">
        <v>0.0</v>
      </c>
    </row>
    <row r="27" ht="14.25" customHeight="1">
      <c r="A27" s="47"/>
      <c r="B27" s="37">
        <v>4181.0</v>
      </c>
      <c r="C27" s="21" t="s">
        <v>261</v>
      </c>
      <c r="D27" s="21" t="s">
        <v>456</v>
      </c>
      <c r="E27" s="21" t="s">
        <v>465</v>
      </c>
      <c r="F27" s="21" t="s">
        <v>469</v>
      </c>
      <c r="G27" s="36" t="s">
        <v>532</v>
      </c>
      <c r="H27" s="21" t="s">
        <v>533</v>
      </c>
      <c r="I27" s="144" t="s">
        <v>533</v>
      </c>
      <c r="J27" s="36" t="b">
        <v>1</v>
      </c>
      <c r="K27" s="119">
        <v>1.027611321728E-4</v>
      </c>
      <c r="L27" s="65">
        <v>0.90019925305855</v>
      </c>
      <c r="M27" s="65">
        <v>1.681704330898E-4</v>
      </c>
      <c r="N27" s="65">
        <v>1.68623037507E-4</v>
      </c>
      <c r="O27" s="66">
        <v>3.84594675671E-5</v>
      </c>
      <c r="P27" s="65">
        <v>1.24975004999E-4</v>
      </c>
      <c r="Q27" s="65">
        <v>4.379292859447E-4</v>
      </c>
      <c r="R27" s="65">
        <v>1.187554429578E-4</v>
      </c>
      <c r="S27" s="65">
        <v>1.007759750075E-4</v>
      </c>
      <c r="T27" s="65">
        <v>2.509124087591E-4</v>
      </c>
      <c r="U27" s="65">
        <v>1.525918821118E-4</v>
      </c>
      <c r="V27" s="65">
        <v>3.92618767177E-4</v>
      </c>
      <c r="W27" s="65">
        <v>2.810831069052E-4</v>
      </c>
      <c r="X27" s="65">
        <v>0.001213381868608</v>
      </c>
      <c r="Y27" s="37">
        <v>1.0</v>
      </c>
      <c r="Z27" s="21">
        <v>0.0</v>
      </c>
      <c r="AA27" s="36">
        <v>0.0</v>
      </c>
    </row>
    <row r="28" ht="14.25" customHeight="1">
      <c r="A28" s="47"/>
      <c r="B28" s="37">
        <v>4184.0</v>
      </c>
      <c r="C28" s="21" t="s">
        <v>261</v>
      </c>
      <c r="D28" s="21" t="s">
        <v>262</v>
      </c>
      <c r="E28" s="21" t="s">
        <v>522</v>
      </c>
      <c r="F28" s="21" t="s">
        <v>457</v>
      </c>
      <c r="G28" s="36" t="s">
        <v>534</v>
      </c>
      <c r="H28" s="21" t="s">
        <v>535</v>
      </c>
      <c r="I28" s="144" t="s">
        <v>535</v>
      </c>
      <c r="J28" s="36" t="b">
        <v>1</v>
      </c>
      <c r="K28" s="119">
        <v>7.64320175419E-5</v>
      </c>
      <c r="L28" s="65">
        <v>1.866840815713E-4</v>
      </c>
      <c r="M28" s="65">
        <v>0.999331576382705</v>
      </c>
      <c r="N28" s="65">
        <v>0.611804091846154</v>
      </c>
      <c r="O28" s="66">
        <v>0.996739862589249</v>
      </c>
      <c r="P28" s="65">
        <v>0.995673485720002</v>
      </c>
      <c r="Q28" s="65">
        <v>2.30451916207E-5</v>
      </c>
      <c r="R28" s="65">
        <v>1.31955715661E-5</v>
      </c>
      <c r="S28" s="65">
        <v>0.0010075566750629</v>
      </c>
      <c r="T28" s="65">
        <v>1.064517355434E-4</v>
      </c>
      <c r="U28" s="65">
        <v>4.35967302452E-5</v>
      </c>
      <c r="V28" s="65">
        <v>1.307360439273E-4</v>
      </c>
      <c r="W28" s="65">
        <v>1.873360809291E-4</v>
      </c>
      <c r="X28" s="65">
        <v>0.0</v>
      </c>
      <c r="Y28" s="37">
        <v>3.0</v>
      </c>
      <c r="Z28" s="21">
        <v>0.0</v>
      </c>
      <c r="AA28" s="36">
        <v>4.0</v>
      </c>
    </row>
    <row r="29" ht="14.25" customHeight="1">
      <c r="A29" s="47"/>
      <c r="B29" s="37">
        <v>4321.0</v>
      </c>
      <c r="C29" s="21" t="s">
        <v>263</v>
      </c>
      <c r="D29" s="21" t="s">
        <v>456</v>
      </c>
      <c r="E29" s="21" t="s">
        <v>536</v>
      </c>
      <c r="F29" s="21" t="s">
        <v>465</v>
      </c>
      <c r="G29" s="36" t="s">
        <v>537</v>
      </c>
      <c r="H29" s="21" t="s">
        <v>538</v>
      </c>
      <c r="I29" s="144" t="s">
        <v>538</v>
      </c>
      <c r="J29" s="36" t="b">
        <v>0</v>
      </c>
      <c r="K29" s="119">
        <v>0.001202973049838</v>
      </c>
      <c r="L29" s="65">
        <v>0.009765142233904</v>
      </c>
      <c r="M29" s="65">
        <v>0.992231523361029</v>
      </c>
      <c r="N29" s="65">
        <v>0.606939059690739</v>
      </c>
      <c r="O29" s="66">
        <v>0.993520862125188</v>
      </c>
      <c r="P29" s="65">
        <v>0.995306593601745</v>
      </c>
      <c r="Q29" s="65">
        <v>6.679718991132E-4</v>
      </c>
      <c r="R29" s="65">
        <v>4.357701246566E-4</v>
      </c>
      <c r="S29" s="65">
        <v>0.0023157470801449</v>
      </c>
      <c r="T29" s="65">
        <v>0.001467379321356</v>
      </c>
      <c r="U29" s="65">
        <v>0.0017485956591112</v>
      </c>
      <c r="V29" s="65">
        <v>5.200884150305E-4</v>
      </c>
      <c r="W29" s="65">
        <v>0.0041190788241902</v>
      </c>
      <c r="X29" s="65">
        <v>0.0010980754782407</v>
      </c>
      <c r="Y29" s="37">
        <v>3.0</v>
      </c>
      <c r="Z29" s="21">
        <v>0.0</v>
      </c>
      <c r="AA29" s="36">
        <v>4.0</v>
      </c>
    </row>
    <row r="30" ht="14.25" customHeight="1">
      <c r="A30" s="47"/>
      <c r="B30" s="37">
        <v>4878.0</v>
      </c>
      <c r="C30" s="21" t="s">
        <v>263</v>
      </c>
      <c r="D30" s="21" t="s">
        <v>456</v>
      </c>
      <c r="E30" s="21" t="s">
        <v>498</v>
      </c>
      <c r="F30" s="21" t="s">
        <v>503</v>
      </c>
      <c r="G30" s="36" t="s">
        <v>539</v>
      </c>
      <c r="H30" s="21" t="s">
        <v>540</v>
      </c>
      <c r="I30" s="144" t="s">
        <v>540</v>
      </c>
      <c r="J30" s="36" t="b">
        <v>1</v>
      </c>
      <c r="K30" s="119">
        <v>1.26704774474E-4</v>
      </c>
      <c r="L30" s="65">
        <v>3.663604475916E-4</v>
      </c>
      <c r="M30" s="65">
        <v>2.88280749734E-4</v>
      </c>
      <c r="N30" s="65">
        <v>2.175672285818E-4</v>
      </c>
      <c r="O30" s="66">
        <v>2.810816638494E-4</v>
      </c>
      <c r="P30" s="65">
        <v>1.502893069158E-4</v>
      </c>
      <c r="Q30" s="65">
        <v>2.077370510571E-4</v>
      </c>
      <c r="R30" s="65">
        <v>3.958775946477E-4</v>
      </c>
      <c r="S30" s="65">
        <v>0.0</v>
      </c>
      <c r="T30" s="65">
        <v>2.822208492559E-4</v>
      </c>
      <c r="U30" s="65">
        <v>1.532969800494E-4</v>
      </c>
      <c r="V30" s="65">
        <v>1.322051824431E-4</v>
      </c>
      <c r="W30" s="65">
        <v>9.36768149882E-5</v>
      </c>
      <c r="X30" s="65">
        <v>0.993157553235415</v>
      </c>
      <c r="Y30" s="37">
        <v>0.0</v>
      </c>
      <c r="Z30" s="21">
        <v>1.0</v>
      </c>
      <c r="AA30" s="36">
        <v>0.0</v>
      </c>
    </row>
    <row r="31" ht="14.25" customHeight="1">
      <c r="A31" s="47"/>
      <c r="B31" s="37">
        <v>4965.0</v>
      </c>
      <c r="C31" s="21" t="s">
        <v>263</v>
      </c>
      <c r="D31" s="21" t="s">
        <v>456</v>
      </c>
      <c r="E31" s="21" t="s">
        <v>498</v>
      </c>
      <c r="F31" s="21" t="s">
        <v>503</v>
      </c>
      <c r="G31" s="36" t="s">
        <v>541</v>
      </c>
      <c r="H31" s="21" t="s">
        <v>542</v>
      </c>
      <c r="I31" s="144" t="s">
        <v>542</v>
      </c>
      <c r="J31" s="36" t="b">
        <v>1</v>
      </c>
      <c r="K31" s="119">
        <v>0.0018454314930374</v>
      </c>
      <c r="L31" s="65">
        <v>0.001319949416884</v>
      </c>
      <c r="M31" s="65">
        <v>6.571657815305E-4</v>
      </c>
      <c r="N31" s="65">
        <v>3.922612869835E-4</v>
      </c>
      <c r="O31" s="66">
        <v>4.616290118446E-4</v>
      </c>
      <c r="P31" s="65">
        <v>5.25472925633E-4</v>
      </c>
      <c r="Q31" s="65">
        <v>9.22487950001E-5</v>
      </c>
      <c r="R31" s="65">
        <v>3.835928096189E-4</v>
      </c>
      <c r="S31" s="65">
        <v>0.0013102197137673</v>
      </c>
      <c r="T31" s="65">
        <v>0.0011346415979408</v>
      </c>
      <c r="U31" s="65">
        <v>3.709441619934E-4</v>
      </c>
      <c r="V31" s="65">
        <v>0.987604958016793</v>
      </c>
      <c r="W31" s="65">
        <v>3.743565746373E-4</v>
      </c>
      <c r="X31" s="65">
        <v>5.836348780203E-4</v>
      </c>
      <c r="Y31" s="37">
        <v>0.0</v>
      </c>
      <c r="Z31" s="21">
        <v>1.0</v>
      </c>
      <c r="AA31" s="36">
        <v>0.0</v>
      </c>
    </row>
    <row r="32" ht="14.25" customHeight="1">
      <c r="A32" s="47"/>
      <c r="B32" s="37">
        <v>5230.0</v>
      </c>
      <c r="C32" s="21" t="s">
        <v>261</v>
      </c>
      <c r="D32" s="21" t="s">
        <v>456</v>
      </c>
      <c r="E32" s="21" t="s">
        <v>494</v>
      </c>
      <c r="F32" s="21" t="s">
        <v>543</v>
      </c>
      <c r="G32" s="36" t="s">
        <v>544</v>
      </c>
      <c r="H32" s="21" t="s">
        <v>545</v>
      </c>
      <c r="I32" s="144" t="s">
        <v>545</v>
      </c>
      <c r="J32" s="36" t="b">
        <v>1</v>
      </c>
      <c r="K32" s="119">
        <v>6.566388855703E-4</v>
      </c>
      <c r="L32" s="65">
        <v>0.0018316773548257</v>
      </c>
      <c r="M32" s="65">
        <v>0.0015452787130182</v>
      </c>
      <c r="N32" s="65">
        <v>4.795567532048E-4</v>
      </c>
      <c r="O32" s="66">
        <v>8.408579837151E-4</v>
      </c>
      <c r="P32" s="65">
        <v>0.0010521569216894</v>
      </c>
      <c r="Q32" s="65">
        <v>0.962339705391619</v>
      </c>
      <c r="R32" s="65">
        <v>0.0013725464067268</v>
      </c>
      <c r="S32" s="65">
        <v>3.103020273065E-4</v>
      </c>
      <c r="T32" s="65">
        <v>0.0026854545594851</v>
      </c>
      <c r="U32" s="65">
        <v>4.41783923483E-4</v>
      </c>
      <c r="V32" s="65">
        <v>1.620482903905E-4</v>
      </c>
      <c r="W32" s="65">
        <v>0.0010402874976357</v>
      </c>
      <c r="X32" s="65">
        <v>0.0036878060576748</v>
      </c>
      <c r="Y32" s="37">
        <v>0.0</v>
      </c>
      <c r="Z32" s="21">
        <v>1.0</v>
      </c>
      <c r="AA32" s="36">
        <v>0.0</v>
      </c>
    </row>
    <row r="33" ht="14.25" customHeight="1">
      <c r="A33" s="47"/>
      <c r="B33" s="37">
        <v>5386.0</v>
      </c>
      <c r="C33" s="21" t="s">
        <v>456</v>
      </c>
      <c r="D33" s="21" t="s">
        <v>261</v>
      </c>
      <c r="E33" s="21" t="s">
        <v>465</v>
      </c>
      <c r="F33" s="21" t="s">
        <v>546</v>
      </c>
      <c r="G33" s="36" t="s">
        <v>547</v>
      </c>
      <c r="H33" s="21" t="s">
        <v>548</v>
      </c>
      <c r="I33" s="144" t="s">
        <v>548</v>
      </c>
      <c r="J33" s="36" t="b">
        <v>0</v>
      </c>
      <c r="K33" s="119">
        <v>8.52781004132576E-7</v>
      </c>
      <c r="L33" s="65">
        <v>1.726116182619E-4</v>
      </c>
      <c r="M33" s="65">
        <v>1.27596265002E-5</v>
      </c>
      <c r="N33" s="65">
        <v>0.38645461308549</v>
      </c>
      <c r="O33" s="66">
        <v>1.1564258731E-5</v>
      </c>
      <c r="P33" s="65">
        <v>0.0</v>
      </c>
      <c r="Q33" s="65">
        <v>0.0</v>
      </c>
      <c r="R33" s="65">
        <v>2.68297918008E-5</v>
      </c>
      <c r="S33" s="65">
        <v>0.0</v>
      </c>
      <c r="T33" s="65">
        <v>7.6229389478E-6</v>
      </c>
      <c r="U33" s="65">
        <v>0.0</v>
      </c>
      <c r="V33" s="65">
        <v>0.0</v>
      </c>
      <c r="W33" s="65">
        <v>0.0</v>
      </c>
      <c r="X33" s="65">
        <v>0.0</v>
      </c>
      <c r="Y33" s="37">
        <v>1.0</v>
      </c>
      <c r="Z33" s="21">
        <v>0.0</v>
      </c>
      <c r="AA33" s="36">
        <v>1.0</v>
      </c>
    </row>
    <row r="34" ht="14.25" customHeight="1">
      <c r="A34" s="47"/>
      <c r="B34" s="37">
        <v>5388.0</v>
      </c>
      <c r="C34" s="21" t="s">
        <v>263</v>
      </c>
      <c r="D34" s="21" t="s">
        <v>262</v>
      </c>
      <c r="E34" s="21" t="s">
        <v>465</v>
      </c>
      <c r="F34" s="21" t="s">
        <v>461</v>
      </c>
      <c r="G34" s="36" t="s">
        <v>549</v>
      </c>
      <c r="H34" s="21" t="s">
        <v>550</v>
      </c>
      <c r="I34" s="144" t="s">
        <v>550</v>
      </c>
      <c r="J34" s="36" t="b">
        <v>1</v>
      </c>
      <c r="K34" s="119">
        <v>0.997394199104704</v>
      </c>
      <c r="L34" s="65">
        <v>2.901187696098E-4</v>
      </c>
      <c r="M34" s="65">
        <v>1.27584218342E-5</v>
      </c>
      <c r="N34" s="65">
        <v>8.6224205105E-6</v>
      </c>
      <c r="O34" s="66">
        <v>3.8548420671E-6</v>
      </c>
      <c r="P34" s="65">
        <v>0.0</v>
      </c>
      <c r="Q34" s="65">
        <v>0.0018660633061976</v>
      </c>
      <c r="R34" s="65">
        <v>2.415070037031E-4</v>
      </c>
      <c r="S34" s="65">
        <v>7.064997981429E-4</v>
      </c>
      <c r="T34" s="65">
        <v>4.116669461936E-4</v>
      </c>
      <c r="U34" s="65">
        <v>0.0010864985919865</v>
      </c>
      <c r="V34" s="65">
        <v>0.0015741833923652</v>
      </c>
      <c r="W34" s="65">
        <v>1.874414245548E-4</v>
      </c>
      <c r="X34" s="65">
        <v>5.79911853398E-5</v>
      </c>
      <c r="Y34" s="37">
        <v>1.0</v>
      </c>
      <c r="Z34" s="21">
        <v>0.0</v>
      </c>
      <c r="AA34" s="36">
        <v>0.0</v>
      </c>
    </row>
    <row r="35" ht="14.25" customHeight="1">
      <c r="A35" s="47"/>
      <c r="B35" s="37">
        <v>5648.0</v>
      </c>
      <c r="C35" s="21" t="s">
        <v>262</v>
      </c>
      <c r="D35" s="21" t="s">
        <v>263</v>
      </c>
      <c r="E35" s="21" t="s">
        <v>452</v>
      </c>
      <c r="F35" s="21" t="s">
        <v>551</v>
      </c>
      <c r="G35" s="36" t="s">
        <v>552</v>
      </c>
      <c r="H35" s="21" t="s">
        <v>553</v>
      </c>
      <c r="I35" s="144" t="s">
        <v>553</v>
      </c>
      <c r="J35" s="36" t="b">
        <v>1</v>
      </c>
      <c r="K35" s="119">
        <v>1.747172988876E-4</v>
      </c>
      <c r="L35" s="65">
        <v>9.62265970761E-5</v>
      </c>
      <c r="M35" s="65">
        <v>8.14782185805E-5</v>
      </c>
      <c r="N35" s="65">
        <v>7.2537825935E-5</v>
      </c>
      <c r="O35" s="66">
        <v>1.92667832949E-5</v>
      </c>
      <c r="P35" s="65">
        <v>0.0</v>
      </c>
      <c r="Q35" s="65">
        <v>1.613460873573E-4</v>
      </c>
      <c r="R35" s="65">
        <v>6.701873843919999E-5</v>
      </c>
      <c r="S35" s="65">
        <v>0.0</v>
      </c>
      <c r="T35" s="65">
        <v>0.99806833365146</v>
      </c>
      <c r="U35" s="65">
        <v>8.86465882144E-5</v>
      </c>
      <c r="V35" s="65">
        <v>1.308386759125E-4</v>
      </c>
      <c r="W35" s="65">
        <v>0.0010304449648711</v>
      </c>
      <c r="X35" s="65">
        <v>2.322745485163E-4</v>
      </c>
      <c r="Y35" s="37">
        <v>0.0</v>
      </c>
      <c r="Z35" s="21">
        <v>1.0</v>
      </c>
      <c r="AA35" s="36">
        <v>0.0</v>
      </c>
    </row>
    <row r="36" ht="14.25" customHeight="1">
      <c r="A36" s="47"/>
      <c r="B36" s="37">
        <v>5720.0</v>
      </c>
      <c r="C36" s="21" t="s">
        <v>261</v>
      </c>
      <c r="D36" s="21" t="s">
        <v>262</v>
      </c>
      <c r="E36" s="21" t="s">
        <v>522</v>
      </c>
      <c r="F36" s="21" t="s">
        <v>457</v>
      </c>
      <c r="G36" s="36" t="s">
        <v>554</v>
      </c>
      <c r="H36" s="21" t="s">
        <v>555</v>
      </c>
      <c r="I36" s="144" t="s">
        <v>555</v>
      </c>
      <c r="J36" s="36" t="b">
        <v>1</v>
      </c>
      <c r="K36" s="119">
        <v>5.9664142021E-6</v>
      </c>
      <c r="L36" s="65">
        <v>2.66303360256E-5</v>
      </c>
      <c r="M36" s="65">
        <v>4.520934224238E-4</v>
      </c>
      <c r="N36" s="65">
        <v>2.12776914506E-5</v>
      </c>
      <c r="O36" s="66">
        <v>3.872441768156E-4</v>
      </c>
      <c r="P36" s="65">
        <v>0.998534280154658</v>
      </c>
      <c r="Q36" s="65">
        <v>2.30563497187E-5</v>
      </c>
      <c r="R36" s="65">
        <v>0.0</v>
      </c>
      <c r="S36" s="65">
        <v>0.0</v>
      </c>
      <c r="T36" s="65">
        <v>0.0</v>
      </c>
      <c r="U36" s="65">
        <v>0.0</v>
      </c>
      <c r="V36" s="65">
        <v>0.0</v>
      </c>
      <c r="W36" s="65">
        <v>0.0</v>
      </c>
      <c r="X36" s="65">
        <v>0.0</v>
      </c>
      <c r="Y36" s="37">
        <v>0.0</v>
      </c>
      <c r="Z36" s="21">
        <v>0.0</v>
      </c>
      <c r="AA36" s="36">
        <v>1.0</v>
      </c>
    </row>
    <row r="37" ht="14.25" customHeight="1">
      <c r="A37" s="47"/>
      <c r="B37" s="37">
        <v>5986.0</v>
      </c>
      <c r="C37" s="21" t="s">
        <v>263</v>
      </c>
      <c r="D37" s="21" t="s">
        <v>456</v>
      </c>
      <c r="E37" s="21" t="s">
        <v>476</v>
      </c>
      <c r="F37" s="21" t="s">
        <v>477</v>
      </c>
      <c r="G37" s="36" t="s">
        <v>556</v>
      </c>
      <c r="H37" s="21" t="s">
        <v>557</v>
      </c>
      <c r="I37" s="144" t="s">
        <v>557</v>
      </c>
      <c r="J37" s="36" t="b">
        <v>0</v>
      </c>
      <c r="K37" s="119">
        <v>0.996992030431142</v>
      </c>
      <c r="L37" s="65">
        <v>0.0011852048358342</v>
      </c>
      <c r="M37" s="65">
        <v>0.0018169644682503</v>
      </c>
      <c r="N37" s="65">
        <v>0.0010924223684391</v>
      </c>
      <c r="O37" s="66">
        <v>0.0121689914639466</v>
      </c>
      <c r="P37" s="65">
        <v>0.0028560691469372</v>
      </c>
      <c r="Q37" s="65">
        <v>0.0049704804797797</v>
      </c>
      <c r="R37" s="65">
        <v>0.0040718595276101</v>
      </c>
      <c r="S37" s="65">
        <v>0.0013403443653984</v>
      </c>
      <c r="T37" s="65">
        <v>0.001191323452053</v>
      </c>
      <c r="U37" s="65">
        <v>0.0096261724184355</v>
      </c>
      <c r="V37" s="65">
        <v>0.0030707610146862</v>
      </c>
      <c r="W37" s="65">
        <v>0.0045325779036827</v>
      </c>
      <c r="X37" s="65">
        <v>0.0043810970266954</v>
      </c>
      <c r="Y37" s="37">
        <v>1.0</v>
      </c>
      <c r="Z37" s="21">
        <v>0.0</v>
      </c>
      <c r="AA37" s="36">
        <v>0.0</v>
      </c>
    </row>
    <row r="38" ht="14.25" customHeight="1">
      <c r="A38" s="47"/>
      <c r="B38" s="37">
        <v>6037.0</v>
      </c>
      <c r="C38" s="21" t="s">
        <v>263</v>
      </c>
      <c r="D38" s="21" t="s">
        <v>456</v>
      </c>
      <c r="E38" s="21" t="s">
        <v>558</v>
      </c>
      <c r="F38" s="21" t="s">
        <v>457</v>
      </c>
      <c r="G38" s="36" t="s">
        <v>559</v>
      </c>
      <c r="H38" s="21" t="s">
        <v>560</v>
      </c>
      <c r="I38" s="144" t="s">
        <v>560</v>
      </c>
      <c r="J38" s="36" t="b">
        <v>0</v>
      </c>
      <c r="K38" s="119">
        <v>4.303870470714E-4</v>
      </c>
      <c r="L38" s="65">
        <v>0.0015939741137881</v>
      </c>
      <c r="M38" s="65">
        <v>3.407041560783E-4</v>
      </c>
      <c r="N38" s="65">
        <v>2.61584118731E-4</v>
      </c>
      <c r="O38" s="66">
        <v>3.668661903842E-4</v>
      </c>
      <c r="P38" s="65">
        <v>3.010914565299E-4</v>
      </c>
      <c r="Q38" s="65">
        <v>1.863802623302E-4</v>
      </c>
      <c r="R38" s="65">
        <v>8.014888674554E-4</v>
      </c>
      <c r="S38" s="65">
        <v>0.0014403292181069</v>
      </c>
      <c r="T38" s="65">
        <v>7.036318227157E-4</v>
      </c>
      <c r="U38" s="65">
        <v>3.148897885739E-4</v>
      </c>
      <c r="V38" s="65">
        <v>2.676301351532E-4</v>
      </c>
      <c r="W38" s="65">
        <v>1.888752478987E-4</v>
      </c>
      <c r="X38" s="65">
        <v>0.994655233172794</v>
      </c>
      <c r="Y38" s="37">
        <v>0.0</v>
      </c>
      <c r="Z38" s="21">
        <v>1.0</v>
      </c>
      <c r="AA38" s="36">
        <v>0.0</v>
      </c>
    </row>
    <row r="39" ht="14.25" customHeight="1">
      <c r="A39" s="47"/>
      <c r="B39" s="37">
        <v>6101.0</v>
      </c>
      <c r="C39" s="21" t="s">
        <v>261</v>
      </c>
      <c r="D39" s="21" t="s">
        <v>262</v>
      </c>
      <c r="E39" s="21" t="s">
        <v>522</v>
      </c>
      <c r="F39" s="21" t="s">
        <v>457</v>
      </c>
      <c r="G39" s="36" t="s">
        <v>561</v>
      </c>
      <c r="H39" s="21" t="s">
        <v>562</v>
      </c>
      <c r="I39" s="144" t="s">
        <v>562</v>
      </c>
      <c r="J39" s="36" t="b">
        <v>1</v>
      </c>
      <c r="K39" s="119">
        <v>1.379583365823E-4</v>
      </c>
      <c r="L39" s="65">
        <v>2.83808073663E-5</v>
      </c>
      <c r="M39" s="65">
        <v>2.29874488529E-5</v>
      </c>
      <c r="N39" s="65">
        <v>1.34330134989E-5</v>
      </c>
      <c r="O39" s="66">
        <v>3.08976938733E-5</v>
      </c>
      <c r="P39" s="65">
        <v>5.01391361026E-5</v>
      </c>
      <c r="Q39" s="65">
        <v>2.3238520171E-5</v>
      </c>
      <c r="R39" s="65">
        <v>8.10427500506E-5</v>
      </c>
      <c r="S39" s="65">
        <v>0.0</v>
      </c>
      <c r="T39" s="65">
        <v>6.94085619317E-5</v>
      </c>
      <c r="U39" s="65">
        <v>0.348200049406005</v>
      </c>
      <c r="V39" s="65">
        <v>0.0</v>
      </c>
      <c r="W39" s="65">
        <v>1.886258606054E-4</v>
      </c>
      <c r="X39" s="65">
        <v>5.84078032825E-5</v>
      </c>
      <c r="Y39" s="37">
        <v>0.0</v>
      </c>
      <c r="Z39" s="21">
        <v>1.0</v>
      </c>
      <c r="AA39" s="36">
        <v>0.0</v>
      </c>
    </row>
    <row r="40" ht="14.25" customHeight="1">
      <c r="A40" s="47"/>
      <c r="B40" s="37">
        <v>6183.0</v>
      </c>
      <c r="C40" s="21" t="s">
        <v>262</v>
      </c>
      <c r="D40" s="21" t="s">
        <v>261</v>
      </c>
      <c r="E40" s="21" t="s">
        <v>452</v>
      </c>
      <c r="F40" s="21" t="s">
        <v>453</v>
      </c>
      <c r="G40" s="36" t="s">
        <v>563</v>
      </c>
      <c r="H40" s="21" t="s">
        <v>564</v>
      </c>
      <c r="I40" s="144" t="s">
        <v>564</v>
      </c>
      <c r="J40" s="36" t="b">
        <v>1</v>
      </c>
      <c r="K40" s="119">
        <v>3.15660066527E-5</v>
      </c>
      <c r="L40" s="65">
        <v>2.02216426849E-5</v>
      </c>
      <c r="M40" s="65">
        <v>5.87794823827E-5</v>
      </c>
      <c r="N40" s="65">
        <v>3.23949293605E-5</v>
      </c>
      <c r="O40" s="66">
        <v>0.978015168403576</v>
      </c>
      <c r="P40" s="65">
        <v>3.009404388714E-4</v>
      </c>
      <c r="Q40" s="65">
        <v>6.94717828775E-5</v>
      </c>
      <c r="R40" s="65">
        <v>1.34750912937E-5</v>
      </c>
      <c r="S40" s="65">
        <v>0.0</v>
      </c>
      <c r="T40" s="65">
        <v>7.636035981E-5</v>
      </c>
      <c r="U40" s="65">
        <v>0.0</v>
      </c>
      <c r="V40" s="65">
        <v>1.307531380753E-4</v>
      </c>
      <c r="W40" s="65">
        <v>0.0</v>
      </c>
      <c r="X40" s="65">
        <v>1.161507636912E-4</v>
      </c>
      <c r="Y40" s="37">
        <v>1.0</v>
      </c>
      <c r="Z40" s="21">
        <v>0.0</v>
      </c>
      <c r="AA40" s="36">
        <v>1.0</v>
      </c>
    </row>
    <row r="41" ht="14.25" customHeight="1">
      <c r="A41" s="47"/>
      <c r="B41" s="37">
        <v>6285.0</v>
      </c>
      <c r="C41" s="21" t="s">
        <v>263</v>
      </c>
      <c r="D41" s="21" t="s">
        <v>456</v>
      </c>
      <c r="E41" s="21" t="s">
        <v>472</v>
      </c>
      <c r="F41" s="21" t="s">
        <v>473</v>
      </c>
      <c r="G41" s="36" t="s">
        <v>565</v>
      </c>
      <c r="H41" s="21" t="s">
        <v>566</v>
      </c>
      <c r="I41" s="144" t="s">
        <v>566</v>
      </c>
      <c r="J41" s="36" t="b">
        <v>1</v>
      </c>
      <c r="K41" s="119">
        <v>0.0010986770665663</v>
      </c>
      <c r="L41" s="65">
        <v>0.0018030308306436</v>
      </c>
      <c r="M41" s="65">
        <v>0.0010951697110416</v>
      </c>
      <c r="N41" s="65">
        <v>0.0016889976748799</v>
      </c>
      <c r="O41" s="66">
        <v>0.0010657500953669</v>
      </c>
      <c r="P41" s="65">
        <v>0.0010117873223048</v>
      </c>
      <c r="Q41" s="65">
        <v>2.53719294199E-4</v>
      </c>
      <c r="R41" s="65">
        <v>0.0019680263122422</v>
      </c>
      <c r="S41" s="65">
        <v>0.982683544303797</v>
      </c>
      <c r="T41" s="65">
        <v>0.0011563438093487</v>
      </c>
      <c r="U41" s="65">
        <v>0.004388407475886</v>
      </c>
      <c r="V41" s="65">
        <v>5.223295899712E-4</v>
      </c>
      <c r="W41" s="65">
        <v>0.0024440684339161</v>
      </c>
      <c r="X41" s="65">
        <v>0.0069726902963393</v>
      </c>
      <c r="Y41" s="37">
        <v>0.0</v>
      </c>
      <c r="Z41" s="21">
        <v>1.0</v>
      </c>
      <c r="AA41" s="36">
        <v>0.0</v>
      </c>
    </row>
    <row r="42" ht="14.25" customHeight="1">
      <c r="A42" s="47"/>
      <c r="B42" s="37">
        <v>6319.0</v>
      </c>
      <c r="C42" s="21" t="s">
        <v>262</v>
      </c>
      <c r="D42" s="21" t="s">
        <v>261</v>
      </c>
      <c r="E42" s="21" t="s">
        <v>567</v>
      </c>
      <c r="F42" s="21" t="s">
        <v>568</v>
      </c>
      <c r="G42" s="36" t="s">
        <v>569</v>
      </c>
      <c r="H42" s="21" t="s">
        <v>570</v>
      </c>
      <c r="I42" s="144" t="s">
        <v>570</v>
      </c>
      <c r="J42" s="36" t="b">
        <v>0</v>
      </c>
      <c r="K42" s="119">
        <v>3.712132628709E-4</v>
      </c>
      <c r="L42" s="65">
        <v>3.1023065421E-5</v>
      </c>
      <c r="M42" s="65">
        <v>1.6829844925E-4</v>
      </c>
      <c r="N42" s="65">
        <v>1.93407936347E-5</v>
      </c>
      <c r="O42" s="66">
        <v>7.8114625401E-6</v>
      </c>
      <c r="P42" s="65">
        <v>5.03524672708E-5</v>
      </c>
      <c r="Q42" s="65">
        <v>2.30133707684E-5</v>
      </c>
      <c r="R42" s="65">
        <v>1.462299266191E-4</v>
      </c>
      <c r="S42" s="65">
        <v>0.0</v>
      </c>
      <c r="T42" s="65">
        <v>0.994535434891518</v>
      </c>
      <c r="U42" s="65">
        <v>4.37340097526E-5</v>
      </c>
      <c r="V42" s="65">
        <v>0.0</v>
      </c>
      <c r="W42" s="65">
        <v>7.525870178739E-4</v>
      </c>
      <c r="X42" s="65">
        <v>2.323690019751E-4</v>
      </c>
      <c r="Y42" s="37">
        <v>0.0</v>
      </c>
      <c r="Z42" s="21">
        <v>1.0</v>
      </c>
      <c r="AA42" s="36">
        <v>0.0</v>
      </c>
    </row>
    <row r="43" ht="14.25" customHeight="1">
      <c r="A43" s="47"/>
      <c r="B43" s="37">
        <v>6402.0</v>
      </c>
      <c r="C43" s="21" t="s">
        <v>263</v>
      </c>
      <c r="D43" s="21" t="s">
        <v>456</v>
      </c>
      <c r="E43" s="21" t="s">
        <v>567</v>
      </c>
      <c r="F43" s="21" t="s">
        <v>571</v>
      </c>
      <c r="G43" s="36" t="s">
        <v>572</v>
      </c>
      <c r="H43" s="21" t="s">
        <v>573</v>
      </c>
      <c r="I43" s="144" t="s">
        <v>573</v>
      </c>
      <c r="J43" s="36" t="b">
        <v>1</v>
      </c>
      <c r="K43" s="119">
        <v>0.0014970914017731</v>
      </c>
      <c r="L43" s="65">
        <v>0.904282117023194</v>
      </c>
      <c r="M43" s="65">
        <v>0.0015735053699204</v>
      </c>
      <c r="N43" s="65">
        <v>0.0012068825027235</v>
      </c>
      <c r="O43" s="66">
        <v>0.0011410439770853</v>
      </c>
      <c r="P43" s="65">
        <v>0.0011086474501108</v>
      </c>
      <c r="Q43" s="65">
        <v>0.0313033055184177</v>
      </c>
      <c r="R43" s="65">
        <v>0.0011179281065758</v>
      </c>
      <c r="S43" s="65">
        <v>0.0073485001006643</v>
      </c>
      <c r="T43" s="65">
        <v>0.0047336463606747</v>
      </c>
      <c r="U43" s="65">
        <v>0.0011853542892264</v>
      </c>
      <c r="V43" s="65">
        <v>0.0010447956118584</v>
      </c>
      <c r="W43" s="65">
        <v>0.0024436090225563</v>
      </c>
      <c r="X43" s="65">
        <v>0.0016888940655756</v>
      </c>
      <c r="Y43" s="37">
        <v>1.0</v>
      </c>
      <c r="Z43" s="21">
        <v>0.0</v>
      </c>
      <c r="AA43" s="36">
        <v>0.0</v>
      </c>
    </row>
    <row r="44" ht="14.25" customHeight="1">
      <c r="A44" s="47"/>
      <c r="B44" s="37">
        <v>6541.0</v>
      </c>
      <c r="C44" s="21" t="s">
        <v>263</v>
      </c>
      <c r="D44" s="21" t="s">
        <v>456</v>
      </c>
      <c r="E44" s="21" t="s">
        <v>574</v>
      </c>
      <c r="F44" s="21" t="s">
        <v>575</v>
      </c>
      <c r="G44" s="36" t="s">
        <v>576</v>
      </c>
      <c r="H44" s="21" t="s">
        <v>577</v>
      </c>
      <c r="I44" s="144" t="s">
        <v>577</v>
      </c>
      <c r="J44" s="36" t="b">
        <v>0</v>
      </c>
      <c r="K44" s="119">
        <v>0.0010863037260983</v>
      </c>
      <c r="L44" s="65">
        <v>0.0016271882430192</v>
      </c>
      <c r="M44" s="65">
        <v>0.0012845898525187</v>
      </c>
      <c r="N44" s="65">
        <v>0.0010975397586319</v>
      </c>
      <c r="O44" s="66">
        <v>0.0015746268944729</v>
      </c>
      <c r="P44" s="65">
        <v>0.994402796069294</v>
      </c>
      <c r="Q44" s="65">
        <v>0.0019235671742102</v>
      </c>
      <c r="R44" s="65">
        <v>0.0030971686827063</v>
      </c>
      <c r="S44" s="65">
        <v>0.0014147130153597</v>
      </c>
      <c r="T44" s="65">
        <v>0.0375787819133513</v>
      </c>
      <c r="U44" s="65">
        <v>0.0017628134502666</v>
      </c>
      <c r="V44" s="65">
        <v>0.0010435690060005</v>
      </c>
      <c r="W44" s="65">
        <v>3.749531308586E-4</v>
      </c>
      <c r="X44" s="65">
        <v>0.0010999826318531</v>
      </c>
      <c r="Y44" s="37">
        <v>0.0</v>
      </c>
      <c r="Z44" s="21">
        <v>0.0</v>
      </c>
      <c r="AA44" s="36">
        <v>1.0</v>
      </c>
    </row>
    <row r="45" ht="14.25" customHeight="1">
      <c r="A45" s="47"/>
      <c r="B45" s="37">
        <v>6613.0</v>
      </c>
      <c r="C45" s="21" t="s">
        <v>262</v>
      </c>
      <c r="D45" s="21" t="s">
        <v>261</v>
      </c>
      <c r="E45" s="21" t="s">
        <v>578</v>
      </c>
      <c r="F45" s="21" t="s">
        <v>515</v>
      </c>
      <c r="G45" s="36" t="s">
        <v>579</v>
      </c>
      <c r="H45" s="21" t="s">
        <v>580</v>
      </c>
      <c r="I45" s="144" t="s">
        <v>580</v>
      </c>
      <c r="J45" s="36" t="b">
        <v>0</v>
      </c>
      <c r="K45" s="119">
        <v>1.712328767123E-4</v>
      </c>
      <c r="L45" s="65">
        <v>3.305003870481E-4</v>
      </c>
      <c r="M45" s="65">
        <v>8.050600779361E-4</v>
      </c>
      <c r="N45" s="65">
        <v>1.888440903504E-4</v>
      </c>
      <c r="O45" s="66">
        <v>1.756447136796E-4</v>
      </c>
      <c r="P45" s="65">
        <v>1.035732780942E-4</v>
      </c>
      <c r="Q45" s="65">
        <v>1.164822364589E-4</v>
      </c>
      <c r="R45" s="65">
        <v>0.0034910059960026</v>
      </c>
      <c r="S45" s="65">
        <v>0.0</v>
      </c>
      <c r="T45" s="65">
        <v>0.994596828506704</v>
      </c>
      <c r="U45" s="65">
        <v>1.768502962242E-4</v>
      </c>
      <c r="V45" s="65">
        <v>1.31926121372E-4</v>
      </c>
      <c r="W45" s="65">
        <v>0.0013161605715897</v>
      </c>
      <c r="X45" s="65">
        <v>4.062209842154E-4</v>
      </c>
      <c r="Y45" s="37">
        <v>0.0</v>
      </c>
      <c r="Z45" s="21">
        <v>1.0</v>
      </c>
      <c r="AA45" s="36">
        <v>0.0</v>
      </c>
    </row>
    <row r="46" ht="14.25" customHeight="1">
      <c r="A46" s="47"/>
      <c r="B46" s="37">
        <v>6954.0</v>
      </c>
      <c r="C46" s="21" t="s">
        <v>456</v>
      </c>
      <c r="D46" s="21" t="s">
        <v>263</v>
      </c>
      <c r="E46" s="21" t="s">
        <v>581</v>
      </c>
      <c r="F46" s="21" t="s">
        <v>497</v>
      </c>
      <c r="G46" s="36" t="s">
        <v>582</v>
      </c>
      <c r="H46" s="21" t="s">
        <v>583</v>
      </c>
      <c r="I46" s="144" t="s">
        <v>583</v>
      </c>
      <c r="J46" s="36" t="b">
        <v>1</v>
      </c>
      <c r="K46" s="119">
        <v>0.995441343076567</v>
      </c>
      <c r="L46" s="65">
        <v>1.995771415133E-4</v>
      </c>
      <c r="M46" s="65">
        <v>1.297033683964E-4</v>
      </c>
      <c r="N46" s="65">
        <v>5.76468281992E-5</v>
      </c>
      <c r="O46" s="66">
        <v>1.704309967501E-4</v>
      </c>
      <c r="P46" s="65">
        <v>2.52302258105E-5</v>
      </c>
      <c r="Q46" s="65">
        <v>0.0011673435638026</v>
      </c>
      <c r="R46" s="65">
        <v>7.459387777654E-4</v>
      </c>
      <c r="S46" s="65">
        <v>9.515753859166E-4</v>
      </c>
      <c r="T46" s="65">
        <v>4.944395174898E-4</v>
      </c>
      <c r="U46" s="65">
        <v>0.0025191801213786</v>
      </c>
      <c r="V46" s="65">
        <v>4.097800846878E-4</v>
      </c>
      <c r="W46" s="65">
        <v>9.59140610013E-5</v>
      </c>
      <c r="X46" s="65">
        <v>6.125949522175E-4</v>
      </c>
      <c r="Y46" s="37">
        <v>1.0</v>
      </c>
      <c r="Z46" s="21">
        <v>0.0</v>
      </c>
      <c r="AA46" s="36">
        <v>0.0</v>
      </c>
    </row>
    <row r="47" ht="14.25" customHeight="1">
      <c r="A47" s="47"/>
      <c r="B47" s="37">
        <v>7124.0</v>
      </c>
      <c r="C47" s="21" t="s">
        <v>263</v>
      </c>
      <c r="D47" s="21" t="s">
        <v>456</v>
      </c>
      <c r="E47" s="21" t="s">
        <v>584</v>
      </c>
      <c r="F47" s="21" t="s">
        <v>469</v>
      </c>
      <c r="G47" s="36" t="s">
        <v>585</v>
      </c>
      <c r="H47" s="21" t="s">
        <v>586</v>
      </c>
      <c r="I47" s="144" t="s">
        <v>586</v>
      </c>
      <c r="J47" s="36" t="b">
        <v>1</v>
      </c>
      <c r="K47" s="119">
        <v>2.751101535798E-4</v>
      </c>
      <c r="L47" s="65">
        <v>0.901578747079739</v>
      </c>
      <c r="M47" s="65">
        <v>3.813204508856E-4</v>
      </c>
      <c r="N47" s="65">
        <v>3.68998537655E-4</v>
      </c>
      <c r="O47" s="66">
        <v>2.747954515547E-4</v>
      </c>
      <c r="P47" s="65">
        <v>3.517587939698E-4</v>
      </c>
      <c r="Q47" s="65">
        <v>0.001039603960396</v>
      </c>
      <c r="R47" s="65">
        <v>5.65834889379E-5</v>
      </c>
      <c r="S47" s="65">
        <v>1.041232819658E-4</v>
      </c>
      <c r="T47" s="65">
        <v>4.543033493122E-4</v>
      </c>
      <c r="U47" s="65">
        <v>1.58392541974E-4</v>
      </c>
      <c r="V47" s="65">
        <v>0.0013835085777531</v>
      </c>
      <c r="W47" s="65">
        <v>0.994554833779136</v>
      </c>
      <c r="X47" s="65">
        <v>9.881422924901E-4</v>
      </c>
      <c r="Y47" s="37">
        <v>1.0</v>
      </c>
      <c r="Z47" s="21">
        <v>1.0</v>
      </c>
      <c r="AA47" s="36">
        <v>0.0</v>
      </c>
    </row>
    <row r="48" ht="14.25" customHeight="1">
      <c r="A48" s="47"/>
      <c r="B48" s="37">
        <v>7201.0</v>
      </c>
      <c r="C48" s="21" t="s">
        <v>262</v>
      </c>
      <c r="D48" s="21" t="s">
        <v>261</v>
      </c>
      <c r="E48" s="21" t="s">
        <v>526</v>
      </c>
      <c r="F48" s="21" t="s">
        <v>587</v>
      </c>
      <c r="G48" s="36" t="s">
        <v>588</v>
      </c>
      <c r="H48" s="21" t="s">
        <v>589</v>
      </c>
      <c r="I48" s="144" t="s">
        <v>589</v>
      </c>
      <c r="J48" s="36" t="b">
        <v>0</v>
      </c>
      <c r="K48" s="119">
        <v>1.437479292409E-4</v>
      </c>
      <c r="L48" s="65">
        <v>4.415060835993E-4</v>
      </c>
      <c r="M48" s="65">
        <v>1.530765798021E-4</v>
      </c>
      <c r="N48" s="65">
        <v>3.902001539026E-4</v>
      </c>
      <c r="O48" s="66">
        <v>1.289833376979E-4</v>
      </c>
      <c r="P48" s="65">
        <v>3.283242833691E-4</v>
      </c>
      <c r="Q48" s="65">
        <v>4.93973523019E-5</v>
      </c>
      <c r="R48" s="65">
        <v>1.41580892242E-5</v>
      </c>
      <c r="S48" s="65">
        <v>0.0</v>
      </c>
      <c r="T48" s="65">
        <v>4.70226806062E-5</v>
      </c>
      <c r="U48" s="65">
        <v>0.346390955208262</v>
      </c>
      <c r="V48" s="65">
        <v>4.194044456871E-4</v>
      </c>
      <c r="W48" s="65">
        <v>9.5210892126E-5</v>
      </c>
      <c r="X48" s="65">
        <v>1.237547181486E-4</v>
      </c>
      <c r="Y48" s="37">
        <v>0.0</v>
      </c>
      <c r="Z48" s="21">
        <v>1.0</v>
      </c>
      <c r="AA48" s="36">
        <v>0.0</v>
      </c>
    </row>
    <row r="49" ht="14.25" customHeight="1">
      <c r="A49" s="47"/>
      <c r="B49" s="37">
        <v>7424.0</v>
      </c>
      <c r="C49" s="21" t="s">
        <v>456</v>
      </c>
      <c r="D49" s="21" t="s">
        <v>261</v>
      </c>
      <c r="E49" s="21" t="s">
        <v>477</v>
      </c>
      <c r="F49" s="21" t="s">
        <v>484</v>
      </c>
      <c r="G49" s="36" t="s">
        <v>590</v>
      </c>
      <c r="H49" s="21" t="s">
        <v>591</v>
      </c>
      <c r="I49" s="144" t="s">
        <v>591</v>
      </c>
      <c r="J49" s="36" t="b">
        <v>1</v>
      </c>
      <c r="K49" s="119">
        <v>2.5498387227E-6</v>
      </c>
      <c r="L49" s="65">
        <v>7.8271514491E-6</v>
      </c>
      <c r="M49" s="65">
        <v>1.53055758212E-5</v>
      </c>
      <c r="N49" s="65">
        <v>1.72076051469E-5</v>
      </c>
      <c r="O49" s="66">
        <v>0.0</v>
      </c>
      <c r="P49" s="65">
        <v>0.0</v>
      </c>
      <c r="Q49" s="65">
        <v>0.0</v>
      </c>
      <c r="R49" s="65">
        <v>0.0</v>
      </c>
      <c r="S49" s="65">
        <v>0.0</v>
      </c>
      <c r="T49" s="65">
        <v>3.80401704199E-5</v>
      </c>
      <c r="U49" s="65">
        <v>8.746036952E-5</v>
      </c>
      <c r="V49" s="65">
        <v>0.0</v>
      </c>
      <c r="W49" s="65">
        <v>0.99652516904583</v>
      </c>
      <c r="X49" s="65">
        <v>5.78938227291E-5</v>
      </c>
      <c r="Y49" s="37">
        <v>0.0</v>
      </c>
      <c r="Z49" s="21">
        <v>1.0</v>
      </c>
      <c r="AA49" s="36">
        <v>0.0</v>
      </c>
    </row>
    <row r="50" ht="14.25" customHeight="1">
      <c r="A50" s="47"/>
      <c r="B50" s="37">
        <v>7842.0</v>
      </c>
      <c r="C50" s="21" t="s">
        <v>262</v>
      </c>
      <c r="D50" s="21" t="s">
        <v>261</v>
      </c>
      <c r="E50" s="21" t="s">
        <v>592</v>
      </c>
      <c r="F50" s="21" t="s">
        <v>558</v>
      </c>
      <c r="G50" s="36" t="s">
        <v>593</v>
      </c>
      <c r="H50" s="21" t="s">
        <v>594</v>
      </c>
      <c r="I50" s="144" t="s">
        <v>594</v>
      </c>
      <c r="J50" s="36" t="b">
        <v>1</v>
      </c>
      <c r="K50" s="119">
        <v>2.5817067146E-6</v>
      </c>
      <c r="L50" s="65">
        <v>4.08667821924E-5</v>
      </c>
      <c r="M50" s="65">
        <v>6.62437259548E-5</v>
      </c>
      <c r="N50" s="65">
        <v>1.32617098199E-5</v>
      </c>
      <c r="O50" s="66">
        <v>0.994185303266844</v>
      </c>
      <c r="P50" s="65">
        <v>2.49818881311E-4</v>
      </c>
      <c r="Q50" s="65">
        <v>0.0</v>
      </c>
      <c r="R50" s="65">
        <v>0.0</v>
      </c>
      <c r="S50" s="65">
        <v>0.0</v>
      </c>
      <c r="T50" s="65">
        <v>2.32428412049E-5</v>
      </c>
      <c r="U50" s="65">
        <v>0.0</v>
      </c>
      <c r="V50" s="65">
        <v>0.0</v>
      </c>
      <c r="W50" s="65">
        <v>9.43040362127E-5</v>
      </c>
      <c r="X50" s="65">
        <v>0.0</v>
      </c>
      <c r="Y50" s="37">
        <v>1.0</v>
      </c>
      <c r="Z50" s="21">
        <v>0.0</v>
      </c>
      <c r="AA50" s="36">
        <v>1.0</v>
      </c>
    </row>
    <row r="51" ht="14.25" customHeight="1">
      <c r="A51" s="47"/>
      <c r="B51" s="37">
        <v>8293.0</v>
      </c>
      <c r="C51" s="21" t="s">
        <v>263</v>
      </c>
      <c r="D51" s="21" t="s">
        <v>456</v>
      </c>
      <c r="E51" s="21" t="s">
        <v>472</v>
      </c>
      <c r="F51" s="21" t="s">
        <v>498</v>
      </c>
      <c r="G51" s="36" t="s">
        <v>595</v>
      </c>
      <c r="H51" s="21" t="s">
        <v>596</v>
      </c>
      <c r="I51" s="144" t="s">
        <v>596</v>
      </c>
      <c r="J51" s="36" t="b">
        <v>0</v>
      </c>
      <c r="K51" s="119">
        <v>0.0016743843776122</v>
      </c>
      <c r="L51" s="65">
        <v>0.0016776869645332</v>
      </c>
      <c r="M51" s="65">
        <v>0.001436168049455</v>
      </c>
      <c r="N51" s="65">
        <v>8.88163285404E-4</v>
      </c>
      <c r="O51" s="66">
        <v>0.998763621284144</v>
      </c>
      <c r="P51" s="65">
        <v>0.003017531609267</v>
      </c>
      <c r="Q51" s="65">
        <v>0.0015785500217336</v>
      </c>
      <c r="R51" s="65">
        <v>0.0010676860212219</v>
      </c>
      <c r="S51" s="65">
        <v>6.012626515682E-4</v>
      </c>
      <c r="T51" s="65">
        <v>0.0013293225772146</v>
      </c>
      <c r="U51" s="65">
        <v>0.0027198746681752</v>
      </c>
      <c r="V51" s="65">
        <v>0.0041612483745123</v>
      </c>
      <c r="W51" s="65">
        <v>0.0010282295756216</v>
      </c>
      <c r="X51" s="65">
        <v>2.295815875566E-4</v>
      </c>
      <c r="Y51" s="37">
        <v>1.0</v>
      </c>
      <c r="Z51" s="21">
        <v>0.0</v>
      </c>
      <c r="AA51" s="36">
        <v>1.0</v>
      </c>
    </row>
    <row r="52" ht="14.25" customHeight="1">
      <c r="A52" s="146"/>
      <c r="B52" s="42">
        <v>8393.0</v>
      </c>
      <c r="C52" s="40" t="s">
        <v>261</v>
      </c>
      <c r="D52" s="40" t="s">
        <v>262</v>
      </c>
      <c r="E52" s="40" t="s">
        <v>465</v>
      </c>
      <c r="F52" s="40" t="s">
        <v>498</v>
      </c>
      <c r="G52" s="39" t="s">
        <v>597</v>
      </c>
      <c r="H52" s="40" t="s">
        <v>598</v>
      </c>
      <c r="I52" s="147" t="s">
        <v>598</v>
      </c>
      <c r="J52" s="39" t="b">
        <v>1</v>
      </c>
      <c r="K52" s="120">
        <v>2.73447714233E-5</v>
      </c>
      <c r="L52" s="112">
        <v>1.953194719369E-4</v>
      </c>
      <c r="M52" s="112">
        <v>2.315462710872E-4</v>
      </c>
      <c r="N52" s="112">
        <v>0.385141081590099</v>
      </c>
      <c r="O52" s="87">
        <v>0.998468388382841</v>
      </c>
      <c r="P52" s="112">
        <v>3.496154230346E-4</v>
      </c>
      <c r="Q52" s="112">
        <v>2.32255667038E-5</v>
      </c>
      <c r="R52" s="112">
        <v>1.33459675159E-5</v>
      </c>
      <c r="S52" s="112">
        <v>0.0</v>
      </c>
      <c r="T52" s="112">
        <v>0.0</v>
      </c>
      <c r="U52" s="112">
        <v>2.20312844238E-5</v>
      </c>
      <c r="V52" s="112">
        <v>0.0</v>
      </c>
      <c r="W52" s="112">
        <v>0.0</v>
      </c>
      <c r="X52" s="112">
        <v>5.86132114178E-5</v>
      </c>
      <c r="Y52" s="42">
        <v>2.0</v>
      </c>
      <c r="Z52" s="40">
        <v>0.0</v>
      </c>
      <c r="AA52" s="39">
        <v>2.0</v>
      </c>
    </row>
    <row r="53" ht="14.25" customHeight="1">
      <c r="A53" s="24" t="s">
        <v>270</v>
      </c>
      <c r="B53" s="33">
        <v>8593.0</v>
      </c>
      <c r="C53" s="34" t="s">
        <v>456</v>
      </c>
      <c r="D53" s="34" t="s">
        <v>263</v>
      </c>
      <c r="E53" s="34" t="s">
        <v>484</v>
      </c>
      <c r="F53" s="34" t="s">
        <v>487</v>
      </c>
      <c r="G53" s="143" t="s">
        <v>599</v>
      </c>
      <c r="H53" s="34" t="s">
        <v>600</v>
      </c>
      <c r="I53" s="144" t="s">
        <v>600</v>
      </c>
      <c r="J53" s="143" t="b">
        <v>0</v>
      </c>
      <c r="K53" s="145">
        <v>2.74184579345E-5</v>
      </c>
      <c r="L53" s="98">
        <v>1.999545148513E-4</v>
      </c>
      <c r="M53" s="98">
        <v>0.0022520799220571</v>
      </c>
      <c r="N53" s="98">
        <v>4.06028551371E-5</v>
      </c>
      <c r="O53" s="86">
        <v>2.30669865288E-5</v>
      </c>
      <c r="P53" s="98">
        <v>2.49931268901E-5</v>
      </c>
      <c r="Q53" s="98">
        <v>2.33470302577E-5</v>
      </c>
      <c r="R53" s="98">
        <v>0.0</v>
      </c>
      <c r="S53" s="98">
        <v>0.992328935256213</v>
      </c>
      <c r="T53" s="98">
        <v>2.30544007008E-5</v>
      </c>
      <c r="U53" s="98">
        <v>0.0</v>
      </c>
      <c r="V53" s="98">
        <v>1.328727079457E-4</v>
      </c>
      <c r="W53" s="98">
        <v>0.0</v>
      </c>
      <c r="X53" s="98">
        <v>0.0</v>
      </c>
      <c r="Y53" s="33">
        <v>0.0</v>
      </c>
      <c r="Z53" s="34">
        <v>1.0</v>
      </c>
      <c r="AA53" s="143">
        <v>0.0</v>
      </c>
    </row>
    <row r="54" ht="14.25" customHeight="1">
      <c r="A54" s="47"/>
      <c r="B54" s="37">
        <v>8809.0</v>
      </c>
      <c r="C54" s="21" t="s">
        <v>263</v>
      </c>
      <c r="D54" s="21" t="s">
        <v>456</v>
      </c>
      <c r="E54" s="21" t="s">
        <v>462</v>
      </c>
      <c r="F54" s="21" t="s">
        <v>461</v>
      </c>
      <c r="G54" s="36" t="s">
        <v>601</v>
      </c>
      <c r="H54" s="21" t="s">
        <v>602</v>
      </c>
      <c r="I54" s="144" t="s">
        <v>602</v>
      </c>
      <c r="J54" s="36" t="b">
        <v>0</v>
      </c>
      <c r="K54" s="119">
        <v>8.60844862712E-5</v>
      </c>
      <c r="L54" s="65">
        <v>6.347182635135E-4</v>
      </c>
      <c r="M54" s="65">
        <v>3.697603280782E-4</v>
      </c>
      <c r="N54" s="65">
        <v>2.240963870664E-4</v>
      </c>
      <c r="O54" s="66">
        <v>3.220849372904E-4</v>
      </c>
      <c r="P54" s="65">
        <v>2.761113481764E-4</v>
      </c>
      <c r="Q54" s="65">
        <v>4.85166048079E-5</v>
      </c>
      <c r="R54" s="65">
        <v>4.613985805208E-4</v>
      </c>
      <c r="S54" s="65">
        <v>2.052123948286E-4</v>
      </c>
      <c r="T54" s="65">
        <v>0.0031350874341051</v>
      </c>
      <c r="U54" s="65">
        <v>0.311897751605995</v>
      </c>
      <c r="V54" s="65">
        <v>2.684563758389E-4</v>
      </c>
      <c r="W54" s="65">
        <v>2.844410732909E-4</v>
      </c>
      <c r="X54" s="65">
        <v>0.0</v>
      </c>
      <c r="Y54" s="37">
        <v>0.0</v>
      </c>
      <c r="Z54" s="21">
        <v>1.0</v>
      </c>
      <c r="AA54" s="36">
        <v>0.0</v>
      </c>
    </row>
    <row r="55" ht="14.25" customHeight="1">
      <c r="A55" s="47"/>
      <c r="B55" s="37">
        <v>8947.0</v>
      </c>
      <c r="C55" s="21" t="s">
        <v>263</v>
      </c>
      <c r="D55" s="21" t="s">
        <v>456</v>
      </c>
      <c r="E55" s="21" t="s">
        <v>592</v>
      </c>
      <c r="F55" s="21" t="s">
        <v>543</v>
      </c>
      <c r="G55" s="36" t="s">
        <v>603</v>
      </c>
      <c r="H55" s="21" t="s">
        <v>604</v>
      </c>
      <c r="I55" s="144" t="s">
        <v>604</v>
      </c>
      <c r="J55" s="36" t="b">
        <v>0</v>
      </c>
      <c r="K55" s="119">
        <v>2.631150101171E-4</v>
      </c>
      <c r="L55" s="65">
        <v>7.647436197014E-4</v>
      </c>
      <c r="M55" s="65">
        <v>0.0016519528989478</v>
      </c>
      <c r="N55" s="65">
        <v>2.524912340124E-4</v>
      </c>
      <c r="O55" s="66">
        <v>3.386034914637E-4</v>
      </c>
      <c r="P55" s="65">
        <v>1.999600079984E-4</v>
      </c>
      <c r="Q55" s="65">
        <v>9.16338312104E-5</v>
      </c>
      <c r="R55" s="65">
        <v>0.647206898398586</v>
      </c>
      <c r="S55" s="65">
        <v>2.008233758409E-4</v>
      </c>
      <c r="T55" s="65">
        <v>3.039282729275E-4</v>
      </c>
      <c r="U55" s="65">
        <v>5.694760820045E-4</v>
      </c>
      <c r="V55" s="65">
        <v>3.901170351105E-4</v>
      </c>
      <c r="W55" s="65">
        <v>0.0</v>
      </c>
      <c r="X55" s="65">
        <v>2.314413007001E-4</v>
      </c>
      <c r="Y55" s="37">
        <v>0.0</v>
      </c>
      <c r="Z55" s="21">
        <v>1.0</v>
      </c>
      <c r="AA55" s="36">
        <v>0.0</v>
      </c>
    </row>
    <row r="56" ht="14.25" customHeight="1">
      <c r="A56" s="47"/>
      <c r="B56" s="37">
        <v>8986.0</v>
      </c>
      <c r="C56" s="21" t="s">
        <v>263</v>
      </c>
      <c r="D56" s="21" t="s">
        <v>456</v>
      </c>
      <c r="E56" s="21" t="s">
        <v>462</v>
      </c>
      <c r="F56" s="21" t="s">
        <v>461</v>
      </c>
      <c r="G56" s="36" t="s">
        <v>605</v>
      </c>
      <c r="H56" s="21" t="s">
        <v>606</v>
      </c>
      <c r="I56" s="144" t="s">
        <v>606</v>
      </c>
      <c r="J56" s="36" t="b">
        <v>0</v>
      </c>
      <c r="K56" s="119">
        <v>0.0029786691595138</v>
      </c>
      <c r="L56" s="65">
        <v>0.906373911971949</v>
      </c>
      <c r="M56" s="65">
        <v>7.616902901046E-4</v>
      </c>
      <c r="N56" s="65">
        <v>4.194647014681E-4</v>
      </c>
      <c r="O56" s="66">
        <v>4.34993494345E-4</v>
      </c>
      <c r="P56" s="65">
        <v>2.998950367371E-4</v>
      </c>
      <c r="Q56" s="65">
        <v>9.658725048293E-4</v>
      </c>
      <c r="R56" s="65">
        <v>2.130152305889E-4</v>
      </c>
      <c r="S56" s="65">
        <v>5.033725963958E-4</v>
      </c>
      <c r="T56" s="65">
        <v>5.483917649836E-4</v>
      </c>
      <c r="U56" s="65">
        <v>0.0022594656254113</v>
      </c>
      <c r="V56" s="65">
        <v>0.0024830109775222</v>
      </c>
      <c r="W56" s="65">
        <v>8.430913348946E-4</v>
      </c>
      <c r="X56" s="65">
        <v>0.001112737920937</v>
      </c>
      <c r="Y56" s="37">
        <v>1.0</v>
      </c>
      <c r="Z56" s="21">
        <v>0.0</v>
      </c>
      <c r="AA56" s="36">
        <v>0.0</v>
      </c>
    </row>
    <row r="57" ht="14.25" customHeight="1">
      <c r="A57" s="47"/>
      <c r="B57" s="37">
        <v>9053.0</v>
      </c>
      <c r="C57" s="21" t="s">
        <v>261</v>
      </c>
      <c r="D57" s="21" t="s">
        <v>456</v>
      </c>
      <c r="E57" s="21" t="s">
        <v>578</v>
      </c>
      <c r="F57" s="21" t="s">
        <v>527</v>
      </c>
      <c r="G57" s="36" t="s">
        <v>607</v>
      </c>
      <c r="H57" s="21" t="s">
        <v>608</v>
      </c>
      <c r="I57" s="144" t="s">
        <v>608</v>
      </c>
      <c r="J57" s="36" t="b">
        <v>1</v>
      </c>
      <c r="K57" s="119">
        <v>1.505039330844E-4</v>
      </c>
      <c r="L57" s="65">
        <v>0.904524875896899</v>
      </c>
      <c r="M57" s="65">
        <v>1.276679407927E-4</v>
      </c>
      <c r="N57" s="65">
        <v>1.781070614819E-4</v>
      </c>
      <c r="O57" s="66">
        <v>6.14531362223E-5</v>
      </c>
      <c r="P57" s="65">
        <v>9.99100809271E-5</v>
      </c>
      <c r="Q57" s="65">
        <v>4.367213717648E-4</v>
      </c>
      <c r="R57" s="65">
        <v>2.7564155572E-5</v>
      </c>
      <c r="S57" s="65">
        <v>0.0</v>
      </c>
      <c r="T57" s="65">
        <v>2.970161302606E-4</v>
      </c>
      <c r="U57" s="65">
        <v>6.57909164674E-5</v>
      </c>
      <c r="V57" s="65">
        <v>0.0015682174594877</v>
      </c>
      <c r="W57" s="65">
        <v>2.810041213937E-4</v>
      </c>
      <c r="X57" s="65">
        <v>0.0011098779134295</v>
      </c>
      <c r="Y57" s="37">
        <v>1.0</v>
      </c>
      <c r="Z57" s="21">
        <v>0.0</v>
      </c>
      <c r="AA57" s="36">
        <v>0.0</v>
      </c>
    </row>
    <row r="58" ht="14.25" customHeight="1">
      <c r="A58" s="47"/>
      <c r="B58" s="37">
        <v>9344.0</v>
      </c>
      <c r="C58" s="21" t="s">
        <v>263</v>
      </c>
      <c r="D58" s="21" t="s">
        <v>456</v>
      </c>
      <c r="E58" s="21" t="s">
        <v>609</v>
      </c>
      <c r="F58" s="21" t="s">
        <v>477</v>
      </c>
      <c r="G58" s="36" t="s">
        <v>610</v>
      </c>
      <c r="H58" s="21" t="s">
        <v>611</v>
      </c>
      <c r="I58" s="144" t="s">
        <v>611</v>
      </c>
      <c r="J58" s="36" t="b">
        <v>1</v>
      </c>
      <c r="K58" s="119">
        <v>0.0020457857164098</v>
      </c>
      <c r="L58" s="65">
        <v>8.626363751872E-4</v>
      </c>
      <c r="M58" s="65">
        <v>0.998017312875803</v>
      </c>
      <c r="N58" s="65">
        <v>0.612628886381456</v>
      </c>
      <c r="O58" s="66">
        <v>0.998281500977299</v>
      </c>
      <c r="P58" s="65">
        <v>0.998958148044621</v>
      </c>
      <c r="Q58" s="65">
        <v>0.0259998086490623</v>
      </c>
      <c r="R58" s="65">
        <v>6.050826946349E-4</v>
      </c>
      <c r="S58" s="65">
        <v>7.390202702702E-4</v>
      </c>
      <c r="T58" s="65">
        <v>0.0049719649329326</v>
      </c>
      <c r="U58" s="65">
        <v>8.174266525273E-4</v>
      </c>
      <c r="V58" s="65">
        <v>3.980891719745E-4</v>
      </c>
      <c r="W58" s="65">
        <v>9.492168960607E-4</v>
      </c>
      <c r="X58" s="65">
        <v>9.7503900156E-4</v>
      </c>
      <c r="Y58" s="37">
        <v>3.0</v>
      </c>
      <c r="Z58" s="21">
        <v>0.0</v>
      </c>
      <c r="AA58" s="36">
        <v>4.0</v>
      </c>
    </row>
    <row r="59" ht="14.25" customHeight="1">
      <c r="A59" s="47"/>
      <c r="B59" s="37">
        <v>9424.0</v>
      </c>
      <c r="C59" s="21" t="s">
        <v>262</v>
      </c>
      <c r="D59" s="21" t="s">
        <v>261</v>
      </c>
      <c r="E59" s="21" t="s">
        <v>578</v>
      </c>
      <c r="F59" s="21" t="s">
        <v>515</v>
      </c>
      <c r="G59" s="36" t="s">
        <v>612</v>
      </c>
      <c r="H59" s="21" t="s">
        <v>613</v>
      </c>
      <c r="I59" s="144" t="s">
        <v>613</v>
      </c>
      <c r="J59" s="36" t="b">
        <v>0</v>
      </c>
      <c r="K59" s="119">
        <v>4.46130214037E-5</v>
      </c>
      <c r="L59" s="65">
        <v>9.20267307893E-5</v>
      </c>
      <c r="M59" s="65">
        <v>0.998159075678678</v>
      </c>
      <c r="N59" s="65">
        <v>0.607656520495017</v>
      </c>
      <c r="O59" s="66">
        <v>0.996755842018864</v>
      </c>
      <c r="P59" s="65">
        <v>0.996919191919192</v>
      </c>
      <c r="Q59" s="65">
        <v>4.78549039312E-5</v>
      </c>
      <c r="R59" s="65">
        <v>2.68413141507E-5</v>
      </c>
      <c r="S59" s="65">
        <v>1.058313048999E-4</v>
      </c>
      <c r="T59" s="65">
        <v>2.32201736868E-5</v>
      </c>
      <c r="U59" s="65">
        <v>4.41296529202E-5</v>
      </c>
      <c r="V59" s="65">
        <v>0.0</v>
      </c>
      <c r="W59" s="65">
        <v>0.0</v>
      </c>
      <c r="X59" s="65">
        <v>6.49097754121E-5</v>
      </c>
      <c r="Y59" s="37">
        <v>3.0</v>
      </c>
      <c r="Z59" s="21">
        <v>0.0</v>
      </c>
      <c r="AA59" s="36">
        <v>4.0</v>
      </c>
    </row>
    <row r="60" ht="14.25" customHeight="1">
      <c r="A60" s="47"/>
      <c r="B60" s="37">
        <v>9534.0</v>
      </c>
      <c r="C60" s="21" t="s">
        <v>263</v>
      </c>
      <c r="D60" s="21" t="s">
        <v>456</v>
      </c>
      <c r="E60" s="21" t="s">
        <v>498</v>
      </c>
      <c r="F60" s="21" t="s">
        <v>503</v>
      </c>
      <c r="G60" s="36" t="s">
        <v>614</v>
      </c>
      <c r="H60" s="21" t="s">
        <v>615</v>
      </c>
      <c r="I60" s="144" t="s">
        <v>615</v>
      </c>
      <c r="J60" s="36" t="b">
        <v>1</v>
      </c>
      <c r="K60" s="119">
        <v>1.550897560659E-4</v>
      </c>
      <c r="L60" s="65">
        <v>4.936272829702E-4</v>
      </c>
      <c r="M60" s="65">
        <v>0.997551121948944</v>
      </c>
      <c r="N60" s="65">
        <v>0.608485446180639</v>
      </c>
      <c r="O60" s="66">
        <v>0.998692172555143</v>
      </c>
      <c r="P60" s="65">
        <v>0.998766066838046</v>
      </c>
      <c r="Q60" s="65">
        <v>2.298427875333E-4</v>
      </c>
      <c r="R60" s="65">
        <v>2.322563016599E-4</v>
      </c>
      <c r="S60" s="65">
        <v>5.046427129592E-4</v>
      </c>
      <c r="T60" s="65">
        <v>2.288905674197E-4</v>
      </c>
      <c r="U60" s="65">
        <v>2.621861958967E-4</v>
      </c>
      <c r="V60" s="65">
        <v>3.90167772142E-4</v>
      </c>
      <c r="W60" s="65">
        <v>0.0016853932584269</v>
      </c>
      <c r="X60" s="65">
        <v>0.0012049644535486</v>
      </c>
      <c r="Y60" s="37">
        <v>3.0</v>
      </c>
      <c r="Z60" s="21">
        <v>0.0</v>
      </c>
      <c r="AA60" s="36">
        <v>4.0</v>
      </c>
    </row>
    <row r="61" ht="14.25" customHeight="1">
      <c r="A61" s="47"/>
      <c r="B61" s="37">
        <v>9565.0</v>
      </c>
      <c r="C61" s="21" t="s">
        <v>263</v>
      </c>
      <c r="D61" s="21" t="s">
        <v>456</v>
      </c>
      <c r="E61" s="21" t="s">
        <v>476</v>
      </c>
      <c r="F61" s="21" t="s">
        <v>477</v>
      </c>
      <c r="G61" s="36" t="s">
        <v>616</v>
      </c>
      <c r="H61" s="21" t="s">
        <v>617</v>
      </c>
      <c r="I61" s="144" t="s">
        <v>617</v>
      </c>
      <c r="J61" s="36" t="b">
        <v>0</v>
      </c>
      <c r="K61" s="119">
        <v>0.0032049913856251</v>
      </c>
      <c r="L61" s="65">
        <v>0.0022342236964057</v>
      </c>
      <c r="M61" s="65">
        <v>0.0016896316192217</v>
      </c>
      <c r="N61" s="65">
        <v>0.0023093463642795</v>
      </c>
      <c r="O61" s="66">
        <v>0.0019760171074357</v>
      </c>
      <c r="P61" s="65">
        <v>0.001081298564136</v>
      </c>
      <c r="Q61" s="65">
        <v>0.001452818005719</v>
      </c>
      <c r="R61" s="65">
        <v>0.0019893635362926</v>
      </c>
      <c r="S61" s="65">
        <v>0.962677359654534</v>
      </c>
      <c r="T61" s="65">
        <v>0.0043227995273129</v>
      </c>
      <c r="U61" s="65">
        <v>0.0012048192771084</v>
      </c>
      <c r="V61" s="65">
        <v>0.001564945226917</v>
      </c>
      <c r="W61" s="65">
        <v>0.0019675817483369</v>
      </c>
      <c r="X61" s="65">
        <v>0.0015221626887481</v>
      </c>
      <c r="Y61" s="37">
        <v>0.0</v>
      </c>
      <c r="Z61" s="21">
        <v>1.0</v>
      </c>
      <c r="AA61" s="36">
        <v>0.0</v>
      </c>
    </row>
    <row r="62" ht="14.25" customHeight="1">
      <c r="A62" s="47"/>
      <c r="B62" s="37">
        <v>9693.0</v>
      </c>
      <c r="C62" s="21" t="s">
        <v>263</v>
      </c>
      <c r="D62" s="21" t="s">
        <v>456</v>
      </c>
      <c r="E62" s="21" t="s">
        <v>465</v>
      </c>
      <c r="F62" s="21" t="s">
        <v>484</v>
      </c>
      <c r="G62" s="36" t="s">
        <v>618</v>
      </c>
      <c r="H62" s="21" t="s">
        <v>619</v>
      </c>
      <c r="I62" s="144" t="s">
        <v>619</v>
      </c>
      <c r="J62" s="36" t="b">
        <v>1</v>
      </c>
      <c r="K62" s="119">
        <v>0.0034509988923985</v>
      </c>
      <c r="L62" s="65">
        <v>0.0022757871546158</v>
      </c>
      <c r="M62" s="65">
        <v>0.0021370814454068</v>
      </c>
      <c r="N62" s="65">
        <v>0.0010500325128305</v>
      </c>
      <c r="O62" s="66">
        <v>0.0028164436982072</v>
      </c>
      <c r="P62" s="65">
        <v>0.996986960374731</v>
      </c>
      <c r="Q62" s="65">
        <v>0.0019634566076089</v>
      </c>
      <c r="R62" s="65">
        <v>0.0011565919091742</v>
      </c>
      <c r="S62" s="65">
        <v>7.092917215523E-4</v>
      </c>
      <c r="T62" s="65">
        <v>0.0018706288366979</v>
      </c>
      <c r="U62" s="65">
        <v>3.723008190618E-4</v>
      </c>
      <c r="V62" s="65">
        <v>9.159905783826E-4</v>
      </c>
      <c r="W62" s="65">
        <v>0.0044077651692769</v>
      </c>
      <c r="X62" s="65">
        <v>5.488474204171E-4</v>
      </c>
      <c r="Y62" s="37">
        <v>0.0</v>
      </c>
      <c r="Z62" s="21">
        <v>0.0</v>
      </c>
      <c r="AA62" s="36">
        <v>1.0</v>
      </c>
    </row>
    <row r="63" ht="14.25" customHeight="1">
      <c r="A63" s="47"/>
      <c r="B63" s="37">
        <v>9738.0</v>
      </c>
      <c r="C63" s="21" t="s">
        <v>261</v>
      </c>
      <c r="D63" s="21" t="s">
        <v>263</v>
      </c>
      <c r="E63" s="21" t="s">
        <v>457</v>
      </c>
      <c r="F63" s="21" t="s">
        <v>498</v>
      </c>
      <c r="G63" s="36" t="s">
        <v>620</v>
      </c>
      <c r="H63" s="21" t="s">
        <v>621</v>
      </c>
      <c r="I63" s="144" t="s">
        <v>621</v>
      </c>
      <c r="J63" s="36" t="b">
        <v>1</v>
      </c>
      <c r="K63" s="119">
        <v>7.6970706659E-6</v>
      </c>
      <c r="L63" s="65">
        <v>4.50740284574878E-7</v>
      </c>
      <c r="M63" s="65">
        <v>0.0</v>
      </c>
      <c r="N63" s="65">
        <v>4.65579187492929E-7</v>
      </c>
      <c r="O63" s="66">
        <v>1.1611929322E-5</v>
      </c>
      <c r="P63" s="65">
        <v>0.0</v>
      </c>
      <c r="Q63" s="65">
        <v>0.0</v>
      </c>
      <c r="R63" s="65">
        <v>0.313874754597539</v>
      </c>
      <c r="S63" s="65">
        <v>0.0</v>
      </c>
      <c r="T63" s="65">
        <v>7.6367940738E-6</v>
      </c>
      <c r="U63" s="65">
        <v>2.19226131754E-5</v>
      </c>
      <c r="V63" s="65">
        <v>0.0</v>
      </c>
      <c r="W63" s="65">
        <v>0.0</v>
      </c>
      <c r="X63" s="65">
        <v>0.0</v>
      </c>
      <c r="Y63" s="37">
        <v>0.0</v>
      </c>
      <c r="Z63" s="21">
        <v>1.0</v>
      </c>
      <c r="AA63" s="36">
        <v>0.0</v>
      </c>
    </row>
    <row r="64" ht="14.25" customHeight="1">
      <c r="A64" s="47"/>
      <c r="B64" s="37">
        <v>9857.0</v>
      </c>
      <c r="C64" s="21" t="s">
        <v>263</v>
      </c>
      <c r="D64" s="21" t="s">
        <v>456</v>
      </c>
      <c r="E64" s="21" t="s">
        <v>571</v>
      </c>
      <c r="F64" s="21" t="s">
        <v>527</v>
      </c>
      <c r="G64" s="36" t="s">
        <v>622</v>
      </c>
      <c r="H64" s="21" t="s">
        <v>623</v>
      </c>
      <c r="I64" s="144" t="s">
        <v>623</v>
      </c>
      <c r="J64" s="36" t="b">
        <v>0</v>
      </c>
      <c r="K64" s="119">
        <v>0.0027006087625791</v>
      </c>
      <c r="L64" s="65">
        <v>0.0025377147850375</v>
      </c>
      <c r="M64" s="65">
        <v>0.0012313316301192</v>
      </c>
      <c r="N64" s="65">
        <v>0.0034773959982112</v>
      </c>
      <c r="O64" s="66">
        <v>0.0015562033284169</v>
      </c>
      <c r="P64" s="65">
        <v>0.0028874158883197</v>
      </c>
      <c r="Q64" s="65">
        <v>8.950864465068E-4</v>
      </c>
      <c r="R64" s="65">
        <v>6.090133982947E-4</v>
      </c>
      <c r="S64" s="65">
        <v>3.034901365705E-4</v>
      </c>
      <c r="T64" s="65">
        <v>0.0020022687303484</v>
      </c>
      <c r="U64" s="65">
        <v>0.0049504950495049</v>
      </c>
      <c r="V64" s="65">
        <v>1.305312622373E-4</v>
      </c>
      <c r="W64" s="65">
        <v>0.981661065770523</v>
      </c>
      <c r="X64" s="65">
        <v>0.0021051400502894</v>
      </c>
      <c r="Y64" s="37">
        <v>0.0</v>
      </c>
      <c r="Z64" s="21">
        <v>1.0</v>
      </c>
      <c r="AA64" s="36">
        <v>0.0</v>
      </c>
    </row>
    <row r="65" ht="14.25" customHeight="1">
      <c r="A65" s="47"/>
      <c r="B65" s="37">
        <v>9866.0</v>
      </c>
      <c r="C65" s="21" t="s">
        <v>263</v>
      </c>
      <c r="D65" s="21" t="s">
        <v>456</v>
      </c>
      <c r="E65" s="21" t="s">
        <v>609</v>
      </c>
      <c r="F65" s="21" t="s">
        <v>477</v>
      </c>
      <c r="G65" s="36" t="s">
        <v>624</v>
      </c>
      <c r="H65" s="21" t="s">
        <v>625</v>
      </c>
      <c r="I65" s="144" t="s">
        <v>625</v>
      </c>
      <c r="J65" s="36" t="b">
        <v>1</v>
      </c>
      <c r="K65" s="119">
        <v>1.319632988781E-4</v>
      </c>
      <c r="L65" s="65">
        <v>1.784160959595E-4</v>
      </c>
      <c r="M65" s="65">
        <v>0.997557133222473</v>
      </c>
      <c r="N65" s="65">
        <v>0.344663008522407</v>
      </c>
      <c r="O65" s="66">
        <v>7.633380735206E-4</v>
      </c>
      <c r="P65" s="65">
        <v>0.998535723302196</v>
      </c>
      <c r="Q65" s="65">
        <v>1.700762913649E-4</v>
      </c>
      <c r="R65" s="65">
        <v>2.656218872435E-4</v>
      </c>
      <c r="S65" s="65">
        <v>0.0</v>
      </c>
      <c r="T65" s="65">
        <v>3.05252634711E-5</v>
      </c>
      <c r="U65" s="65">
        <v>5.021614776647E-4</v>
      </c>
      <c r="V65" s="65">
        <v>0.0</v>
      </c>
      <c r="W65" s="65">
        <v>1.880406167732E-4</v>
      </c>
      <c r="X65" s="65">
        <v>1.17130307467E-4</v>
      </c>
      <c r="Y65" s="37">
        <v>2.0</v>
      </c>
      <c r="Z65" s="21">
        <v>0.0</v>
      </c>
      <c r="AA65" s="36">
        <v>3.0</v>
      </c>
    </row>
    <row r="66" ht="14.25" customHeight="1">
      <c r="A66" s="47"/>
      <c r="B66" s="37">
        <v>9867.0</v>
      </c>
      <c r="C66" s="21" t="s">
        <v>456</v>
      </c>
      <c r="D66" s="21" t="s">
        <v>263</v>
      </c>
      <c r="E66" s="21" t="s">
        <v>609</v>
      </c>
      <c r="F66" s="21" t="s">
        <v>584</v>
      </c>
      <c r="G66" s="36" t="s">
        <v>626</v>
      </c>
      <c r="H66" s="21" t="s">
        <v>627</v>
      </c>
      <c r="I66" s="144" t="s">
        <v>627</v>
      </c>
      <c r="J66" s="36" t="b">
        <v>1</v>
      </c>
      <c r="K66" s="119">
        <v>9.11000372062E-5</v>
      </c>
      <c r="L66" s="65">
        <v>4.82543267859E-5</v>
      </c>
      <c r="M66" s="65">
        <v>2.946315568331E-4</v>
      </c>
      <c r="N66" s="65">
        <v>3.71479937374E-5</v>
      </c>
      <c r="O66" s="66">
        <v>1.549216677317E-4</v>
      </c>
      <c r="P66" s="65">
        <v>2.51205787781E-5</v>
      </c>
      <c r="Q66" s="65">
        <v>1.700804237432E-4</v>
      </c>
      <c r="R66" s="65">
        <v>7.96907996971E-5</v>
      </c>
      <c r="S66" s="65">
        <v>1.019679820536E-4</v>
      </c>
      <c r="T66" s="65">
        <v>2.976440330003E-4</v>
      </c>
      <c r="U66" s="65">
        <v>0.992697378490062</v>
      </c>
      <c r="V66" s="65">
        <v>0.0</v>
      </c>
      <c r="W66" s="65">
        <v>0.997928631955559</v>
      </c>
      <c r="X66" s="65">
        <v>1.171440285831E-4</v>
      </c>
      <c r="Y66" s="37">
        <v>0.0</v>
      </c>
      <c r="Z66" s="21">
        <v>2.0</v>
      </c>
      <c r="AA66" s="36">
        <v>0.0</v>
      </c>
    </row>
    <row r="67" ht="14.25" customHeight="1">
      <c r="A67" s="146"/>
      <c r="B67" s="42">
        <v>10029.0</v>
      </c>
      <c r="C67" s="40" t="s">
        <v>263</v>
      </c>
      <c r="D67" s="40" t="s">
        <v>456</v>
      </c>
      <c r="E67" s="40" t="s">
        <v>472</v>
      </c>
      <c r="F67" s="40" t="s">
        <v>473</v>
      </c>
      <c r="G67" s="39" t="s">
        <v>628</v>
      </c>
      <c r="H67" s="40" t="s">
        <v>629</v>
      </c>
      <c r="I67" s="147" t="s">
        <v>629</v>
      </c>
      <c r="J67" s="39" t="b">
        <v>1</v>
      </c>
      <c r="K67" s="120">
        <v>7.015771454229E-4</v>
      </c>
      <c r="L67" s="112">
        <v>0.903943625511815</v>
      </c>
      <c r="M67" s="112">
        <v>0.999415210678047</v>
      </c>
      <c r="N67" s="112">
        <v>0.999072595163872</v>
      </c>
      <c r="O67" s="87">
        <v>0.999674397150199</v>
      </c>
      <c r="P67" s="112">
        <v>0.999422357284577</v>
      </c>
      <c r="Q67" s="112">
        <v>9.157067810496E-4</v>
      </c>
      <c r="R67" s="112">
        <v>4.237288135593E-4</v>
      </c>
      <c r="S67" s="112">
        <v>0.002129817444219</v>
      </c>
      <c r="T67" s="112">
        <v>5.715505022023E-4</v>
      </c>
      <c r="U67" s="112">
        <v>3.707095817523E-4</v>
      </c>
      <c r="V67" s="112">
        <v>0.0035875631145362</v>
      </c>
      <c r="W67" s="112">
        <v>0.998872074443086</v>
      </c>
      <c r="X67" s="112">
        <v>0.997583544527612</v>
      </c>
      <c r="Y67" s="42">
        <v>4.0</v>
      </c>
      <c r="Z67" s="40">
        <v>2.0</v>
      </c>
      <c r="AA67" s="39">
        <v>4.0</v>
      </c>
    </row>
    <row r="68" ht="14.25" customHeight="1">
      <c r="A68" s="24" t="s">
        <v>271</v>
      </c>
      <c r="B68" s="33">
        <v>10097.0</v>
      </c>
      <c r="C68" s="34" t="s">
        <v>261</v>
      </c>
      <c r="D68" s="34" t="s">
        <v>262</v>
      </c>
      <c r="E68" s="34" t="s">
        <v>522</v>
      </c>
      <c r="F68" s="34" t="s">
        <v>457</v>
      </c>
      <c r="G68" s="143" t="s">
        <v>630</v>
      </c>
      <c r="H68" s="34" t="s">
        <v>631</v>
      </c>
      <c r="I68" s="144" t="s">
        <v>631</v>
      </c>
      <c r="J68" s="143" t="b">
        <v>1</v>
      </c>
      <c r="K68" s="145">
        <v>3.14287777178E-5</v>
      </c>
      <c r="L68" s="98">
        <v>2.415710168462E-4</v>
      </c>
      <c r="M68" s="98">
        <v>1.920929422491E-4</v>
      </c>
      <c r="N68" s="98">
        <v>1.531235031443E-4</v>
      </c>
      <c r="O68" s="86">
        <v>1.00853374709E-4</v>
      </c>
      <c r="P68" s="98">
        <v>2.51092251293E-5</v>
      </c>
      <c r="Q68" s="98">
        <v>0.0012776732408762</v>
      </c>
      <c r="R68" s="98">
        <v>1.32712240049E-5</v>
      </c>
      <c r="S68" s="98">
        <v>0.0</v>
      </c>
      <c r="T68" s="98">
        <v>2.28386978897E-5</v>
      </c>
      <c r="U68" s="98">
        <v>8.71687587168E-5</v>
      </c>
      <c r="V68" s="98">
        <v>0.0</v>
      </c>
      <c r="W68" s="98">
        <v>0.984556384742952</v>
      </c>
      <c r="X68" s="98">
        <v>1.754283375241E-4</v>
      </c>
      <c r="Y68" s="33">
        <v>0.0</v>
      </c>
      <c r="Z68" s="34">
        <v>1.0</v>
      </c>
      <c r="AA68" s="143">
        <v>0.0</v>
      </c>
    </row>
    <row r="69" ht="14.25" customHeight="1">
      <c r="A69" s="47"/>
      <c r="B69" s="37">
        <v>10198.0</v>
      </c>
      <c r="C69" s="21" t="s">
        <v>263</v>
      </c>
      <c r="D69" s="21" t="s">
        <v>456</v>
      </c>
      <c r="E69" s="21" t="s">
        <v>462</v>
      </c>
      <c r="F69" s="21" t="s">
        <v>461</v>
      </c>
      <c r="G69" s="36" t="s">
        <v>632</v>
      </c>
      <c r="H69" s="21" t="s">
        <v>633</v>
      </c>
      <c r="I69" s="144" t="s">
        <v>633</v>
      </c>
      <c r="J69" s="36" t="b">
        <v>0</v>
      </c>
      <c r="K69" s="119">
        <v>4.243552770276E-4</v>
      </c>
      <c r="L69" s="65">
        <v>6.489661521633E-4</v>
      </c>
      <c r="M69" s="65">
        <v>0.998637018778852</v>
      </c>
      <c r="N69" s="65">
        <v>0.601710953997617</v>
      </c>
      <c r="O69" s="66">
        <v>0.999204050672813</v>
      </c>
      <c r="P69" s="65">
        <v>0.999338422391857</v>
      </c>
      <c r="Q69" s="65">
        <v>4.359597999173E-4</v>
      </c>
      <c r="R69" s="65">
        <v>3.165433466545E-4</v>
      </c>
      <c r="S69" s="65">
        <v>9.051594086291E-4</v>
      </c>
      <c r="T69" s="65">
        <v>6.155436162047E-4</v>
      </c>
      <c r="U69" s="65">
        <v>0.0024180899268037</v>
      </c>
      <c r="V69" s="65">
        <v>0.0036529680365296</v>
      </c>
      <c r="W69" s="65">
        <v>7.987220447284E-4</v>
      </c>
      <c r="X69" s="65">
        <v>4.615473374487E-4</v>
      </c>
      <c r="Y69" s="37">
        <v>3.0</v>
      </c>
      <c r="Z69" s="21">
        <v>0.0</v>
      </c>
      <c r="AA69" s="36">
        <v>4.0</v>
      </c>
    </row>
    <row r="70" ht="14.25" customHeight="1">
      <c r="A70" s="47"/>
      <c r="B70" s="37">
        <v>10204.0</v>
      </c>
      <c r="C70" s="21" t="s">
        <v>456</v>
      </c>
      <c r="D70" s="21" t="s">
        <v>263</v>
      </c>
      <c r="E70" s="21" t="s">
        <v>609</v>
      </c>
      <c r="F70" s="21" t="s">
        <v>634</v>
      </c>
      <c r="G70" s="36" t="s">
        <v>635</v>
      </c>
      <c r="H70" s="21" t="s">
        <v>636</v>
      </c>
      <c r="I70" s="144" t="s">
        <v>636</v>
      </c>
      <c r="J70" s="36" t="b">
        <v>0</v>
      </c>
      <c r="K70" s="119">
        <v>8.4872856217E-6</v>
      </c>
      <c r="L70" s="65">
        <v>8.54922552297E-5</v>
      </c>
      <c r="M70" s="65">
        <v>0.349119534965466</v>
      </c>
      <c r="N70" s="65">
        <v>3.93689733904E-5</v>
      </c>
      <c r="O70" s="66">
        <v>2.36218612451E-5</v>
      </c>
      <c r="P70" s="65">
        <v>5.340929321701E-4</v>
      </c>
      <c r="Q70" s="65">
        <v>9.17725875281E-5</v>
      </c>
      <c r="R70" s="65">
        <v>0.0</v>
      </c>
      <c r="S70" s="65">
        <v>1.005732676254E-4</v>
      </c>
      <c r="T70" s="65">
        <v>3.79959420333E-5</v>
      </c>
      <c r="U70" s="65">
        <v>0.0</v>
      </c>
      <c r="V70" s="65">
        <v>0.0</v>
      </c>
      <c r="W70" s="65">
        <v>0.0</v>
      </c>
      <c r="X70" s="65">
        <v>4.616538750072E-4</v>
      </c>
      <c r="Y70" s="37">
        <v>1.0</v>
      </c>
      <c r="Z70" s="21">
        <v>0.0</v>
      </c>
      <c r="AA70" s="36">
        <v>1.0</v>
      </c>
    </row>
    <row r="71" ht="14.25" customHeight="1">
      <c r="A71" s="47"/>
      <c r="B71" s="37">
        <v>10323.0</v>
      </c>
      <c r="C71" s="21" t="s">
        <v>262</v>
      </c>
      <c r="D71" s="21" t="s">
        <v>261</v>
      </c>
      <c r="E71" s="21" t="s">
        <v>494</v>
      </c>
      <c r="F71" s="21" t="s">
        <v>458</v>
      </c>
      <c r="G71" s="36" t="s">
        <v>637</v>
      </c>
      <c r="H71" s="21" t="s">
        <v>638</v>
      </c>
      <c r="I71" s="144" t="s">
        <v>638</v>
      </c>
      <c r="J71" s="36" t="b">
        <v>1</v>
      </c>
      <c r="K71" s="119">
        <v>0.0143213263247417</v>
      </c>
      <c r="L71" s="65">
        <v>0.0159126395773933</v>
      </c>
      <c r="M71" s="65">
        <v>0.0061746085506604</v>
      </c>
      <c r="N71" s="65">
        <v>0.0058830129650693</v>
      </c>
      <c r="O71" s="66">
        <v>0.0084541581571887</v>
      </c>
      <c r="P71" s="65">
        <v>0.0089764337008192</v>
      </c>
      <c r="Q71" s="65">
        <v>0.992623178992298</v>
      </c>
      <c r="R71" s="65">
        <v>0.0101705647235743</v>
      </c>
      <c r="S71" s="65">
        <v>0.0070422535211267</v>
      </c>
      <c r="T71" s="65">
        <v>0.0202911772532025</v>
      </c>
      <c r="U71" s="65">
        <v>0.0093476271408027</v>
      </c>
      <c r="V71" s="65">
        <v>0.0052185257664709</v>
      </c>
      <c r="W71" s="65">
        <v>0.0150608418112906</v>
      </c>
      <c r="X71" s="65">
        <v>0.0090610030588099</v>
      </c>
      <c r="Y71" s="37">
        <v>0.0</v>
      </c>
      <c r="Z71" s="21">
        <v>1.0</v>
      </c>
      <c r="AA71" s="36">
        <v>0.0</v>
      </c>
    </row>
    <row r="72" ht="14.25" customHeight="1">
      <c r="A72" s="47"/>
      <c r="B72" s="37">
        <v>10447.0</v>
      </c>
      <c r="C72" s="21" t="s">
        <v>261</v>
      </c>
      <c r="D72" s="21" t="s">
        <v>262</v>
      </c>
      <c r="E72" s="21" t="s">
        <v>458</v>
      </c>
      <c r="F72" s="21" t="s">
        <v>453</v>
      </c>
      <c r="G72" s="36" t="s">
        <v>639</v>
      </c>
      <c r="H72" s="21" t="s">
        <v>640</v>
      </c>
      <c r="I72" s="144" t="s">
        <v>640</v>
      </c>
      <c r="J72" s="36" t="b">
        <v>0</v>
      </c>
      <c r="K72" s="119">
        <v>8.24433839184E-5</v>
      </c>
      <c r="L72" s="65">
        <v>2.307205276882E-4</v>
      </c>
      <c r="M72" s="65">
        <v>0.999445791831276</v>
      </c>
      <c r="N72" s="65">
        <v>0.611717476293589</v>
      </c>
      <c r="O72" s="66">
        <v>0.999523558861613</v>
      </c>
      <c r="P72" s="65">
        <v>0.999799161499259</v>
      </c>
      <c r="Q72" s="65">
        <v>4.59759545757E-5</v>
      </c>
      <c r="R72" s="65">
        <v>0.0</v>
      </c>
      <c r="S72" s="65">
        <v>0.0</v>
      </c>
      <c r="T72" s="65">
        <v>3.880746929644E-4</v>
      </c>
      <c r="U72" s="65">
        <v>2.17964646134E-5</v>
      </c>
      <c r="V72" s="65">
        <v>3.905233012236E-4</v>
      </c>
      <c r="W72" s="65">
        <v>1.871958068139E-4</v>
      </c>
      <c r="X72" s="65">
        <v>3.481490077753E-4</v>
      </c>
      <c r="Y72" s="37">
        <v>3.0</v>
      </c>
      <c r="Z72" s="21">
        <v>0.0</v>
      </c>
      <c r="AA72" s="36">
        <v>4.0</v>
      </c>
    </row>
    <row r="73" ht="14.25" customHeight="1">
      <c r="A73" s="146"/>
      <c r="B73" s="42">
        <v>10449.0</v>
      </c>
      <c r="C73" s="40" t="s">
        <v>263</v>
      </c>
      <c r="D73" s="40" t="s">
        <v>262</v>
      </c>
      <c r="E73" s="40" t="s">
        <v>641</v>
      </c>
      <c r="F73" s="40" t="s">
        <v>574</v>
      </c>
      <c r="G73" s="39" t="s">
        <v>642</v>
      </c>
      <c r="H73" s="40" t="s">
        <v>643</v>
      </c>
      <c r="I73" s="147" t="s">
        <v>643</v>
      </c>
      <c r="J73" s="39" t="b">
        <v>1</v>
      </c>
      <c r="K73" s="120">
        <v>2.38022778779E-5</v>
      </c>
      <c r="L73" s="112">
        <v>1.795673388701E-4</v>
      </c>
      <c r="M73" s="112">
        <v>0.999552485106144</v>
      </c>
      <c r="N73" s="112">
        <v>0.997417616512421</v>
      </c>
      <c r="O73" s="87">
        <v>0.999627209838585</v>
      </c>
      <c r="P73" s="112">
        <v>0.999799166541145</v>
      </c>
      <c r="Q73" s="112">
        <v>2.30043708304E-5</v>
      </c>
      <c r="R73" s="112">
        <v>0.0</v>
      </c>
      <c r="S73" s="112">
        <v>0.0</v>
      </c>
      <c r="T73" s="112">
        <v>7.6106396742E-6</v>
      </c>
      <c r="U73" s="112">
        <v>0.0</v>
      </c>
      <c r="V73" s="112">
        <v>1.301913813305E-4</v>
      </c>
      <c r="W73" s="112">
        <v>0.0</v>
      </c>
      <c r="X73" s="112">
        <v>2.320858717725E-4</v>
      </c>
      <c r="Y73" s="42">
        <v>3.0</v>
      </c>
      <c r="Z73" s="40">
        <v>0.0</v>
      </c>
      <c r="AA73" s="39">
        <v>4.0</v>
      </c>
    </row>
    <row r="74" ht="14.25" customHeight="1">
      <c r="A74" s="24" t="s">
        <v>272</v>
      </c>
      <c r="B74" s="33">
        <v>11042.0</v>
      </c>
      <c r="C74" s="34" t="s">
        <v>261</v>
      </c>
      <c r="D74" s="34" t="s">
        <v>456</v>
      </c>
      <c r="E74" s="34" t="s">
        <v>484</v>
      </c>
      <c r="F74" s="34" t="s">
        <v>477</v>
      </c>
      <c r="G74" s="143" t="s">
        <v>644</v>
      </c>
      <c r="H74" s="34" t="s">
        <v>645</v>
      </c>
      <c r="I74" s="144" t="s">
        <v>645</v>
      </c>
      <c r="J74" s="143" t="b">
        <v>1</v>
      </c>
      <c r="K74" s="145">
        <v>1.237809484164E-4</v>
      </c>
      <c r="L74" s="98">
        <v>9.878903618067E-4</v>
      </c>
      <c r="M74" s="98">
        <v>7.62286146973E-5</v>
      </c>
      <c r="N74" s="98">
        <v>5.18754191856E-5</v>
      </c>
      <c r="O74" s="86">
        <v>0.99736742555836</v>
      </c>
      <c r="P74" s="98">
        <v>5.010271055664E-4</v>
      </c>
      <c r="Q74" s="98">
        <v>8.036185796615E-4</v>
      </c>
      <c r="R74" s="98">
        <v>1.054880139244E-4</v>
      </c>
      <c r="S74" s="98">
        <v>2.005816868919E-4</v>
      </c>
      <c r="T74" s="98">
        <v>2.278475244366E-4</v>
      </c>
      <c r="U74" s="98">
        <v>0.0</v>
      </c>
      <c r="V74" s="98">
        <v>3.892565200467E-4</v>
      </c>
      <c r="W74" s="98">
        <v>5.608000747733E-4</v>
      </c>
      <c r="X74" s="98">
        <v>0.0</v>
      </c>
      <c r="Y74" s="33">
        <v>1.0</v>
      </c>
      <c r="Z74" s="34">
        <v>0.0</v>
      </c>
      <c r="AA74" s="143">
        <v>1.0</v>
      </c>
    </row>
    <row r="75" ht="14.25" customHeight="1">
      <c r="A75" s="47"/>
      <c r="B75" s="37">
        <v>11201.0</v>
      </c>
      <c r="C75" s="21" t="s">
        <v>262</v>
      </c>
      <c r="D75" s="21" t="s">
        <v>261</v>
      </c>
      <c r="E75" s="21" t="s">
        <v>498</v>
      </c>
      <c r="F75" s="21" t="s">
        <v>465</v>
      </c>
      <c r="G75" s="36" t="s">
        <v>646</v>
      </c>
      <c r="H75" s="21" t="s">
        <v>647</v>
      </c>
      <c r="I75" s="144" t="s">
        <v>647</v>
      </c>
      <c r="J75" s="36" t="b">
        <v>1</v>
      </c>
      <c r="K75" s="119">
        <v>2.927017403701E-4</v>
      </c>
      <c r="L75" s="65">
        <v>0.904149503652226</v>
      </c>
      <c r="M75" s="65">
        <v>3.81321354758E-5</v>
      </c>
      <c r="N75" s="65">
        <v>4.980075852751E-4</v>
      </c>
      <c r="O75" s="66">
        <v>7.6727421996E-6</v>
      </c>
      <c r="P75" s="65">
        <v>0.0</v>
      </c>
      <c r="Q75" s="65">
        <v>5.60328726186E-4</v>
      </c>
      <c r="R75" s="65">
        <v>1.053837946069E-4</v>
      </c>
      <c r="S75" s="65">
        <v>0.0014090177133655</v>
      </c>
      <c r="T75" s="65">
        <v>1.750940178748E-4</v>
      </c>
      <c r="U75" s="65">
        <v>1.742046469089E-4</v>
      </c>
      <c r="V75" s="65">
        <v>0.991953568130853</v>
      </c>
      <c r="W75" s="65">
        <v>1.879522601259E-4</v>
      </c>
      <c r="X75" s="65">
        <v>0.0015068096203998</v>
      </c>
      <c r="Y75" s="37">
        <v>1.0</v>
      </c>
      <c r="Z75" s="21">
        <v>1.0</v>
      </c>
      <c r="AA75" s="36">
        <v>0.0</v>
      </c>
    </row>
    <row r="76" ht="14.25" customHeight="1">
      <c r="A76" s="47"/>
      <c r="B76" s="37">
        <v>11332.0</v>
      </c>
      <c r="C76" s="21" t="s">
        <v>262</v>
      </c>
      <c r="D76" s="21" t="s">
        <v>261</v>
      </c>
      <c r="E76" s="21" t="s">
        <v>578</v>
      </c>
      <c r="F76" s="21" t="s">
        <v>515</v>
      </c>
      <c r="G76" s="36" t="s">
        <v>648</v>
      </c>
      <c r="H76" s="21" t="s">
        <v>649</v>
      </c>
      <c r="I76" s="144" t="s">
        <v>649</v>
      </c>
      <c r="J76" s="36" t="b">
        <v>0</v>
      </c>
      <c r="K76" s="119">
        <v>2.235641739686E-4</v>
      </c>
      <c r="L76" s="65">
        <v>0.901020471555148</v>
      </c>
      <c r="M76" s="65">
        <v>4.06543314649E-5</v>
      </c>
      <c r="N76" s="65">
        <v>2.041517218618E-4</v>
      </c>
      <c r="O76" s="66">
        <v>2.68527433913E-5</v>
      </c>
      <c r="P76" s="65">
        <v>1.250531475877E-4</v>
      </c>
      <c r="Q76" s="65">
        <v>3.226475536401E-4</v>
      </c>
      <c r="R76" s="65">
        <v>5.26184243412E-5</v>
      </c>
      <c r="S76" s="65">
        <v>0.0015116396251133</v>
      </c>
      <c r="T76" s="65">
        <v>2.964133978855E-4</v>
      </c>
      <c r="U76" s="65">
        <v>1.305454624573E-4</v>
      </c>
      <c r="V76" s="65">
        <v>1.299883010529E-4</v>
      </c>
      <c r="W76" s="65">
        <v>1.870207593042E-4</v>
      </c>
      <c r="X76" s="65">
        <v>5.752746936662E-4</v>
      </c>
      <c r="Y76" s="37">
        <v>1.0</v>
      </c>
      <c r="Z76" s="21">
        <v>0.0</v>
      </c>
      <c r="AA76" s="36">
        <v>0.0</v>
      </c>
    </row>
    <row r="77" ht="14.25" customHeight="1">
      <c r="A77" s="47"/>
      <c r="B77" s="37">
        <v>11451.0</v>
      </c>
      <c r="C77" s="21" t="s">
        <v>262</v>
      </c>
      <c r="D77" s="21" t="s">
        <v>261</v>
      </c>
      <c r="E77" s="21" t="s">
        <v>551</v>
      </c>
      <c r="F77" s="21" t="s">
        <v>650</v>
      </c>
      <c r="G77" s="36" t="s">
        <v>651</v>
      </c>
      <c r="H77" s="21" t="s">
        <v>652</v>
      </c>
      <c r="I77" s="144" t="s">
        <v>652</v>
      </c>
      <c r="J77" s="36" t="b">
        <v>1</v>
      </c>
      <c r="K77" s="119">
        <v>3.74459799187E-5</v>
      </c>
      <c r="L77" s="65">
        <v>5.18314531285E-5</v>
      </c>
      <c r="M77" s="65">
        <v>2.5427111912E-6</v>
      </c>
      <c r="N77" s="65">
        <v>1.38411454808E-5</v>
      </c>
      <c r="O77" s="66">
        <v>9.98322051014E-5</v>
      </c>
      <c r="P77" s="65">
        <v>0.0</v>
      </c>
      <c r="Q77" s="65">
        <v>4.60776408247E-5</v>
      </c>
      <c r="R77" s="65">
        <v>1.190933029865E-4</v>
      </c>
      <c r="S77" s="65">
        <v>2.016129032258E-4</v>
      </c>
      <c r="T77" s="65">
        <v>2.28402628152E-5</v>
      </c>
      <c r="U77" s="65">
        <v>2.18478949553E-5</v>
      </c>
      <c r="V77" s="65">
        <v>0.0</v>
      </c>
      <c r="W77" s="65">
        <v>0.0</v>
      </c>
      <c r="X77" s="65">
        <v>0.995556872037914</v>
      </c>
      <c r="Y77" s="37">
        <v>0.0</v>
      </c>
      <c r="Z77" s="21">
        <v>1.0</v>
      </c>
      <c r="AA77" s="36">
        <v>0.0</v>
      </c>
    </row>
    <row r="78" ht="14.25" customHeight="1">
      <c r="A78" s="47"/>
      <c r="B78" s="37">
        <v>11537.0</v>
      </c>
      <c r="C78" s="21" t="s">
        <v>262</v>
      </c>
      <c r="D78" s="21" t="s">
        <v>261</v>
      </c>
      <c r="E78" s="21" t="s">
        <v>503</v>
      </c>
      <c r="F78" s="21" t="s">
        <v>484</v>
      </c>
      <c r="G78" s="36" t="s">
        <v>653</v>
      </c>
      <c r="H78" s="21" t="s">
        <v>654</v>
      </c>
      <c r="I78" s="144" t="s">
        <v>654</v>
      </c>
      <c r="J78" s="36" t="b">
        <v>1</v>
      </c>
      <c r="K78" s="119">
        <v>1.183319116477E-4</v>
      </c>
      <c r="L78" s="65">
        <v>6.753285382077E-4</v>
      </c>
      <c r="M78" s="65">
        <v>4.219344544003E-4</v>
      </c>
      <c r="N78" s="65">
        <v>0.389464484966695</v>
      </c>
      <c r="O78" s="66">
        <v>4.932036536526E-4</v>
      </c>
      <c r="P78" s="65">
        <v>9.083110460715E-4</v>
      </c>
      <c r="Q78" s="65">
        <v>1.15199410179E-4</v>
      </c>
      <c r="R78" s="65">
        <v>5.691896328065E-4</v>
      </c>
      <c r="S78" s="65">
        <v>0.0</v>
      </c>
      <c r="T78" s="65">
        <v>8.37202222391E-5</v>
      </c>
      <c r="U78" s="65">
        <v>2.18655704727E-5</v>
      </c>
      <c r="V78" s="65">
        <v>1.311647429171E-4</v>
      </c>
      <c r="W78" s="65">
        <v>8.427755407809E-4</v>
      </c>
      <c r="X78" s="65">
        <v>1.172951733036E-4</v>
      </c>
      <c r="Y78" s="37">
        <v>1.0</v>
      </c>
      <c r="Z78" s="21">
        <v>0.0</v>
      </c>
      <c r="AA78" s="36">
        <v>1.0</v>
      </c>
    </row>
    <row r="79" ht="14.25" customHeight="1">
      <c r="A79" s="146"/>
      <c r="B79" s="42">
        <v>11727.0</v>
      </c>
      <c r="C79" s="40" t="s">
        <v>261</v>
      </c>
      <c r="D79" s="40" t="s">
        <v>262</v>
      </c>
      <c r="E79" s="40" t="s">
        <v>453</v>
      </c>
      <c r="F79" s="40" t="s">
        <v>452</v>
      </c>
      <c r="G79" s="39" t="s">
        <v>655</v>
      </c>
      <c r="H79" s="40" t="s">
        <v>656</v>
      </c>
      <c r="I79" s="147" t="s">
        <v>656</v>
      </c>
      <c r="J79" s="39" t="b">
        <v>1</v>
      </c>
      <c r="K79" s="120">
        <v>1.10579855242E-5</v>
      </c>
      <c r="L79" s="112">
        <v>1.27547652474E-5</v>
      </c>
      <c r="M79" s="112">
        <v>1.330317945989E-4</v>
      </c>
      <c r="N79" s="112">
        <v>5.82363267113E-5</v>
      </c>
      <c r="O79" s="87">
        <v>0.911980478713743</v>
      </c>
      <c r="P79" s="112">
        <v>3.024574669187E-4</v>
      </c>
      <c r="Q79" s="112">
        <v>1.149398864393E-4</v>
      </c>
      <c r="R79" s="112">
        <v>0.0</v>
      </c>
      <c r="S79" s="112">
        <v>0.0</v>
      </c>
      <c r="T79" s="112">
        <v>1.52636800732E-5</v>
      </c>
      <c r="U79" s="112">
        <v>4.38077714986E-5</v>
      </c>
      <c r="V79" s="112">
        <v>0.0</v>
      </c>
      <c r="W79" s="112">
        <v>0.0</v>
      </c>
      <c r="X79" s="112">
        <v>0.0</v>
      </c>
      <c r="Y79" s="42">
        <v>1.0</v>
      </c>
      <c r="Z79" s="40">
        <v>0.0</v>
      </c>
      <c r="AA79" s="39">
        <v>1.0</v>
      </c>
    </row>
    <row r="80" ht="14.25" customHeight="1">
      <c r="A80" s="148" t="s">
        <v>274</v>
      </c>
      <c r="B80" s="149">
        <v>12100.0</v>
      </c>
      <c r="C80" s="150" t="s">
        <v>263</v>
      </c>
      <c r="D80" s="150" t="s">
        <v>456</v>
      </c>
      <c r="E80" s="150" t="s">
        <v>536</v>
      </c>
      <c r="F80" s="150" t="s">
        <v>465</v>
      </c>
      <c r="G80" s="31" t="s">
        <v>657</v>
      </c>
      <c r="H80" s="150" t="s">
        <v>658</v>
      </c>
      <c r="I80" s="147" t="s">
        <v>658</v>
      </c>
      <c r="J80" s="31" t="b">
        <v>0</v>
      </c>
      <c r="K80" s="151">
        <v>2.655846425892E-4</v>
      </c>
      <c r="L80" s="152">
        <v>0.0024550572437253</v>
      </c>
      <c r="M80" s="152">
        <v>3.334852260953E-4</v>
      </c>
      <c r="N80" s="152">
        <v>3.310042715678E-4</v>
      </c>
      <c r="O80" s="153">
        <v>4.892480988666E-4</v>
      </c>
      <c r="P80" s="152">
        <v>1.502780143265E-4</v>
      </c>
      <c r="Q80" s="152">
        <v>4.585788641E-5</v>
      </c>
      <c r="R80" s="152">
        <v>0.648831651619755</v>
      </c>
      <c r="S80" s="152">
        <v>1.004823151125E-4</v>
      </c>
      <c r="T80" s="152">
        <v>3.646308113035E-4</v>
      </c>
      <c r="U80" s="152">
        <v>1.091059855543E-4</v>
      </c>
      <c r="V80" s="152">
        <v>1.302083333333E-4</v>
      </c>
      <c r="W80" s="152">
        <v>7.476635514018E-4</v>
      </c>
      <c r="X80" s="152">
        <v>2.874885004599E-4</v>
      </c>
      <c r="Y80" s="149">
        <v>0.0</v>
      </c>
      <c r="Z80" s="150">
        <v>1.0</v>
      </c>
      <c r="AA80" s="31">
        <v>0.0</v>
      </c>
    </row>
    <row r="81" ht="14.25" customHeight="1">
      <c r="A81" s="24" t="s">
        <v>275</v>
      </c>
      <c r="B81" s="33">
        <v>12778.0</v>
      </c>
      <c r="C81" s="34" t="s">
        <v>263</v>
      </c>
      <c r="D81" s="34" t="s">
        <v>456</v>
      </c>
      <c r="E81" s="34" t="s">
        <v>518</v>
      </c>
      <c r="F81" s="34" t="s">
        <v>519</v>
      </c>
      <c r="G81" s="143" t="s">
        <v>659</v>
      </c>
      <c r="H81" s="34" t="s">
        <v>660</v>
      </c>
      <c r="I81" s="144" t="s">
        <v>660</v>
      </c>
      <c r="J81" s="143" t="b">
        <v>0</v>
      </c>
      <c r="K81" s="145">
        <v>7.320035692595E-4</v>
      </c>
      <c r="L81" s="98">
        <v>5.671847147179E-4</v>
      </c>
      <c r="M81" s="98">
        <v>0.0011355650836651</v>
      </c>
      <c r="N81" s="98">
        <v>3.302715972881E-4</v>
      </c>
      <c r="O81" s="86">
        <v>1.803177428822E-4</v>
      </c>
      <c r="P81" s="98">
        <v>1.99526125452E-4</v>
      </c>
      <c r="Q81" s="98">
        <v>9.838916346329E-4</v>
      </c>
      <c r="R81" s="98">
        <v>1.062416998671E-4</v>
      </c>
      <c r="S81" s="98">
        <v>0.0</v>
      </c>
      <c r="T81" s="98">
        <v>0.991261514060879</v>
      </c>
      <c r="U81" s="98">
        <v>1.97316495659E-4</v>
      </c>
      <c r="V81" s="98">
        <v>0.0</v>
      </c>
      <c r="W81" s="98">
        <v>9.358038555118E-4</v>
      </c>
      <c r="X81" s="98">
        <v>5.763356578871E-4</v>
      </c>
      <c r="Y81" s="33">
        <v>0.0</v>
      </c>
      <c r="Z81" s="34">
        <v>1.0</v>
      </c>
      <c r="AA81" s="143">
        <v>0.0</v>
      </c>
    </row>
    <row r="82" ht="14.25" customHeight="1">
      <c r="A82" s="47"/>
      <c r="B82" s="37">
        <v>12789.0</v>
      </c>
      <c r="C82" s="21" t="s">
        <v>263</v>
      </c>
      <c r="D82" s="21" t="s">
        <v>456</v>
      </c>
      <c r="E82" s="21" t="s">
        <v>497</v>
      </c>
      <c r="F82" s="21" t="s">
        <v>581</v>
      </c>
      <c r="G82" s="36" t="s">
        <v>661</v>
      </c>
      <c r="H82" s="21" t="s">
        <v>662</v>
      </c>
      <c r="I82" s="144" t="s">
        <v>662</v>
      </c>
      <c r="J82" s="36" t="b">
        <v>1</v>
      </c>
      <c r="K82" s="119">
        <v>0.0018697307587707</v>
      </c>
      <c r="L82" s="65">
        <v>0.0020253382070923</v>
      </c>
      <c r="M82" s="65">
        <v>0.0048922081764663</v>
      </c>
      <c r="N82" s="65">
        <v>0.0037553137497372</v>
      </c>
      <c r="O82" s="66">
        <v>0.996684074313707</v>
      </c>
      <c r="P82" s="65">
        <v>0.998646718291857</v>
      </c>
      <c r="Q82" s="65">
        <v>0.0024970791047169</v>
      </c>
      <c r="R82" s="65">
        <v>0.0014220213967705</v>
      </c>
      <c r="S82" s="65">
        <v>5.065342923715E-4</v>
      </c>
      <c r="T82" s="65">
        <v>0.0014588335410144</v>
      </c>
      <c r="U82" s="65">
        <v>0.0013813063211208</v>
      </c>
      <c r="V82" s="65">
        <v>3.903708523096E-4</v>
      </c>
      <c r="W82" s="65">
        <v>0.0073013198539736</v>
      </c>
      <c r="X82" s="65">
        <v>2.893685977197E-4</v>
      </c>
      <c r="Y82" s="37">
        <v>1.0</v>
      </c>
      <c r="Z82" s="21">
        <v>0.0</v>
      </c>
      <c r="AA82" s="36">
        <v>2.0</v>
      </c>
    </row>
    <row r="83" ht="14.25" customHeight="1">
      <c r="A83" s="47"/>
      <c r="B83" s="37">
        <v>12815.0</v>
      </c>
      <c r="C83" s="21" t="s">
        <v>263</v>
      </c>
      <c r="D83" s="21" t="s">
        <v>456</v>
      </c>
      <c r="E83" s="21" t="s">
        <v>491</v>
      </c>
      <c r="F83" s="21" t="s">
        <v>490</v>
      </c>
      <c r="G83" s="36" t="s">
        <v>663</v>
      </c>
      <c r="H83" s="21" t="s">
        <v>664</v>
      </c>
      <c r="I83" s="144" t="s">
        <v>664</v>
      </c>
      <c r="J83" s="36" t="b">
        <v>0</v>
      </c>
      <c r="K83" s="119">
        <v>6.321623440545E-4</v>
      </c>
      <c r="L83" s="65">
        <v>5.680055635876E-4</v>
      </c>
      <c r="M83" s="65">
        <v>3.652926044851E-4</v>
      </c>
      <c r="N83" s="65">
        <v>3.19212745988E-4</v>
      </c>
      <c r="O83" s="66">
        <v>0.987827553153402</v>
      </c>
      <c r="P83" s="65">
        <v>9.258564171858E-4</v>
      </c>
      <c r="Q83" s="65">
        <v>3.90131956397E-4</v>
      </c>
      <c r="R83" s="65">
        <v>8.242817448183E-4</v>
      </c>
      <c r="S83" s="65">
        <v>1.015950421619E-4</v>
      </c>
      <c r="T83" s="65">
        <v>9.053560559951E-4</v>
      </c>
      <c r="U83" s="65">
        <v>1.31604922024E-4</v>
      </c>
      <c r="V83" s="65">
        <v>3.927729772191E-4</v>
      </c>
      <c r="W83" s="65">
        <v>9.36680404645E-5</v>
      </c>
      <c r="X83" s="65">
        <v>1.749373141291E-4</v>
      </c>
      <c r="Y83" s="37">
        <v>1.0</v>
      </c>
      <c r="Z83" s="21">
        <v>0.0</v>
      </c>
      <c r="AA83" s="36">
        <v>1.0</v>
      </c>
    </row>
    <row r="84" ht="14.25" customHeight="1">
      <c r="A84" s="47"/>
      <c r="B84" s="37">
        <v>12878.0</v>
      </c>
      <c r="C84" s="21" t="s">
        <v>262</v>
      </c>
      <c r="D84" s="21" t="s">
        <v>261</v>
      </c>
      <c r="E84" s="21" t="s">
        <v>473</v>
      </c>
      <c r="F84" s="21" t="s">
        <v>487</v>
      </c>
      <c r="G84" s="36" t="s">
        <v>665</v>
      </c>
      <c r="H84" s="21" t="s">
        <v>666</v>
      </c>
      <c r="I84" s="144" t="s">
        <v>666</v>
      </c>
      <c r="J84" s="36" t="b">
        <v>1</v>
      </c>
      <c r="K84" s="119">
        <v>4.08440421306E-5</v>
      </c>
      <c r="L84" s="65">
        <v>1.334091109021E-4</v>
      </c>
      <c r="M84" s="65">
        <v>2.448086539859E-4</v>
      </c>
      <c r="N84" s="65">
        <v>5.57546732937E-5</v>
      </c>
      <c r="O84" s="66">
        <v>3.84898136708E-5</v>
      </c>
      <c r="P84" s="65">
        <v>1.754122187139E-4</v>
      </c>
      <c r="Q84" s="65">
        <v>1.37614678899E-4</v>
      </c>
      <c r="R84" s="65">
        <v>0.67206314687286</v>
      </c>
      <c r="S84" s="65">
        <v>0.0</v>
      </c>
      <c r="T84" s="65">
        <v>6.843638078E-5</v>
      </c>
      <c r="U84" s="65">
        <v>1.536098310291E-4</v>
      </c>
      <c r="V84" s="65">
        <v>0.0</v>
      </c>
      <c r="W84" s="65">
        <v>4.682963379226E-4</v>
      </c>
      <c r="X84" s="65">
        <v>1.73580975525E-4</v>
      </c>
      <c r="Y84" s="37">
        <v>0.0</v>
      </c>
      <c r="Z84" s="21">
        <v>1.0</v>
      </c>
      <c r="AA84" s="36">
        <v>0.0</v>
      </c>
    </row>
    <row r="85" ht="14.25" customHeight="1">
      <c r="A85" s="146"/>
      <c r="B85" s="42">
        <v>12880.0</v>
      </c>
      <c r="C85" s="40" t="s">
        <v>263</v>
      </c>
      <c r="D85" s="40" t="s">
        <v>456</v>
      </c>
      <c r="E85" s="40" t="s">
        <v>473</v>
      </c>
      <c r="F85" s="40" t="s">
        <v>503</v>
      </c>
      <c r="G85" s="39" t="s">
        <v>667</v>
      </c>
      <c r="H85" s="40" t="s">
        <v>668</v>
      </c>
      <c r="I85" s="147" t="s">
        <v>668</v>
      </c>
      <c r="J85" s="39" t="b">
        <v>0</v>
      </c>
      <c r="K85" s="120">
        <v>0.001451683859675</v>
      </c>
      <c r="L85" s="112">
        <v>0.0024574458010854</v>
      </c>
      <c r="M85" s="112">
        <v>0.999721864274869</v>
      </c>
      <c r="N85" s="112">
        <v>0.612792387939576</v>
      </c>
      <c r="O85" s="87">
        <v>0.999371774563422</v>
      </c>
      <c r="P85" s="112">
        <v>0.999347520578197</v>
      </c>
      <c r="Q85" s="112">
        <v>0.0013305193613507</v>
      </c>
      <c r="R85" s="112">
        <v>0.0011991525988301</v>
      </c>
      <c r="S85" s="112">
        <v>0.002945059408957</v>
      </c>
      <c r="T85" s="112">
        <v>0.001695675646904</v>
      </c>
      <c r="U85" s="112">
        <v>0.0321058637640449</v>
      </c>
      <c r="V85" s="112">
        <v>5.233547036503E-4</v>
      </c>
      <c r="W85" s="112">
        <v>0.0050576004495644</v>
      </c>
      <c r="X85" s="112">
        <v>8.100445524503E-4</v>
      </c>
      <c r="Y85" s="42">
        <v>3.0</v>
      </c>
      <c r="Z85" s="40">
        <v>0.0</v>
      </c>
      <c r="AA85" s="39">
        <v>4.0</v>
      </c>
    </row>
    <row r="86" ht="14.25" customHeight="1">
      <c r="A86" s="24" t="s">
        <v>276</v>
      </c>
      <c r="B86" s="33">
        <v>13057.0</v>
      </c>
      <c r="C86" s="34" t="s">
        <v>262</v>
      </c>
      <c r="D86" s="34" t="s">
        <v>456</v>
      </c>
      <c r="E86" s="34" t="s">
        <v>526</v>
      </c>
      <c r="F86" s="34" t="s">
        <v>469</v>
      </c>
      <c r="G86" s="143" t="s">
        <v>669</v>
      </c>
      <c r="H86" s="34" t="s">
        <v>670</v>
      </c>
      <c r="I86" s="144" t="s">
        <v>670</v>
      </c>
      <c r="J86" s="143" t="b">
        <v>0</v>
      </c>
      <c r="K86" s="145">
        <v>1.27272125622E-5</v>
      </c>
      <c r="L86" s="98">
        <v>6.9218059214E-6</v>
      </c>
      <c r="M86" s="98">
        <v>5.36405318075E-5</v>
      </c>
      <c r="N86" s="98">
        <v>6.95007279893E-5</v>
      </c>
      <c r="O86" s="86">
        <v>2.729352067195E-4</v>
      </c>
      <c r="P86" s="98">
        <v>1.749693803584E-4</v>
      </c>
      <c r="Q86" s="98">
        <v>0.0</v>
      </c>
      <c r="R86" s="98">
        <v>0.0</v>
      </c>
      <c r="S86" s="98">
        <v>0.0</v>
      </c>
      <c r="T86" s="98">
        <v>7.5961290126E-6</v>
      </c>
      <c r="U86" s="98">
        <v>4.38192892511E-5</v>
      </c>
      <c r="V86" s="98">
        <v>0.0</v>
      </c>
      <c r="W86" s="98">
        <v>1.870557426112E-4</v>
      </c>
      <c r="X86" s="98">
        <v>0.997166647392159</v>
      </c>
      <c r="Y86" s="33">
        <v>0.0</v>
      </c>
      <c r="Z86" s="34">
        <v>1.0</v>
      </c>
      <c r="AA86" s="143">
        <v>0.0</v>
      </c>
    </row>
    <row r="87" ht="14.25" customHeight="1">
      <c r="A87" s="47"/>
      <c r="B87" s="37">
        <v>13195.0</v>
      </c>
      <c r="C87" s="21" t="s">
        <v>456</v>
      </c>
      <c r="D87" s="21" t="s">
        <v>263</v>
      </c>
      <c r="E87" s="21" t="s">
        <v>484</v>
      </c>
      <c r="F87" s="21" t="s">
        <v>487</v>
      </c>
      <c r="G87" s="36" t="s">
        <v>671</v>
      </c>
      <c r="H87" s="21" t="s">
        <v>672</v>
      </c>
      <c r="I87" s="144" t="s">
        <v>672</v>
      </c>
      <c r="J87" s="36" t="b">
        <v>0</v>
      </c>
      <c r="K87" s="119">
        <v>9.00040331996E-5</v>
      </c>
      <c r="L87" s="65">
        <v>2.060362360084E-4</v>
      </c>
      <c r="M87" s="65">
        <v>1.042686570959E-4</v>
      </c>
      <c r="N87" s="65">
        <v>0.386108289914216</v>
      </c>
      <c r="O87" s="66">
        <v>5.03585138815E-5</v>
      </c>
      <c r="P87" s="65">
        <v>5.00951808436E-5</v>
      </c>
      <c r="Q87" s="65">
        <v>0.0</v>
      </c>
      <c r="R87" s="65">
        <v>1.062459327728E-4</v>
      </c>
      <c r="S87" s="65">
        <v>1.013479274348E-4</v>
      </c>
      <c r="T87" s="65">
        <v>4.55733122683E-5</v>
      </c>
      <c r="U87" s="65">
        <v>7.014467338886E-4</v>
      </c>
      <c r="V87" s="65">
        <v>0.0</v>
      </c>
      <c r="W87" s="65">
        <v>0.0</v>
      </c>
      <c r="X87" s="65">
        <v>0.0</v>
      </c>
      <c r="Y87" s="37">
        <v>1.0</v>
      </c>
      <c r="Z87" s="21">
        <v>0.0</v>
      </c>
      <c r="AA87" s="36">
        <v>1.0</v>
      </c>
    </row>
    <row r="88" ht="14.25" customHeight="1">
      <c r="A88" s="146"/>
      <c r="B88" s="42">
        <v>13339.0</v>
      </c>
      <c r="C88" s="40" t="s">
        <v>456</v>
      </c>
      <c r="D88" s="40" t="s">
        <v>263</v>
      </c>
      <c r="E88" s="40" t="s">
        <v>543</v>
      </c>
      <c r="F88" s="40" t="s">
        <v>592</v>
      </c>
      <c r="G88" s="39" t="s">
        <v>673</v>
      </c>
      <c r="H88" s="40" t="s">
        <v>674</v>
      </c>
      <c r="I88" s="147" t="s">
        <v>674</v>
      </c>
      <c r="J88" s="39" t="b">
        <v>0</v>
      </c>
      <c r="K88" s="120">
        <v>1.103582227911E-4</v>
      </c>
      <c r="L88" s="112">
        <v>5.450680954891E-4</v>
      </c>
      <c r="M88" s="112">
        <v>4.714360707205E-4</v>
      </c>
      <c r="N88" s="112">
        <v>6.738348898745E-4</v>
      </c>
      <c r="O88" s="87">
        <v>0.995775749065491</v>
      </c>
      <c r="P88" s="112">
        <v>0.0010533972059893</v>
      </c>
      <c r="Q88" s="112">
        <v>4.58421197396E-5</v>
      </c>
      <c r="R88" s="112">
        <v>2.65770135409E-5</v>
      </c>
      <c r="S88" s="112">
        <v>0.0</v>
      </c>
      <c r="T88" s="112">
        <v>1.67123724732E-4</v>
      </c>
      <c r="U88" s="112">
        <v>0.0</v>
      </c>
      <c r="V88" s="112">
        <v>0.0</v>
      </c>
      <c r="W88" s="112">
        <v>2.805836139169E-4</v>
      </c>
      <c r="X88" s="112">
        <v>0.0</v>
      </c>
      <c r="Y88" s="42">
        <v>1.0</v>
      </c>
      <c r="Z88" s="40">
        <v>0.0</v>
      </c>
      <c r="AA88" s="39">
        <v>1.0</v>
      </c>
    </row>
    <row r="89" ht="14.25" customHeight="1">
      <c r="A89" s="154" t="s">
        <v>675</v>
      </c>
      <c r="B89" s="37">
        <v>13536.0</v>
      </c>
      <c r="C89" s="21" t="s">
        <v>262</v>
      </c>
      <c r="D89" s="21" t="s">
        <v>456</v>
      </c>
      <c r="E89" s="21" t="s">
        <v>518</v>
      </c>
      <c r="F89" s="21" t="s">
        <v>476</v>
      </c>
      <c r="G89" s="36" t="s">
        <v>676</v>
      </c>
      <c r="H89" s="21" t="s">
        <v>677</v>
      </c>
      <c r="I89" s="144" t="s">
        <v>678</v>
      </c>
      <c r="J89" s="36" t="b">
        <v>1</v>
      </c>
      <c r="K89" s="119">
        <v>0.0021111460902716</v>
      </c>
      <c r="L89" s="65">
        <v>0.0021895797838697</v>
      </c>
      <c r="M89" s="65">
        <v>0.0010943792680791</v>
      </c>
      <c r="N89" s="65">
        <v>6.880589990244E-4</v>
      </c>
      <c r="O89" s="66">
        <v>0.0017558045512302</v>
      </c>
      <c r="P89" s="65">
        <v>6.256882570827E-4</v>
      </c>
      <c r="Q89" s="65">
        <v>0.0016826518593303</v>
      </c>
      <c r="R89" s="65">
        <v>6.04010630587E-4</v>
      </c>
      <c r="S89" s="65">
        <v>0.0015473488755931</v>
      </c>
      <c r="T89" s="65">
        <v>0.0019800590899523</v>
      </c>
      <c r="U89" s="65">
        <v>6.849163739201E-4</v>
      </c>
      <c r="V89" s="65">
        <v>2.743107941297E-4</v>
      </c>
      <c r="W89" s="65">
        <v>0.994258373205741</v>
      </c>
      <c r="X89" s="65">
        <v>7.307715729858E-4</v>
      </c>
      <c r="Y89" s="37">
        <v>0.0</v>
      </c>
      <c r="Z89" s="21">
        <v>1.0</v>
      </c>
      <c r="AA89" s="36">
        <v>0.0</v>
      </c>
    </row>
    <row r="90" ht="14.25" customHeight="1">
      <c r="B90" s="37">
        <v>13627.0</v>
      </c>
      <c r="C90" s="21" t="s">
        <v>456</v>
      </c>
      <c r="D90" s="21" t="s">
        <v>262</v>
      </c>
      <c r="E90" s="21" t="s">
        <v>461</v>
      </c>
      <c r="F90" s="21" t="s">
        <v>679</v>
      </c>
      <c r="G90" s="36" t="s">
        <v>680</v>
      </c>
      <c r="H90" s="21" t="s">
        <v>681</v>
      </c>
      <c r="I90" s="144" t="s">
        <v>682</v>
      </c>
      <c r="J90" s="36" t="b">
        <v>1</v>
      </c>
      <c r="K90" s="119">
        <v>8.49722353221085E-7</v>
      </c>
      <c r="L90" s="65">
        <v>2.699473670121E-4</v>
      </c>
      <c r="M90" s="65">
        <v>4.63568654517E-5</v>
      </c>
      <c r="N90" s="65">
        <v>1.5862603725E-5</v>
      </c>
      <c r="O90" s="66">
        <v>1.691253911024E-4</v>
      </c>
      <c r="P90" s="65">
        <v>0.996897518014411</v>
      </c>
      <c r="Q90" s="65">
        <v>0.0</v>
      </c>
      <c r="R90" s="65">
        <v>0.0</v>
      </c>
      <c r="S90" s="65">
        <v>0.0</v>
      </c>
      <c r="T90" s="65">
        <v>6.0974680264E-5</v>
      </c>
      <c r="U90" s="65">
        <v>0.0</v>
      </c>
      <c r="V90" s="65">
        <v>0.0</v>
      </c>
      <c r="W90" s="65">
        <v>7.480830372171E-4</v>
      </c>
      <c r="X90" s="65">
        <v>0.0</v>
      </c>
      <c r="Y90" s="37">
        <v>0.0</v>
      </c>
      <c r="Z90" s="21">
        <v>0.0</v>
      </c>
      <c r="AA90" s="36">
        <v>1.0</v>
      </c>
    </row>
    <row r="91" ht="14.25" customHeight="1">
      <c r="B91" s="37">
        <v>13713.0</v>
      </c>
      <c r="C91" s="21" t="s">
        <v>262</v>
      </c>
      <c r="D91" s="21" t="s">
        <v>262</v>
      </c>
      <c r="E91" s="21" t="s">
        <v>494</v>
      </c>
      <c r="F91" s="21" t="s">
        <v>494</v>
      </c>
      <c r="G91" s="36" t="s">
        <v>683</v>
      </c>
      <c r="H91" s="21" t="s">
        <v>684</v>
      </c>
      <c r="I91" s="144" t="s">
        <v>685</v>
      </c>
      <c r="J91" s="36" t="b">
        <v>0</v>
      </c>
      <c r="K91" s="119">
        <v>5.52916678008E-5</v>
      </c>
      <c r="L91" s="65">
        <v>3.84876903537E-5</v>
      </c>
      <c r="M91" s="65">
        <v>1.311799248416E-4</v>
      </c>
      <c r="N91" s="65">
        <v>9.35980198266E-5</v>
      </c>
      <c r="O91" s="66">
        <v>2.230846452377E-4</v>
      </c>
      <c r="P91" s="65">
        <v>5.246982984783E-4</v>
      </c>
      <c r="Q91" s="65">
        <v>0.0</v>
      </c>
      <c r="R91" s="65">
        <v>0.310212330315238</v>
      </c>
      <c r="S91" s="65">
        <v>0.0</v>
      </c>
      <c r="T91" s="65">
        <v>7.6216026706E-6</v>
      </c>
      <c r="U91" s="65">
        <v>0.0</v>
      </c>
      <c r="V91" s="65">
        <v>0.0</v>
      </c>
      <c r="W91" s="65">
        <v>9.36154278225E-5</v>
      </c>
      <c r="X91" s="65">
        <v>1.733803386695E-4</v>
      </c>
      <c r="Y91" s="37">
        <v>0.0</v>
      </c>
      <c r="Z91" s="21">
        <v>1.0</v>
      </c>
      <c r="AA91" s="36">
        <v>0.0</v>
      </c>
    </row>
    <row r="92" ht="14.25" customHeight="1">
      <c r="B92" s="37">
        <v>13860.0</v>
      </c>
      <c r="C92" s="21" t="s">
        <v>262</v>
      </c>
      <c r="D92" s="21" t="s">
        <v>456</v>
      </c>
      <c r="E92" s="21" t="s">
        <v>462</v>
      </c>
      <c r="F92" s="21" t="s">
        <v>487</v>
      </c>
      <c r="G92" s="36" t="s">
        <v>686</v>
      </c>
      <c r="H92" s="21" t="s">
        <v>687</v>
      </c>
      <c r="I92" s="144" t="s">
        <v>688</v>
      </c>
      <c r="J92" s="36" t="b">
        <v>1</v>
      </c>
      <c r="K92" s="119">
        <v>0.0011756072977887</v>
      </c>
      <c r="L92" s="65">
        <v>0.001396603649749</v>
      </c>
      <c r="M92" s="65">
        <v>0.0012090239925223</v>
      </c>
      <c r="N92" s="65">
        <v>0.0013308427021361</v>
      </c>
      <c r="O92" s="66">
        <v>0.0019593933932782</v>
      </c>
      <c r="P92" s="65">
        <v>0.0012710280373831</v>
      </c>
      <c r="Q92" s="65">
        <v>8.285957603516E-4</v>
      </c>
      <c r="R92" s="65">
        <v>0.0031389896956372</v>
      </c>
      <c r="S92" s="65">
        <v>8.034548558802E-4</v>
      </c>
      <c r="T92" s="65">
        <v>0.990665528750171</v>
      </c>
      <c r="U92" s="65">
        <v>8.538213980778E-4</v>
      </c>
      <c r="V92" s="65">
        <v>7.855459544383E-4</v>
      </c>
      <c r="W92" s="65">
        <v>0.0018737118231216</v>
      </c>
      <c r="X92" s="65">
        <v>0.0018624141543475</v>
      </c>
      <c r="Y92" s="37">
        <v>0.0</v>
      </c>
      <c r="Z92" s="21">
        <v>1.0</v>
      </c>
      <c r="AA92" s="36">
        <v>0.0</v>
      </c>
    </row>
    <row r="93" ht="14.25" customHeight="1">
      <c r="B93" s="37">
        <v>14407.0</v>
      </c>
      <c r="C93" s="21" t="s">
        <v>262</v>
      </c>
      <c r="D93" s="21" t="s">
        <v>456</v>
      </c>
      <c r="E93" s="21" t="s">
        <v>567</v>
      </c>
      <c r="F93" s="21" t="s">
        <v>584</v>
      </c>
      <c r="G93" s="36" t="s">
        <v>689</v>
      </c>
      <c r="H93" s="21" t="s">
        <v>690</v>
      </c>
      <c r="I93" s="144" t="s">
        <v>691</v>
      </c>
      <c r="J93" s="36" t="b">
        <v>0</v>
      </c>
      <c r="K93" s="119">
        <v>3.579473254942E-4</v>
      </c>
      <c r="L93" s="65">
        <v>0.0012828576937089</v>
      </c>
      <c r="M93" s="65">
        <v>4.831052991565E-4</v>
      </c>
      <c r="N93" s="65">
        <v>4.988726554138E-4</v>
      </c>
      <c r="O93" s="66">
        <v>3.684570095107E-4</v>
      </c>
      <c r="P93" s="65">
        <v>3.745598921267E-4</v>
      </c>
      <c r="Q93" s="65">
        <v>4.363703176316E-4</v>
      </c>
      <c r="R93" s="65">
        <v>6.007892185643E-4</v>
      </c>
      <c r="S93" s="65">
        <v>0.990619326205366</v>
      </c>
      <c r="T93" s="65">
        <v>3.729724380979E-4</v>
      </c>
      <c r="U93" s="65">
        <v>2.191492625627E-4</v>
      </c>
      <c r="V93" s="65">
        <v>0.001835824809861</v>
      </c>
      <c r="W93" s="65">
        <v>4.683402023229E-4</v>
      </c>
      <c r="X93" s="65">
        <v>0.0018466670637993</v>
      </c>
      <c r="Y93" s="37">
        <v>0.0</v>
      </c>
      <c r="Z93" s="21">
        <v>1.0</v>
      </c>
      <c r="AA93" s="36">
        <v>0.0</v>
      </c>
    </row>
    <row r="94" ht="14.25" customHeight="1">
      <c r="B94" s="37">
        <v>14408.0</v>
      </c>
      <c r="C94" s="21" t="s">
        <v>263</v>
      </c>
      <c r="D94" s="21" t="s">
        <v>456</v>
      </c>
      <c r="E94" s="21" t="s">
        <v>584</v>
      </c>
      <c r="F94" s="21" t="s">
        <v>469</v>
      </c>
      <c r="G94" s="36" t="s">
        <v>692</v>
      </c>
      <c r="H94" s="21" t="s">
        <v>693</v>
      </c>
      <c r="I94" s="144" t="s">
        <v>694</v>
      </c>
      <c r="J94" s="36" t="b">
        <v>1</v>
      </c>
      <c r="K94" s="119">
        <v>0.998891604930482</v>
      </c>
      <c r="L94" s="65">
        <v>0.998760212061324</v>
      </c>
      <c r="M94" s="65">
        <v>0.999206438025862</v>
      </c>
      <c r="N94" s="65">
        <v>0.998843692568435</v>
      </c>
      <c r="O94" s="66">
        <v>0.99948183744281</v>
      </c>
      <c r="P94" s="65">
        <v>0.999625617730744</v>
      </c>
      <c r="Q94" s="65">
        <v>0.933639811515917</v>
      </c>
      <c r="R94" s="65">
        <v>0.994147638496751</v>
      </c>
      <c r="S94" s="65">
        <v>0.99868832610231</v>
      </c>
      <c r="T94" s="65">
        <v>0.996764099010956</v>
      </c>
      <c r="U94" s="65">
        <v>0.998991692422349</v>
      </c>
      <c r="V94" s="65">
        <v>0.998687319506432</v>
      </c>
      <c r="W94" s="65">
        <v>0.999062880704713</v>
      </c>
      <c r="X94" s="65">
        <v>0.998442460911759</v>
      </c>
      <c r="Y94" s="37">
        <v>5.0</v>
      </c>
      <c r="Z94" s="21">
        <v>8.0</v>
      </c>
      <c r="AA94" s="36">
        <v>4.0</v>
      </c>
    </row>
    <row r="95" ht="14.25" customHeight="1">
      <c r="B95" s="37">
        <v>14676.0</v>
      </c>
      <c r="C95" s="21" t="s">
        <v>263</v>
      </c>
      <c r="D95" s="21" t="s">
        <v>456</v>
      </c>
      <c r="E95" s="21" t="s">
        <v>641</v>
      </c>
      <c r="F95" s="21" t="s">
        <v>634</v>
      </c>
      <c r="G95" s="36" t="s">
        <v>695</v>
      </c>
      <c r="H95" s="21" t="s">
        <v>696</v>
      </c>
      <c r="I95" s="144" t="s">
        <v>696</v>
      </c>
      <c r="J95" s="36" t="b">
        <v>1</v>
      </c>
      <c r="K95" s="119">
        <v>0.997981913033996</v>
      </c>
      <c r="L95" s="65">
        <v>0.0011709685640321</v>
      </c>
      <c r="M95" s="65">
        <v>0.0017291271467876</v>
      </c>
      <c r="N95" s="65">
        <v>6.656507327226E-4</v>
      </c>
      <c r="O95" s="66">
        <v>0.0010836575950514</v>
      </c>
      <c r="P95" s="65">
        <v>8.765119831709E-4</v>
      </c>
      <c r="Q95" s="65">
        <v>0.0018154242117841</v>
      </c>
      <c r="R95" s="65">
        <v>0.001558574173351</v>
      </c>
      <c r="S95" s="65">
        <v>0.0025229589262286</v>
      </c>
      <c r="T95" s="65">
        <v>0.0015757142095928</v>
      </c>
      <c r="U95" s="65">
        <v>0.00206080482184</v>
      </c>
      <c r="V95" s="65">
        <v>0.0024856096284667</v>
      </c>
      <c r="W95" s="65">
        <v>0.0032817627754336</v>
      </c>
      <c r="X95" s="65">
        <v>0.0041794207676006</v>
      </c>
      <c r="Y95" s="37">
        <v>1.0</v>
      </c>
      <c r="Z95" s="21">
        <v>0.0</v>
      </c>
      <c r="AA95" s="36">
        <v>0.0</v>
      </c>
    </row>
    <row r="96" ht="14.25" customHeight="1">
      <c r="B96" s="37">
        <v>15240.0</v>
      </c>
      <c r="C96" s="21" t="s">
        <v>262</v>
      </c>
      <c r="D96" s="21" t="s">
        <v>456</v>
      </c>
      <c r="E96" s="21" t="s">
        <v>592</v>
      </c>
      <c r="F96" s="21" t="s">
        <v>473</v>
      </c>
      <c r="G96" s="36" t="s">
        <v>697</v>
      </c>
      <c r="H96" s="21" t="s">
        <v>698</v>
      </c>
      <c r="I96" s="144" t="s">
        <v>698</v>
      </c>
      <c r="J96" s="36" t="b">
        <v>1</v>
      </c>
      <c r="K96" s="119">
        <v>0.0041027038999539</v>
      </c>
      <c r="L96" s="65">
        <v>0.0358165929384275</v>
      </c>
      <c r="M96" s="65">
        <v>0.0028504142246339</v>
      </c>
      <c r="N96" s="65">
        <v>0.386616767293539</v>
      </c>
      <c r="O96" s="66">
        <v>0.0036629193659122</v>
      </c>
      <c r="P96" s="65">
        <v>0.0029472001598481</v>
      </c>
      <c r="Q96" s="65">
        <v>6.417602567041E-4</v>
      </c>
      <c r="R96" s="65">
        <v>0.0030945589580754</v>
      </c>
      <c r="S96" s="65">
        <v>0.0025193993751889</v>
      </c>
      <c r="T96" s="65">
        <v>0.0029123703500927</v>
      </c>
      <c r="U96" s="65">
        <v>0.0011314977924699</v>
      </c>
      <c r="V96" s="65">
        <v>0.001312163758037</v>
      </c>
      <c r="W96" s="65">
        <v>0.0036527114357965</v>
      </c>
      <c r="X96" s="65">
        <v>0.0019678203495774</v>
      </c>
      <c r="Y96" s="37">
        <v>1.0</v>
      </c>
      <c r="Z96" s="21">
        <v>0.0</v>
      </c>
      <c r="AA96" s="36">
        <v>1.0</v>
      </c>
    </row>
    <row r="97" ht="14.25" customHeight="1">
      <c r="B97" s="37">
        <v>15279.0</v>
      </c>
      <c r="C97" s="21" t="s">
        <v>262</v>
      </c>
      <c r="D97" s="21" t="s">
        <v>456</v>
      </c>
      <c r="E97" s="21" t="s">
        <v>574</v>
      </c>
      <c r="F97" s="21" t="s">
        <v>634</v>
      </c>
      <c r="G97" s="36" t="s">
        <v>699</v>
      </c>
      <c r="H97" s="21" t="s">
        <v>700</v>
      </c>
      <c r="I97" s="144" t="s">
        <v>701</v>
      </c>
      <c r="J97" s="36" t="b">
        <v>1</v>
      </c>
      <c r="K97" s="119">
        <v>0.997245904657668</v>
      </c>
      <c r="L97" s="65">
        <v>4.639968428527E-4</v>
      </c>
      <c r="M97" s="65">
        <v>0.0078747160375872</v>
      </c>
      <c r="N97" s="65">
        <v>2.362124252038E-4</v>
      </c>
      <c r="O97" s="66">
        <v>3.569550582067E-4</v>
      </c>
      <c r="P97" s="65">
        <v>9.742449601558E-4</v>
      </c>
      <c r="Q97" s="65">
        <v>0.0013992430324578</v>
      </c>
      <c r="R97" s="65">
        <v>8.881711748082E-4</v>
      </c>
      <c r="S97" s="65">
        <v>6.051437216338E-4</v>
      </c>
      <c r="T97" s="65">
        <v>9.590208853437E-4</v>
      </c>
      <c r="U97" s="65">
        <v>0.0018641397217105</v>
      </c>
      <c r="V97" s="65">
        <v>0.0010542962572482</v>
      </c>
      <c r="W97" s="65">
        <v>7.494145199063E-4</v>
      </c>
      <c r="X97" s="65">
        <v>3.470213996529E-4</v>
      </c>
      <c r="Y97" s="37">
        <v>1.0</v>
      </c>
      <c r="Z97" s="21">
        <v>0.0</v>
      </c>
      <c r="AA97" s="36">
        <v>0.0</v>
      </c>
    </row>
    <row r="98" ht="14.25" customHeight="1">
      <c r="B98" s="37">
        <v>15451.0</v>
      </c>
      <c r="C98" s="21" t="s">
        <v>263</v>
      </c>
      <c r="D98" s="21" t="s">
        <v>262</v>
      </c>
      <c r="E98" s="21" t="s">
        <v>523</v>
      </c>
      <c r="F98" s="21" t="s">
        <v>480</v>
      </c>
      <c r="G98" s="36" t="s">
        <v>702</v>
      </c>
      <c r="H98" s="21" t="s">
        <v>703</v>
      </c>
      <c r="I98" s="144" t="s">
        <v>704</v>
      </c>
      <c r="J98" s="36" t="b">
        <v>0</v>
      </c>
      <c r="K98" s="119">
        <v>4.894416789807E-4</v>
      </c>
      <c r="L98" s="65">
        <v>0.994176969205073</v>
      </c>
      <c r="M98" s="65">
        <v>0.998962906173202</v>
      </c>
      <c r="N98" s="65">
        <v>0.0066026810036835</v>
      </c>
      <c r="O98" s="66">
        <v>0.0011942305908542</v>
      </c>
      <c r="P98" s="65">
        <v>0.999323002858432</v>
      </c>
      <c r="Q98" s="65">
        <v>0.0015164047422111</v>
      </c>
      <c r="R98" s="65">
        <v>0.0010490356941119</v>
      </c>
      <c r="S98" s="65">
        <v>0.0011097659402744</v>
      </c>
      <c r="T98" s="65">
        <v>7.925319108401E-4</v>
      </c>
      <c r="U98" s="65">
        <v>0.0011738908945934</v>
      </c>
      <c r="V98" s="65">
        <v>0.0056386047731445</v>
      </c>
      <c r="W98" s="65">
        <v>0.0015928042724632</v>
      </c>
      <c r="X98" s="65">
        <v>0.0023116042533518</v>
      </c>
      <c r="Y98" s="37">
        <v>2.0</v>
      </c>
      <c r="Z98" s="21">
        <v>0.0</v>
      </c>
      <c r="AA98" s="36">
        <v>2.0</v>
      </c>
    </row>
    <row r="99" ht="14.25" customHeight="1">
      <c r="B99" s="37">
        <v>15714.0</v>
      </c>
      <c r="C99" s="21" t="s">
        <v>456</v>
      </c>
      <c r="D99" s="21" t="s">
        <v>456</v>
      </c>
      <c r="E99" s="21" t="s">
        <v>634</v>
      </c>
      <c r="F99" s="21" t="s">
        <v>634</v>
      </c>
      <c r="G99" s="36" t="s">
        <v>705</v>
      </c>
      <c r="H99" s="21" t="s">
        <v>706</v>
      </c>
      <c r="I99" s="144" t="s">
        <v>707</v>
      </c>
      <c r="J99" s="36" t="b">
        <v>0</v>
      </c>
      <c r="K99" s="119">
        <v>6.341584750993E-4</v>
      </c>
      <c r="L99" s="65">
        <v>0.0010576880307578</v>
      </c>
      <c r="M99" s="65">
        <v>0.998660532736884</v>
      </c>
      <c r="N99" s="65">
        <v>0.611837821376979</v>
      </c>
      <c r="O99" s="66">
        <v>0.999788913750158</v>
      </c>
      <c r="P99" s="65">
        <v>0.999825100567174</v>
      </c>
      <c r="Q99" s="65">
        <v>0.0016471449487554</v>
      </c>
      <c r="R99" s="65">
        <v>3.95982101609E-4</v>
      </c>
      <c r="S99" s="65">
        <v>0.0017100895282164</v>
      </c>
      <c r="T99" s="65">
        <v>0.0051905217880321</v>
      </c>
      <c r="U99" s="65">
        <v>4.138261494565E-4</v>
      </c>
      <c r="V99" s="65">
        <v>6.530825496342E-4</v>
      </c>
      <c r="W99" s="65">
        <v>8.414360508601E-4</v>
      </c>
      <c r="X99" s="65">
        <v>2.305741295826E-4</v>
      </c>
      <c r="Y99" s="37">
        <v>3.0</v>
      </c>
      <c r="Z99" s="21">
        <v>0.0</v>
      </c>
      <c r="AA99" s="36">
        <v>4.0</v>
      </c>
    </row>
    <row r="100" ht="14.25" customHeight="1">
      <c r="B100" s="37">
        <v>15738.0</v>
      </c>
      <c r="C100" s="21" t="s">
        <v>456</v>
      </c>
      <c r="D100" s="21" t="s">
        <v>456</v>
      </c>
      <c r="E100" s="21" t="s">
        <v>476</v>
      </c>
      <c r="F100" s="21" t="s">
        <v>476</v>
      </c>
      <c r="G100" s="36" t="s">
        <v>708</v>
      </c>
      <c r="H100" s="21" t="s">
        <v>709</v>
      </c>
      <c r="I100" s="144" t="s">
        <v>710</v>
      </c>
      <c r="J100" s="36" t="b">
        <v>0</v>
      </c>
      <c r="K100" s="119">
        <v>0.0030450292402626</v>
      </c>
      <c r="L100" s="65">
        <v>0.0036244741730236</v>
      </c>
      <c r="M100" s="65">
        <v>0.99914385961336</v>
      </c>
      <c r="N100" s="65">
        <v>0.0020537645844488</v>
      </c>
      <c r="O100" s="66">
        <v>0.0030035804524984</v>
      </c>
      <c r="P100" s="65">
        <v>0.999470232088799</v>
      </c>
      <c r="Q100" s="65">
        <v>0.0023557395421174</v>
      </c>
      <c r="R100" s="65">
        <v>0.0441024827476798</v>
      </c>
      <c r="S100" s="65">
        <v>0.0014088759182851</v>
      </c>
      <c r="T100" s="65">
        <v>0.0042537353113202</v>
      </c>
      <c r="U100" s="65">
        <v>0.0030737034857105</v>
      </c>
      <c r="V100" s="65">
        <v>0.0070542129327237</v>
      </c>
      <c r="W100" s="65">
        <v>0.0026178010471204</v>
      </c>
      <c r="X100" s="65">
        <v>0.0014395117176253</v>
      </c>
      <c r="Y100" s="37">
        <v>1.0</v>
      </c>
      <c r="Z100" s="21">
        <v>0.0</v>
      </c>
      <c r="AA100" s="36">
        <v>2.0</v>
      </c>
    </row>
    <row r="101" ht="14.25" customHeight="1">
      <c r="B101" s="37">
        <v>15756.0</v>
      </c>
      <c r="C101" s="21" t="s">
        <v>263</v>
      </c>
      <c r="D101" s="21" t="s">
        <v>262</v>
      </c>
      <c r="E101" s="21" t="s">
        <v>469</v>
      </c>
      <c r="F101" s="21" t="s">
        <v>519</v>
      </c>
      <c r="G101" s="36" t="s">
        <v>711</v>
      </c>
      <c r="H101" s="21" t="s">
        <v>712</v>
      </c>
      <c r="I101" s="144" t="s">
        <v>713</v>
      </c>
      <c r="J101" s="36" t="b">
        <v>1</v>
      </c>
      <c r="K101" s="119">
        <v>3.3977403327E-6</v>
      </c>
      <c r="L101" s="65">
        <v>2.6815708373E-6</v>
      </c>
      <c r="M101" s="65">
        <v>5.34122817726E-5</v>
      </c>
      <c r="N101" s="65">
        <v>8.6027663424E-6</v>
      </c>
      <c r="O101" s="66">
        <v>0.999005868458672</v>
      </c>
      <c r="P101" s="65">
        <v>3.256594604073E-4</v>
      </c>
      <c r="Q101" s="65">
        <v>0.0</v>
      </c>
      <c r="R101" s="65">
        <v>0.0</v>
      </c>
      <c r="S101" s="65">
        <v>0.0</v>
      </c>
      <c r="T101" s="65">
        <v>7.596936915E-6</v>
      </c>
      <c r="U101" s="65">
        <v>0.0</v>
      </c>
      <c r="V101" s="65">
        <v>0.0</v>
      </c>
      <c r="W101" s="65">
        <v>0.0</v>
      </c>
      <c r="X101" s="65">
        <v>0.0</v>
      </c>
      <c r="Y101" s="37">
        <v>1.0</v>
      </c>
      <c r="Z101" s="21">
        <v>0.0</v>
      </c>
      <c r="AA101" s="36">
        <v>1.0</v>
      </c>
    </row>
    <row r="102" ht="14.25" customHeight="1">
      <c r="B102" s="37">
        <v>15939.0</v>
      </c>
      <c r="C102" s="21" t="s">
        <v>262</v>
      </c>
      <c r="D102" s="21" t="s">
        <v>263</v>
      </c>
      <c r="E102" s="21" t="s">
        <v>461</v>
      </c>
      <c r="F102" s="21" t="s">
        <v>465</v>
      </c>
      <c r="G102" s="36" t="s">
        <v>714</v>
      </c>
      <c r="H102" s="21" t="s">
        <v>715</v>
      </c>
      <c r="I102" s="144" t="s">
        <v>716</v>
      </c>
      <c r="J102" s="36" t="b">
        <v>1</v>
      </c>
      <c r="K102" s="119">
        <v>6.72933233652E-4</v>
      </c>
      <c r="L102" s="65">
        <v>4.427601349759E-4</v>
      </c>
      <c r="M102" s="65">
        <v>0.997423441589522</v>
      </c>
      <c r="N102" s="65">
        <v>4.143656375281E-4</v>
      </c>
      <c r="O102" s="66">
        <v>7.609823590453E-4</v>
      </c>
      <c r="P102" s="65">
        <v>0.998073169511035</v>
      </c>
      <c r="Q102" s="65">
        <v>2.521027662548E-4</v>
      </c>
      <c r="R102" s="65">
        <v>3.807555277543E-4</v>
      </c>
      <c r="S102" s="65">
        <v>1.005025125628E-4</v>
      </c>
      <c r="T102" s="65">
        <v>3.115619894372E-4</v>
      </c>
      <c r="U102" s="65">
        <v>1.959887633109E-4</v>
      </c>
      <c r="V102" s="65">
        <v>0.0</v>
      </c>
      <c r="W102" s="65">
        <v>4.673333956444E-4</v>
      </c>
      <c r="X102" s="65">
        <v>0.0020745692387483</v>
      </c>
      <c r="Y102" s="37">
        <v>1.0</v>
      </c>
      <c r="Z102" s="21">
        <v>0.0</v>
      </c>
      <c r="AA102" s="36">
        <v>2.0</v>
      </c>
    </row>
    <row r="103" ht="14.25" customHeight="1">
      <c r="A103" s="26"/>
      <c r="B103" s="42">
        <v>16176.0</v>
      </c>
      <c r="C103" s="40" t="s">
        <v>263</v>
      </c>
      <c r="D103" s="40" t="s">
        <v>263</v>
      </c>
      <c r="E103" s="40" t="s">
        <v>498</v>
      </c>
      <c r="F103" s="40" t="s">
        <v>498</v>
      </c>
      <c r="G103" s="39" t="s">
        <v>717</v>
      </c>
      <c r="H103" s="40" t="s">
        <v>718</v>
      </c>
      <c r="I103" s="144" t="s">
        <v>719</v>
      </c>
      <c r="J103" s="39" t="b">
        <v>0</v>
      </c>
      <c r="K103" s="120">
        <v>0.998418155931915</v>
      </c>
      <c r="L103" s="112">
        <v>1.190052235031E-4</v>
      </c>
      <c r="M103" s="112">
        <v>2.0316273589E-5</v>
      </c>
      <c r="N103" s="112">
        <v>6.99972998848E-5</v>
      </c>
      <c r="O103" s="87">
        <v>1.15091574529E-5</v>
      </c>
      <c r="P103" s="112">
        <v>0.0</v>
      </c>
      <c r="Q103" s="112">
        <v>0.0027871062070225</v>
      </c>
      <c r="R103" s="112">
        <v>2.240320497614E-4</v>
      </c>
      <c r="S103" s="112">
        <v>6.033789219629E-4</v>
      </c>
      <c r="T103" s="112">
        <v>3.419452887537E-4</v>
      </c>
      <c r="U103" s="112">
        <v>0.001373356876594</v>
      </c>
      <c r="V103" s="112">
        <v>5.204944697462E-4</v>
      </c>
      <c r="W103" s="112">
        <v>2.803214352457E-4</v>
      </c>
      <c r="X103" s="112">
        <v>3.445899379738E-4</v>
      </c>
      <c r="Y103" s="42">
        <v>1.0</v>
      </c>
      <c r="Z103" s="40">
        <v>0.0</v>
      </c>
      <c r="AA103" s="39">
        <v>0.0</v>
      </c>
    </row>
    <row r="104" ht="14.25" customHeight="1">
      <c r="A104" s="24" t="s">
        <v>280</v>
      </c>
      <c r="B104" s="33">
        <v>16342.0</v>
      </c>
      <c r="C104" s="34" t="s">
        <v>456</v>
      </c>
      <c r="D104" s="34" t="s">
        <v>263</v>
      </c>
      <c r="E104" s="34" t="s">
        <v>526</v>
      </c>
      <c r="F104" s="34" t="s">
        <v>567</v>
      </c>
      <c r="G104" s="143" t="s">
        <v>720</v>
      </c>
      <c r="H104" s="34" t="s">
        <v>721</v>
      </c>
      <c r="I104" s="34" t="s">
        <v>722</v>
      </c>
      <c r="J104" s="143" t="b">
        <v>1</v>
      </c>
      <c r="K104" s="145">
        <v>8.78360050118E-5</v>
      </c>
      <c r="L104" s="98">
        <v>2.1331062861E-5</v>
      </c>
      <c r="M104" s="98">
        <v>0.997396132197934</v>
      </c>
      <c r="N104" s="98">
        <v>0.012326517880545</v>
      </c>
      <c r="O104" s="86">
        <v>4.113992187259E-4</v>
      </c>
      <c r="P104" s="98">
        <v>0.997823421980936</v>
      </c>
      <c r="Q104" s="98">
        <v>2.34923767237E-5</v>
      </c>
      <c r="R104" s="98">
        <v>5.37684997244E-5</v>
      </c>
      <c r="S104" s="98">
        <v>0.0</v>
      </c>
      <c r="T104" s="98">
        <v>7.7139661356E-6</v>
      </c>
      <c r="U104" s="98">
        <v>2.28112596377E-5</v>
      </c>
      <c r="V104" s="98">
        <v>0.0</v>
      </c>
      <c r="W104" s="98">
        <v>0.0</v>
      </c>
      <c r="X104" s="98">
        <v>6.03354651864E-5</v>
      </c>
      <c r="Y104" s="33">
        <v>1.0</v>
      </c>
      <c r="Z104" s="34">
        <v>0.0</v>
      </c>
      <c r="AA104" s="143">
        <v>2.0</v>
      </c>
    </row>
    <row r="105" ht="14.25" customHeight="1">
      <c r="A105" s="47"/>
      <c r="B105" s="37">
        <v>16394.0</v>
      </c>
      <c r="C105" s="21" t="s">
        <v>263</v>
      </c>
      <c r="D105" s="21" t="s">
        <v>456</v>
      </c>
      <c r="E105" s="21" t="s">
        <v>567</v>
      </c>
      <c r="F105" s="21" t="s">
        <v>571</v>
      </c>
      <c r="G105" s="36" t="s">
        <v>723</v>
      </c>
      <c r="H105" s="21" t="s">
        <v>724</v>
      </c>
      <c r="I105" s="21" t="s">
        <v>725</v>
      </c>
      <c r="J105" s="36" t="b">
        <v>1</v>
      </c>
      <c r="K105" s="119">
        <v>0.0021235958637693</v>
      </c>
      <c r="L105" s="65">
        <v>3.75197813003E-4</v>
      </c>
      <c r="M105" s="65">
        <v>2.090439553155E-4</v>
      </c>
      <c r="N105" s="65">
        <v>4.505766049857E-4</v>
      </c>
      <c r="O105" s="66">
        <v>3.553673996763E-4</v>
      </c>
      <c r="P105" s="65">
        <v>2.255695631469E-4</v>
      </c>
      <c r="Q105" s="65">
        <v>9.425736974809E-4</v>
      </c>
      <c r="R105" s="65">
        <v>0.314635788339841</v>
      </c>
      <c r="S105" s="65">
        <v>3.077870113881E-4</v>
      </c>
      <c r="T105" s="65">
        <v>8.955800038602E-4</v>
      </c>
      <c r="U105" s="65">
        <v>9.828346780645E-4</v>
      </c>
      <c r="V105" s="65">
        <v>0.0</v>
      </c>
      <c r="W105" s="65">
        <v>4.703668861712E-4</v>
      </c>
      <c r="X105" s="65">
        <v>0.0011478281882438</v>
      </c>
      <c r="Y105" s="37">
        <v>0.0</v>
      </c>
      <c r="Z105" s="21">
        <v>1.0</v>
      </c>
      <c r="AA105" s="36">
        <v>0.0</v>
      </c>
    </row>
    <row r="106" ht="14.25" customHeight="1">
      <c r="A106" s="47"/>
      <c r="B106" s="37">
        <v>16466.0</v>
      </c>
      <c r="C106" s="21" t="s">
        <v>263</v>
      </c>
      <c r="D106" s="21" t="s">
        <v>456</v>
      </c>
      <c r="E106" s="21" t="s">
        <v>567</v>
      </c>
      <c r="F106" s="21" t="s">
        <v>571</v>
      </c>
      <c r="G106" s="36" t="s">
        <v>726</v>
      </c>
      <c r="H106" s="21" t="s">
        <v>727</v>
      </c>
      <c r="I106" s="21" t="s">
        <v>728</v>
      </c>
      <c r="J106" s="36" t="b">
        <v>1</v>
      </c>
      <c r="K106" s="119">
        <v>1.098795328501E-4</v>
      </c>
      <c r="L106" s="65">
        <v>0.994009956683589</v>
      </c>
      <c r="M106" s="65">
        <v>3.30754297897E-5</v>
      </c>
      <c r="N106" s="65">
        <v>1.4188614391E-4</v>
      </c>
      <c r="O106" s="66">
        <v>1.428119282698E-4</v>
      </c>
      <c r="P106" s="65">
        <v>0.0</v>
      </c>
      <c r="Q106" s="65">
        <v>4.821711477969E-4</v>
      </c>
      <c r="R106" s="65">
        <v>6.65690320862E-5</v>
      </c>
      <c r="S106" s="65">
        <v>6.068574896328E-4</v>
      </c>
      <c r="T106" s="65">
        <v>2.443792766373E-4</v>
      </c>
      <c r="U106" s="65">
        <v>1.100836635843E-4</v>
      </c>
      <c r="V106" s="65">
        <v>0.0013075313807531</v>
      </c>
      <c r="W106" s="65">
        <v>7.487131492746E-4</v>
      </c>
      <c r="X106" s="65">
        <v>0.001099091803089</v>
      </c>
      <c r="Y106" s="37">
        <v>1.0</v>
      </c>
      <c r="Z106" s="21">
        <v>0.0</v>
      </c>
      <c r="AA106" s="36">
        <v>0.0</v>
      </c>
    </row>
    <row r="107" ht="14.25" customHeight="1">
      <c r="A107" s="47"/>
      <c r="B107" s="37">
        <v>16500.0</v>
      </c>
      <c r="C107" s="21" t="s">
        <v>262</v>
      </c>
      <c r="D107" s="21" t="s">
        <v>263</v>
      </c>
      <c r="E107" s="21" t="s">
        <v>551</v>
      </c>
      <c r="F107" s="21" t="s">
        <v>574</v>
      </c>
      <c r="G107" s="36" t="s">
        <v>729</v>
      </c>
      <c r="H107" s="21" t="s">
        <v>730</v>
      </c>
      <c r="I107" s="21" t="s">
        <v>731</v>
      </c>
      <c r="J107" s="36" t="b">
        <v>1</v>
      </c>
      <c r="K107" s="119">
        <v>2.928458278032E-4</v>
      </c>
      <c r="L107" s="65">
        <v>1.48183472693E-5</v>
      </c>
      <c r="M107" s="65">
        <v>1.42594143964E-4</v>
      </c>
      <c r="N107" s="65">
        <v>4.6204628594E-6</v>
      </c>
      <c r="O107" s="66">
        <v>0.0</v>
      </c>
      <c r="P107" s="65">
        <v>0.0</v>
      </c>
      <c r="Q107" s="65">
        <v>2.31417198926E-5</v>
      </c>
      <c r="R107" s="65">
        <v>1.38350857775E-5</v>
      </c>
      <c r="S107" s="65">
        <v>0.0</v>
      </c>
      <c r="T107" s="65">
        <v>2.30068407006E-5</v>
      </c>
      <c r="U107" s="65">
        <v>0.988334843028522</v>
      </c>
      <c r="V107" s="65">
        <v>0.0</v>
      </c>
      <c r="W107" s="65">
        <v>0.0</v>
      </c>
      <c r="X107" s="65">
        <v>0.0</v>
      </c>
      <c r="Y107" s="37">
        <v>0.0</v>
      </c>
      <c r="Z107" s="21">
        <v>1.0</v>
      </c>
      <c r="AA107" s="36">
        <v>0.0</v>
      </c>
    </row>
    <row r="108" ht="14.25" customHeight="1">
      <c r="A108" s="47"/>
      <c r="B108" s="37">
        <v>16852.0</v>
      </c>
      <c r="C108" s="21" t="s">
        <v>261</v>
      </c>
      <c r="D108" s="21" t="s">
        <v>456</v>
      </c>
      <c r="E108" s="21" t="s">
        <v>522</v>
      </c>
      <c r="F108" s="21" t="s">
        <v>732</v>
      </c>
      <c r="G108" s="36" t="s">
        <v>733</v>
      </c>
      <c r="H108" s="21" t="s">
        <v>734</v>
      </c>
      <c r="I108" s="21" t="s">
        <v>735</v>
      </c>
      <c r="J108" s="36" t="b">
        <v>1</v>
      </c>
      <c r="K108" s="119">
        <v>1.428847234967E-4</v>
      </c>
      <c r="L108" s="65">
        <v>5.307201895365E-4</v>
      </c>
      <c r="M108" s="65">
        <v>3.55815809404E-5</v>
      </c>
      <c r="N108" s="65">
        <v>5.076096091636E-4</v>
      </c>
      <c r="O108" s="66">
        <v>7.2916506762E-5</v>
      </c>
      <c r="P108" s="65">
        <v>0.0</v>
      </c>
      <c r="Q108" s="65">
        <v>4.143551023226E-4</v>
      </c>
      <c r="R108" s="65">
        <v>7.917447414953E-4</v>
      </c>
      <c r="S108" s="65">
        <v>4.035105417129E-4</v>
      </c>
      <c r="T108" s="65">
        <v>4.343221146153E-4</v>
      </c>
      <c r="U108" s="65">
        <v>4.3590078898E-5</v>
      </c>
      <c r="V108" s="65">
        <v>0.573653643083421</v>
      </c>
      <c r="W108" s="65">
        <v>9.3554121059E-5</v>
      </c>
      <c r="X108" s="65">
        <v>5.191808479953E-4</v>
      </c>
      <c r="Y108" s="37">
        <v>0.0</v>
      </c>
      <c r="Z108" s="21">
        <v>1.0</v>
      </c>
      <c r="AA108" s="36">
        <v>0.0</v>
      </c>
    </row>
    <row r="109" ht="14.25" customHeight="1">
      <c r="A109" s="47"/>
      <c r="B109" s="37">
        <v>16878.0</v>
      </c>
      <c r="C109" s="21" t="s">
        <v>262</v>
      </c>
      <c r="D109" s="21" t="s">
        <v>456</v>
      </c>
      <c r="E109" s="21" t="s">
        <v>497</v>
      </c>
      <c r="F109" s="21" t="s">
        <v>498</v>
      </c>
      <c r="G109" s="36" t="s">
        <v>736</v>
      </c>
      <c r="H109" s="21" t="s">
        <v>737</v>
      </c>
      <c r="I109" s="21" t="s">
        <v>738</v>
      </c>
      <c r="J109" s="36" t="b">
        <v>0</v>
      </c>
      <c r="K109" s="119">
        <v>4.2537371207E-6</v>
      </c>
      <c r="L109" s="65">
        <v>2.6213547206E-5</v>
      </c>
      <c r="M109" s="65">
        <v>1.627554497645E-4</v>
      </c>
      <c r="N109" s="65">
        <v>5.0743421884E-6</v>
      </c>
      <c r="O109" s="66">
        <v>1.228312605558E-4</v>
      </c>
      <c r="P109" s="65">
        <v>0.998699317141499</v>
      </c>
      <c r="Q109" s="65">
        <v>0.0</v>
      </c>
      <c r="R109" s="65">
        <v>0.0</v>
      </c>
      <c r="S109" s="65">
        <v>0.0</v>
      </c>
      <c r="T109" s="65">
        <v>0.0</v>
      </c>
      <c r="U109" s="65">
        <v>0.0</v>
      </c>
      <c r="V109" s="65">
        <v>0.0</v>
      </c>
      <c r="W109" s="65">
        <v>0.0</v>
      </c>
      <c r="X109" s="65">
        <v>5.77400542756E-5</v>
      </c>
      <c r="Y109" s="37">
        <v>0.0</v>
      </c>
      <c r="Z109" s="21">
        <v>0.0</v>
      </c>
      <c r="AA109" s="36">
        <v>1.0</v>
      </c>
    </row>
    <row r="110" ht="14.25" customHeight="1">
      <c r="A110" s="47"/>
      <c r="B110" s="37">
        <v>17014.0</v>
      </c>
      <c r="C110" s="21" t="s">
        <v>261</v>
      </c>
      <c r="D110" s="21" t="s">
        <v>456</v>
      </c>
      <c r="E110" s="21" t="s">
        <v>461</v>
      </c>
      <c r="F110" s="21" t="s">
        <v>519</v>
      </c>
      <c r="G110" s="36" t="s">
        <v>739</v>
      </c>
      <c r="H110" s="21" t="s">
        <v>740</v>
      </c>
      <c r="I110" s="21" t="s">
        <v>741</v>
      </c>
      <c r="J110" s="36" t="b">
        <v>1</v>
      </c>
      <c r="K110" s="119">
        <v>1.257864842422E-4</v>
      </c>
      <c r="L110" s="65">
        <v>3.993342192512E-4</v>
      </c>
      <c r="M110" s="65">
        <v>1.142807802583E-4</v>
      </c>
      <c r="N110" s="65">
        <v>3.13471290409E-5</v>
      </c>
      <c r="O110" s="66">
        <v>3.07232640395E-5</v>
      </c>
      <c r="P110" s="65">
        <v>9.98128509045E-5</v>
      </c>
      <c r="Q110" s="65">
        <v>6.89449130145E-5</v>
      </c>
      <c r="R110" s="65">
        <v>0.997003874988348</v>
      </c>
      <c r="S110" s="65">
        <v>0.0</v>
      </c>
      <c r="T110" s="65">
        <v>1.750207361524E-4</v>
      </c>
      <c r="U110" s="65">
        <v>1.525420035302E-4</v>
      </c>
      <c r="V110" s="65">
        <v>7.885398869759E-4</v>
      </c>
      <c r="W110" s="65">
        <v>1.871257485029E-4</v>
      </c>
      <c r="X110" s="65">
        <v>1.729804532087E-4</v>
      </c>
      <c r="Y110" s="37">
        <v>0.0</v>
      </c>
      <c r="Z110" s="21">
        <v>1.0</v>
      </c>
      <c r="AA110" s="36">
        <v>0.0</v>
      </c>
    </row>
    <row r="111" ht="14.25" customHeight="1">
      <c r="A111" s="47"/>
      <c r="B111" s="37">
        <v>17124.0</v>
      </c>
      <c r="C111" s="21" t="s">
        <v>456</v>
      </c>
      <c r="D111" s="21" t="s">
        <v>263</v>
      </c>
      <c r="E111" s="21" t="s">
        <v>465</v>
      </c>
      <c r="F111" s="21" t="s">
        <v>536</v>
      </c>
      <c r="G111" s="36" t="s">
        <v>742</v>
      </c>
      <c r="H111" s="21" t="s">
        <v>743</v>
      </c>
      <c r="I111" s="21" t="s">
        <v>744</v>
      </c>
      <c r="J111" s="36" t="b">
        <v>0</v>
      </c>
      <c r="K111" s="119">
        <v>1.53419734355E-4</v>
      </c>
      <c r="L111" s="65">
        <v>1.25052700781E-4</v>
      </c>
      <c r="M111" s="65">
        <v>0.967017814933437</v>
      </c>
      <c r="N111" s="65">
        <v>7.13291761541E-5</v>
      </c>
      <c r="O111" s="66">
        <v>2.111454062437E-4</v>
      </c>
      <c r="P111" s="65">
        <v>8.978451715881E-4</v>
      </c>
      <c r="Q111" s="65">
        <v>2.28065774169E-5</v>
      </c>
      <c r="R111" s="65">
        <v>3.94726454566E-5</v>
      </c>
      <c r="S111" s="65">
        <v>0.0</v>
      </c>
      <c r="T111" s="65">
        <v>1.291224232481E-4</v>
      </c>
      <c r="U111" s="65">
        <v>4.34810965932E-5</v>
      </c>
      <c r="V111" s="65">
        <v>0.0</v>
      </c>
      <c r="W111" s="65">
        <v>9.34666791288E-5</v>
      </c>
      <c r="X111" s="65">
        <v>0.0</v>
      </c>
      <c r="Y111" s="37">
        <v>1.0</v>
      </c>
      <c r="Z111" s="21">
        <v>0.0</v>
      </c>
      <c r="AA111" s="36">
        <v>1.0</v>
      </c>
    </row>
    <row r="112" ht="14.25" customHeight="1">
      <c r="A112" s="47"/>
      <c r="B112" s="37">
        <v>17259.0</v>
      </c>
      <c r="C112" s="21" t="s">
        <v>261</v>
      </c>
      <c r="D112" s="21" t="s">
        <v>456</v>
      </c>
      <c r="E112" s="21" t="s">
        <v>745</v>
      </c>
      <c r="F112" s="21" t="s">
        <v>461</v>
      </c>
      <c r="G112" s="36" t="s">
        <v>746</v>
      </c>
      <c r="H112" s="21" t="s">
        <v>747</v>
      </c>
      <c r="I112" s="21" t="s">
        <v>748</v>
      </c>
      <c r="J112" s="36" t="b">
        <v>1</v>
      </c>
      <c r="K112" s="119">
        <v>3.579538273491E-4</v>
      </c>
      <c r="L112" s="65">
        <v>0.0036772976059402</v>
      </c>
      <c r="M112" s="65">
        <v>0.0020122313098097</v>
      </c>
      <c r="N112" s="65">
        <v>0.0013931852064524</v>
      </c>
      <c r="O112" s="66">
        <v>8.793318613804E-4</v>
      </c>
      <c r="P112" s="65">
        <v>7.984828825232E-4</v>
      </c>
      <c r="Q112" s="65">
        <v>4.111560337147E-4</v>
      </c>
      <c r="R112" s="65">
        <v>9.21489126428E-5</v>
      </c>
      <c r="S112" s="65">
        <v>1.002908434459E-4</v>
      </c>
      <c r="T112" s="65">
        <v>0.990741938183229</v>
      </c>
      <c r="U112" s="65">
        <v>7.393233017308E-4</v>
      </c>
      <c r="V112" s="65">
        <v>0.0019556714471968</v>
      </c>
      <c r="W112" s="65">
        <v>4.683402023229E-4</v>
      </c>
      <c r="X112" s="65">
        <v>6.344079820058E-4</v>
      </c>
      <c r="Y112" s="37">
        <v>0.0</v>
      </c>
      <c r="Z112" s="21">
        <v>1.0</v>
      </c>
      <c r="AA112" s="36">
        <v>0.0</v>
      </c>
    </row>
    <row r="113" ht="14.25" customHeight="1">
      <c r="A113" s="47"/>
      <c r="B113" s="37">
        <v>17410.0</v>
      </c>
      <c r="C113" s="21" t="s">
        <v>263</v>
      </c>
      <c r="D113" s="21" t="s">
        <v>456</v>
      </c>
      <c r="E113" s="21" t="s">
        <v>749</v>
      </c>
      <c r="F113" s="21" t="s">
        <v>732</v>
      </c>
      <c r="G113" s="36" t="s">
        <v>750</v>
      </c>
      <c r="H113" s="21" t="s">
        <v>751</v>
      </c>
      <c r="I113" s="21" t="s">
        <v>752</v>
      </c>
      <c r="J113" s="36" t="b">
        <v>1</v>
      </c>
      <c r="K113" s="119">
        <v>0.0020896587314432</v>
      </c>
      <c r="L113" s="65">
        <v>0.0016157782825379</v>
      </c>
      <c r="M113" s="65">
        <v>0.999618239984526</v>
      </c>
      <c r="N113" s="65">
        <v>0.612670144842038</v>
      </c>
      <c r="O113" s="66">
        <v>0.999704201112511</v>
      </c>
      <c r="P113" s="65">
        <v>0.999800384260298</v>
      </c>
      <c r="Q113" s="65">
        <v>6.385113563805E-4</v>
      </c>
      <c r="R113" s="65">
        <v>0.0106771416896247</v>
      </c>
      <c r="S113" s="65">
        <v>2.004811547714E-4</v>
      </c>
      <c r="T113" s="65">
        <v>0.001680161173832</v>
      </c>
      <c r="U113" s="65">
        <v>8.696975626725E-4</v>
      </c>
      <c r="V113" s="65">
        <v>7.784120394395E-4</v>
      </c>
      <c r="W113" s="65">
        <v>0.0020551144325081</v>
      </c>
      <c r="X113" s="65">
        <v>0.006850497956364</v>
      </c>
      <c r="Y113" s="37">
        <v>3.0</v>
      </c>
      <c r="Z113" s="21">
        <v>0.0</v>
      </c>
      <c r="AA113" s="36">
        <v>4.0</v>
      </c>
    </row>
    <row r="114" ht="14.25" customHeight="1">
      <c r="A114" s="47"/>
      <c r="B114" s="37">
        <v>17491.0</v>
      </c>
      <c r="C114" s="21" t="s">
        <v>263</v>
      </c>
      <c r="D114" s="21" t="s">
        <v>456</v>
      </c>
      <c r="E114" s="21" t="s">
        <v>567</v>
      </c>
      <c r="F114" s="21" t="s">
        <v>526</v>
      </c>
      <c r="G114" s="36" t="s">
        <v>753</v>
      </c>
      <c r="H114" s="21" t="s">
        <v>754</v>
      </c>
      <c r="I114" s="21" t="s">
        <v>755</v>
      </c>
      <c r="J114" s="36" t="b">
        <v>1</v>
      </c>
      <c r="K114" s="119">
        <v>4.144271606049E-4</v>
      </c>
      <c r="L114" s="65">
        <v>2.094283947313E-4</v>
      </c>
      <c r="M114" s="65">
        <v>2.240862120772E-4</v>
      </c>
      <c r="N114" s="65">
        <v>2.819622540164E-4</v>
      </c>
      <c r="O114" s="66">
        <v>3.19187801642E-4</v>
      </c>
      <c r="P114" s="65">
        <v>2.997751686235E-4</v>
      </c>
      <c r="Q114" s="65">
        <v>2.293841036816E-4</v>
      </c>
      <c r="R114" s="65">
        <v>2.506133431819E-4</v>
      </c>
      <c r="S114" s="65">
        <v>0.0</v>
      </c>
      <c r="T114" s="65">
        <v>2.204736381951E-4</v>
      </c>
      <c r="U114" s="65">
        <v>4.3554955465E-5</v>
      </c>
      <c r="V114" s="65">
        <v>0.0018286311389759</v>
      </c>
      <c r="W114" s="65">
        <v>2.805311389564E-4</v>
      </c>
      <c r="X114" s="65">
        <v>0.993096530564078</v>
      </c>
      <c r="Y114" s="37">
        <v>0.0</v>
      </c>
      <c r="Z114" s="21">
        <v>1.0</v>
      </c>
      <c r="AA114" s="36">
        <v>0.0</v>
      </c>
    </row>
    <row r="115" ht="14.25" customHeight="1">
      <c r="A115" s="47"/>
      <c r="B115" s="37">
        <v>17523.0</v>
      </c>
      <c r="C115" s="21" t="s">
        <v>261</v>
      </c>
      <c r="D115" s="21" t="s">
        <v>456</v>
      </c>
      <c r="E115" s="21" t="s">
        <v>756</v>
      </c>
      <c r="F115" s="21" t="s">
        <v>503</v>
      </c>
      <c r="G115" s="36" t="s">
        <v>757</v>
      </c>
      <c r="H115" s="21" t="s">
        <v>758</v>
      </c>
      <c r="I115" s="21" t="s">
        <v>759</v>
      </c>
      <c r="J115" s="36" t="b">
        <v>1</v>
      </c>
      <c r="K115" s="119">
        <v>3.100164181297E-4</v>
      </c>
      <c r="L115" s="65">
        <v>2.027906860272E-4</v>
      </c>
      <c r="M115" s="65">
        <v>4.3254355968E-5</v>
      </c>
      <c r="N115" s="65">
        <v>7.07485177801E-5</v>
      </c>
      <c r="O115" s="66">
        <v>1.917950094938E-4</v>
      </c>
      <c r="P115" s="65">
        <v>0.0</v>
      </c>
      <c r="Q115" s="65">
        <v>4.356998715831E-4</v>
      </c>
      <c r="R115" s="65">
        <v>1.054546413224E-4</v>
      </c>
      <c r="S115" s="65">
        <v>4.020100502512E-4</v>
      </c>
      <c r="T115" s="65">
        <v>3.876204663606E-4</v>
      </c>
      <c r="U115" s="65">
        <v>6.53395478503E-5</v>
      </c>
      <c r="V115" s="65">
        <v>0.992756486237323</v>
      </c>
      <c r="W115" s="65">
        <v>6.545114539504E-4</v>
      </c>
      <c r="X115" s="65">
        <v>1.7460132697E-4</v>
      </c>
      <c r="Y115" s="37">
        <v>0.0</v>
      </c>
      <c r="Z115" s="21">
        <v>1.0</v>
      </c>
      <c r="AA115" s="36">
        <v>0.0</v>
      </c>
    </row>
    <row r="116" ht="14.25" customHeight="1">
      <c r="A116" s="146"/>
      <c r="B116" s="42">
        <v>17859.0</v>
      </c>
      <c r="C116" s="40" t="s">
        <v>456</v>
      </c>
      <c r="D116" s="40" t="s">
        <v>263</v>
      </c>
      <c r="E116" s="40" t="s">
        <v>519</v>
      </c>
      <c r="F116" s="40" t="s">
        <v>518</v>
      </c>
      <c r="G116" s="39" t="s">
        <v>760</v>
      </c>
      <c r="H116" s="40" t="s">
        <v>761</v>
      </c>
      <c r="I116" s="40" t="s">
        <v>762</v>
      </c>
      <c r="J116" s="39" t="b">
        <v>0</v>
      </c>
      <c r="K116" s="120">
        <v>1.106740392163E-4</v>
      </c>
      <c r="L116" s="112">
        <v>5.7453421047E-5</v>
      </c>
      <c r="M116" s="112">
        <v>0.99752978971215</v>
      </c>
      <c r="N116" s="112">
        <v>8.73312320063E-5</v>
      </c>
      <c r="O116" s="87">
        <v>7.012163406524E-4</v>
      </c>
      <c r="P116" s="112">
        <v>0.998273748467639</v>
      </c>
      <c r="Q116" s="112">
        <v>2.33950963877E-5</v>
      </c>
      <c r="R116" s="112">
        <v>8.01721027806E-5</v>
      </c>
      <c r="S116" s="112">
        <v>1.017501017501E-4</v>
      </c>
      <c r="T116" s="112">
        <v>2.307266350827E-4</v>
      </c>
      <c r="U116" s="112">
        <v>1.099456868307E-4</v>
      </c>
      <c r="V116" s="112">
        <v>0.0</v>
      </c>
      <c r="W116" s="112">
        <v>1.88679245283E-4</v>
      </c>
      <c r="X116" s="112">
        <v>0.0</v>
      </c>
      <c r="Y116" s="42">
        <v>1.0</v>
      </c>
      <c r="Z116" s="40">
        <v>0.0</v>
      </c>
      <c r="AA116" s="39">
        <v>2.0</v>
      </c>
    </row>
    <row r="117" ht="14.25" customHeight="1">
      <c r="A117" s="24" t="s">
        <v>281</v>
      </c>
      <c r="B117" s="33">
        <v>18163.0</v>
      </c>
      <c r="C117" s="34" t="s">
        <v>262</v>
      </c>
      <c r="D117" s="34" t="s">
        <v>261</v>
      </c>
      <c r="E117" s="34" t="s">
        <v>581</v>
      </c>
      <c r="F117" s="34" t="s">
        <v>578</v>
      </c>
      <c r="G117" s="143" t="s">
        <v>763</v>
      </c>
      <c r="H117" s="34" t="s">
        <v>764</v>
      </c>
      <c r="I117" s="34" t="s">
        <v>765</v>
      </c>
      <c r="J117" s="143" t="b">
        <v>1</v>
      </c>
      <c r="K117" s="145">
        <v>1.52868968363E-5</v>
      </c>
      <c r="L117" s="98">
        <v>2.194256447944E-4</v>
      </c>
      <c r="M117" s="98">
        <v>0.998535588839206</v>
      </c>
      <c r="N117" s="98">
        <v>0.997753744950695</v>
      </c>
      <c r="O117" s="86">
        <v>0.998996733551096</v>
      </c>
      <c r="P117" s="98">
        <v>0.999220988088656</v>
      </c>
      <c r="Q117" s="98">
        <v>4.6135037254E-5</v>
      </c>
      <c r="R117" s="98">
        <v>0.0</v>
      </c>
      <c r="S117" s="98">
        <v>0.0</v>
      </c>
      <c r="T117" s="98">
        <v>0.0</v>
      </c>
      <c r="U117" s="98">
        <v>2.18002659632E-5</v>
      </c>
      <c r="V117" s="98">
        <v>0.0</v>
      </c>
      <c r="W117" s="98">
        <v>0.0</v>
      </c>
      <c r="X117" s="98">
        <v>0.0</v>
      </c>
      <c r="Y117" s="33">
        <v>3.0</v>
      </c>
      <c r="Z117" s="34">
        <v>0.0</v>
      </c>
      <c r="AA117" s="143">
        <v>4.0</v>
      </c>
    </row>
    <row r="118" ht="14.25" customHeight="1">
      <c r="A118" s="47"/>
      <c r="B118" s="37">
        <v>18171.0</v>
      </c>
      <c r="C118" s="21" t="s">
        <v>263</v>
      </c>
      <c r="D118" s="21" t="s">
        <v>456</v>
      </c>
      <c r="E118" s="21" t="s">
        <v>523</v>
      </c>
      <c r="F118" s="21" t="s">
        <v>522</v>
      </c>
      <c r="G118" s="36" t="s">
        <v>766</v>
      </c>
      <c r="H118" s="21" t="s">
        <v>767</v>
      </c>
      <c r="I118" s="21" t="s">
        <v>768</v>
      </c>
      <c r="J118" s="36" t="b">
        <v>0</v>
      </c>
      <c r="K118" s="119">
        <v>0.001958363127742</v>
      </c>
      <c r="L118" s="65">
        <v>6.824358752697E-4</v>
      </c>
      <c r="M118" s="65">
        <v>5.118345501312E-4</v>
      </c>
      <c r="N118" s="65">
        <v>3.740957634408E-4</v>
      </c>
      <c r="O118" s="66">
        <v>5.983022203228E-4</v>
      </c>
      <c r="P118" s="65">
        <v>9.794073329984E-4</v>
      </c>
      <c r="Q118" s="65">
        <v>0.0063421046562579</v>
      </c>
      <c r="R118" s="65">
        <v>6.2432751956E-4</v>
      </c>
      <c r="S118" s="65">
        <v>0.994627470856563</v>
      </c>
      <c r="T118" s="65">
        <v>4.424137483886E-4</v>
      </c>
      <c r="U118" s="65">
        <v>0.0011990146279784</v>
      </c>
      <c r="V118" s="65">
        <v>7.848266841072E-4</v>
      </c>
      <c r="W118" s="65">
        <v>1.874589933452E-4</v>
      </c>
      <c r="X118" s="65">
        <v>1.73751882312E-4</v>
      </c>
      <c r="Y118" s="37">
        <v>0.0</v>
      </c>
      <c r="Z118" s="21">
        <v>1.0</v>
      </c>
      <c r="AA118" s="36">
        <v>0.0</v>
      </c>
    </row>
    <row r="119" ht="14.25" customHeight="1">
      <c r="A119" s="47"/>
      <c r="B119" s="37">
        <v>18492.0</v>
      </c>
      <c r="C119" s="21" t="s">
        <v>262</v>
      </c>
      <c r="D119" s="21" t="s">
        <v>261</v>
      </c>
      <c r="E119" s="21" t="s">
        <v>567</v>
      </c>
      <c r="F119" s="21" t="s">
        <v>568</v>
      </c>
      <c r="G119" s="36" t="s">
        <v>769</v>
      </c>
      <c r="H119" s="21" t="s">
        <v>770</v>
      </c>
      <c r="I119" s="21" t="s">
        <v>771</v>
      </c>
      <c r="J119" s="36" t="b">
        <v>0</v>
      </c>
      <c r="K119" s="119">
        <v>1.10455364987E-5</v>
      </c>
      <c r="L119" s="65">
        <v>2.90654388232E-5</v>
      </c>
      <c r="M119" s="65">
        <v>2.287800178448E-4</v>
      </c>
      <c r="N119" s="65">
        <v>2.99555275629E-5</v>
      </c>
      <c r="O119" s="66">
        <v>0.998953137508467</v>
      </c>
      <c r="P119" s="65">
        <v>0.998448603743369</v>
      </c>
      <c r="Q119" s="65">
        <v>0.0</v>
      </c>
      <c r="R119" s="65">
        <v>0.0</v>
      </c>
      <c r="S119" s="65">
        <v>0.0</v>
      </c>
      <c r="T119" s="65">
        <v>0.0</v>
      </c>
      <c r="U119" s="65">
        <v>0.0</v>
      </c>
      <c r="V119" s="65">
        <v>0.0</v>
      </c>
      <c r="W119" s="65">
        <v>0.0</v>
      </c>
      <c r="X119" s="65">
        <v>1.152538465971E-4</v>
      </c>
      <c r="Y119" s="37">
        <v>1.0</v>
      </c>
      <c r="Z119" s="21">
        <v>0.0</v>
      </c>
      <c r="AA119" s="36">
        <v>2.0</v>
      </c>
    </row>
    <row r="120" ht="14.25" customHeight="1">
      <c r="A120" s="47"/>
      <c r="B120" s="37">
        <v>18877.0</v>
      </c>
      <c r="C120" s="21" t="s">
        <v>263</v>
      </c>
      <c r="D120" s="21" t="s">
        <v>456</v>
      </c>
      <c r="E120" s="21" t="s">
        <v>571</v>
      </c>
      <c r="F120" s="21" t="s">
        <v>527</v>
      </c>
      <c r="G120" s="36" t="s">
        <v>772</v>
      </c>
      <c r="H120" s="21" t="s">
        <v>773</v>
      </c>
      <c r="I120" s="21" t="s">
        <v>774</v>
      </c>
      <c r="J120" s="36" t="b">
        <v>0</v>
      </c>
      <c r="K120" s="119">
        <v>0.0019868243073567</v>
      </c>
      <c r="L120" s="65">
        <v>0.0013953846212509</v>
      </c>
      <c r="M120" s="65">
        <v>9.464541046086E-4</v>
      </c>
      <c r="N120" s="65">
        <v>7.092268351513E-4</v>
      </c>
      <c r="O120" s="66">
        <v>9.778609195757E-4</v>
      </c>
      <c r="P120" s="65">
        <v>0.0016494227020542</v>
      </c>
      <c r="Q120" s="65">
        <v>0.0024801929038925</v>
      </c>
      <c r="R120" s="65">
        <v>6.020227965965E-4</v>
      </c>
      <c r="S120" s="65">
        <v>7.038712921065E-4</v>
      </c>
      <c r="T120" s="65">
        <v>0.0012291483757682</v>
      </c>
      <c r="U120" s="65">
        <v>0.0014535523939567</v>
      </c>
      <c r="V120" s="65">
        <v>7.846214201647E-4</v>
      </c>
      <c r="W120" s="65">
        <v>7.495549517474E-4</v>
      </c>
      <c r="X120" s="65">
        <v>0.995615854019788</v>
      </c>
      <c r="Y120" s="37">
        <v>0.0</v>
      </c>
      <c r="Z120" s="21">
        <v>1.0</v>
      </c>
      <c r="AA120" s="36">
        <v>0.0</v>
      </c>
    </row>
    <row r="121" ht="14.25" customHeight="1">
      <c r="A121" s="47"/>
      <c r="B121" s="37">
        <v>18894.0</v>
      </c>
      <c r="C121" s="21" t="s">
        <v>263</v>
      </c>
      <c r="D121" s="21" t="s">
        <v>456</v>
      </c>
      <c r="E121" s="21" t="s">
        <v>775</v>
      </c>
      <c r="F121" s="21" t="s">
        <v>732</v>
      </c>
      <c r="G121" s="36" t="s">
        <v>776</v>
      </c>
      <c r="H121" s="21" t="s">
        <v>777</v>
      </c>
      <c r="I121" s="21" t="s">
        <v>778</v>
      </c>
      <c r="J121" s="36" t="b">
        <v>0</v>
      </c>
      <c r="K121" s="119">
        <v>1.132204930795E-4</v>
      </c>
      <c r="L121" s="65">
        <v>2.551687937085E-4</v>
      </c>
      <c r="M121" s="65">
        <v>4.069455430561E-4</v>
      </c>
      <c r="N121" s="65">
        <v>1.259584361737E-4</v>
      </c>
      <c r="O121" s="66">
        <v>0.912456830465688</v>
      </c>
      <c r="P121" s="65">
        <v>3.499912502187E-4</v>
      </c>
      <c r="Q121" s="65">
        <v>2.984731948111E-4</v>
      </c>
      <c r="R121" s="65">
        <v>5.3500969705E-5</v>
      </c>
      <c r="S121" s="65">
        <v>3.015681544028E-4</v>
      </c>
      <c r="T121" s="65">
        <v>2.671225558286E-4</v>
      </c>
      <c r="U121" s="65">
        <v>2.20274020881E-5</v>
      </c>
      <c r="V121" s="65">
        <v>2.610966057441E-4</v>
      </c>
      <c r="W121" s="65">
        <v>0.0</v>
      </c>
      <c r="X121" s="65">
        <v>5.86579070858E-5</v>
      </c>
      <c r="Y121" s="37">
        <v>1.0</v>
      </c>
      <c r="Z121" s="21">
        <v>0.0</v>
      </c>
      <c r="AA121" s="36">
        <v>1.0</v>
      </c>
    </row>
    <row r="122" ht="14.25" customHeight="1">
      <c r="A122" s="47"/>
      <c r="B122" s="37">
        <v>19035.0</v>
      </c>
      <c r="C122" s="21" t="s">
        <v>456</v>
      </c>
      <c r="D122" s="21" t="s">
        <v>263</v>
      </c>
      <c r="E122" s="21" t="s">
        <v>503</v>
      </c>
      <c r="F122" s="21" t="s">
        <v>473</v>
      </c>
      <c r="G122" s="36" t="s">
        <v>779</v>
      </c>
      <c r="H122" s="21" t="s">
        <v>780</v>
      </c>
      <c r="I122" s="21" t="s">
        <v>781</v>
      </c>
      <c r="J122" s="36" t="b">
        <v>0</v>
      </c>
      <c r="K122" s="119">
        <v>7.6454482823E-6</v>
      </c>
      <c r="L122" s="65">
        <v>2.59489195518E-5</v>
      </c>
      <c r="M122" s="65">
        <v>2.061257519772E-4</v>
      </c>
      <c r="N122" s="65">
        <v>1.76655186127E-5</v>
      </c>
      <c r="O122" s="66">
        <v>3.86113803182E-5</v>
      </c>
      <c r="P122" s="65">
        <v>1.750875437718E-4</v>
      </c>
      <c r="Q122" s="65">
        <v>2.29368319647E-5</v>
      </c>
      <c r="R122" s="65">
        <v>1.32726331576E-5</v>
      </c>
      <c r="S122" s="65">
        <v>0.0</v>
      </c>
      <c r="T122" s="65">
        <v>2.28310502283E-5</v>
      </c>
      <c r="U122" s="65">
        <v>2.19067648089E-5</v>
      </c>
      <c r="V122" s="65">
        <v>0.0</v>
      </c>
      <c r="W122" s="65">
        <v>4.682524817381E-4</v>
      </c>
      <c r="X122" s="65">
        <v>0.949965253648366</v>
      </c>
      <c r="Y122" s="37">
        <v>0.0</v>
      </c>
      <c r="Z122" s="21">
        <v>1.0</v>
      </c>
      <c r="AA122" s="36">
        <v>0.0</v>
      </c>
    </row>
    <row r="123" ht="14.25" customHeight="1">
      <c r="A123" s="47"/>
      <c r="B123" s="37">
        <v>19220.0</v>
      </c>
      <c r="C123" s="21" t="s">
        <v>263</v>
      </c>
      <c r="D123" s="21" t="s">
        <v>456</v>
      </c>
      <c r="E123" s="21" t="s">
        <v>465</v>
      </c>
      <c r="F123" s="21" t="s">
        <v>484</v>
      </c>
      <c r="G123" s="36" t="s">
        <v>782</v>
      </c>
      <c r="H123" s="21" t="s">
        <v>783</v>
      </c>
      <c r="I123" s="21" t="s">
        <v>784</v>
      </c>
      <c r="J123" s="36" t="b">
        <v>1</v>
      </c>
      <c r="K123" s="119">
        <v>1.214696296195E-4</v>
      </c>
      <c r="L123" s="65">
        <v>0.90513639417422</v>
      </c>
      <c r="M123" s="65">
        <v>7.63452024674E-5</v>
      </c>
      <c r="N123" s="65">
        <v>2.433284007102E-4</v>
      </c>
      <c r="O123" s="66">
        <v>2.15093411996E-4</v>
      </c>
      <c r="P123" s="65">
        <v>2.50043757657E-5</v>
      </c>
      <c r="Q123" s="65">
        <v>2.980899314393E-4</v>
      </c>
      <c r="R123" s="65">
        <v>5.067342312308E-4</v>
      </c>
      <c r="S123" s="65">
        <v>0.0018072289156626</v>
      </c>
      <c r="T123" s="65">
        <v>1.140441578979E-4</v>
      </c>
      <c r="U123" s="65">
        <v>1.533339174625E-4</v>
      </c>
      <c r="V123" s="65">
        <v>1.304291117777E-4</v>
      </c>
      <c r="W123" s="65">
        <v>1.871607711023E-4</v>
      </c>
      <c r="X123" s="65">
        <v>9.224028594488E-4</v>
      </c>
      <c r="Y123" s="37">
        <v>1.0</v>
      </c>
      <c r="Z123" s="21">
        <v>0.0</v>
      </c>
      <c r="AA123" s="36">
        <v>0.0</v>
      </c>
    </row>
    <row r="124" ht="14.25" customHeight="1">
      <c r="A124" s="146"/>
      <c r="B124" s="42">
        <v>19326.0</v>
      </c>
      <c r="C124" s="40" t="s">
        <v>262</v>
      </c>
      <c r="D124" s="40" t="s">
        <v>261</v>
      </c>
      <c r="E124" s="40" t="s">
        <v>567</v>
      </c>
      <c r="F124" s="40" t="s">
        <v>568</v>
      </c>
      <c r="G124" s="39" t="s">
        <v>785</v>
      </c>
      <c r="H124" s="40" t="s">
        <v>786</v>
      </c>
      <c r="I124" s="40" t="s">
        <v>787</v>
      </c>
      <c r="J124" s="39" t="b">
        <v>0</v>
      </c>
      <c r="K124" s="120">
        <v>1.82835912995E-5</v>
      </c>
      <c r="L124" s="112">
        <v>1.244357001217E-4</v>
      </c>
      <c r="M124" s="112">
        <v>0.996461636279988</v>
      </c>
      <c r="N124" s="112">
        <v>3.58107336177E-5</v>
      </c>
      <c r="O124" s="87">
        <v>3.659969564463E-4</v>
      </c>
      <c r="P124" s="112">
        <v>0.999248176828809</v>
      </c>
      <c r="Q124" s="112">
        <v>0.0</v>
      </c>
      <c r="R124" s="112">
        <v>0.0</v>
      </c>
      <c r="S124" s="112">
        <v>0.0</v>
      </c>
      <c r="T124" s="112">
        <v>1.65586216603E-5</v>
      </c>
      <c r="U124" s="112">
        <v>2.40900002409E-5</v>
      </c>
      <c r="V124" s="112">
        <v>1.662234042553E-4</v>
      </c>
      <c r="W124" s="112">
        <v>0.0</v>
      </c>
      <c r="X124" s="112">
        <v>6.48971380362E-5</v>
      </c>
      <c r="Y124" s="42">
        <v>1.0</v>
      </c>
      <c r="Z124" s="40">
        <v>0.0</v>
      </c>
      <c r="AA124" s="39">
        <v>2.0</v>
      </c>
    </row>
    <row r="125" ht="14.25" customHeight="1">
      <c r="A125" s="24" t="s">
        <v>282</v>
      </c>
      <c r="B125" s="33">
        <v>19955.0</v>
      </c>
      <c r="C125" s="34" t="s">
        <v>263</v>
      </c>
      <c r="D125" s="34" t="s">
        <v>456</v>
      </c>
      <c r="E125" s="34" t="s">
        <v>498</v>
      </c>
      <c r="F125" s="34" t="s">
        <v>503</v>
      </c>
      <c r="G125" s="143" t="s">
        <v>788</v>
      </c>
      <c r="H125" s="34" t="s">
        <v>789</v>
      </c>
      <c r="I125" s="34" t="s">
        <v>790</v>
      </c>
      <c r="J125" s="143" t="b">
        <v>1</v>
      </c>
      <c r="K125" s="145">
        <v>0.0014496589601113</v>
      </c>
      <c r="L125" s="98">
        <v>0.001759799842688</v>
      </c>
      <c r="M125" s="98">
        <v>0.999477746650883</v>
      </c>
      <c r="N125" s="98">
        <v>0.612622225731404</v>
      </c>
      <c r="O125" s="86">
        <v>0.99947492883904</v>
      </c>
      <c r="P125" s="98">
        <v>0.99992404101785</v>
      </c>
      <c r="Q125" s="98">
        <v>4.354557770466E-4</v>
      </c>
      <c r="R125" s="98">
        <v>8.879417510211E-4</v>
      </c>
      <c r="S125" s="98">
        <v>2.097975453687E-4</v>
      </c>
      <c r="T125" s="98">
        <v>0.0011839144445402</v>
      </c>
      <c r="U125" s="98">
        <v>0.0013925033100488</v>
      </c>
      <c r="V125" s="98">
        <v>2.718868950516E-4</v>
      </c>
      <c r="W125" s="98">
        <v>4.769627015167E-4</v>
      </c>
      <c r="X125" s="98">
        <v>0.0010331206320267</v>
      </c>
      <c r="Y125" s="33">
        <v>3.0</v>
      </c>
      <c r="Z125" s="34">
        <v>0.0</v>
      </c>
      <c r="AA125" s="143">
        <v>4.0</v>
      </c>
    </row>
    <row r="126" ht="14.25" customHeight="1">
      <c r="A126" s="47"/>
      <c r="B126" s="37">
        <v>20055.0</v>
      </c>
      <c r="C126" s="21" t="s">
        <v>262</v>
      </c>
      <c r="D126" s="21" t="s">
        <v>261</v>
      </c>
      <c r="E126" s="21" t="s">
        <v>679</v>
      </c>
      <c r="F126" s="21" t="s">
        <v>745</v>
      </c>
      <c r="G126" s="36" t="s">
        <v>791</v>
      </c>
      <c r="H126" s="21" t="s">
        <v>792</v>
      </c>
      <c r="I126" s="21" t="s">
        <v>793</v>
      </c>
      <c r="J126" s="36" t="b">
        <v>0</v>
      </c>
      <c r="K126" s="119">
        <v>7.932331712833E-4</v>
      </c>
      <c r="L126" s="65">
        <v>0.0015618602437149</v>
      </c>
      <c r="M126" s="65">
        <v>0.997337485779753</v>
      </c>
      <c r="N126" s="65">
        <v>0.613139900587646</v>
      </c>
      <c r="O126" s="66">
        <v>0.998295962017581</v>
      </c>
      <c r="P126" s="65">
        <v>0.999064688187264</v>
      </c>
      <c r="Q126" s="65">
        <v>0.0024864100626477</v>
      </c>
      <c r="R126" s="65">
        <v>0.0026694410601103</v>
      </c>
      <c r="S126" s="65">
        <v>4.200798151648E-4</v>
      </c>
      <c r="T126" s="65">
        <v>0.0055378128785614</v>
      </c>
      <c r="U126" s="65">
        <v>0.0012370000458148</v>
      </c>
      <c r="V126" s="65">
        <v>1.3633265167E-4</v>
      </c>
      <c r="W126" s="65">
        <v>0.0033384204502098</v>
      </c>
      <c r="X126" s="65">
        <v>4.864996351252E-4</v>
      </c>
      <c r="Y126" s="37">
        <v>3.0</v>
      </c>
      <c r="Z126" s="21">
        <v>0.0</v>
      </c>
      <c r="AA126" s="36">
        <v>4.0</v>
      </c>
    </row>
    <row r="127" ht="14.25" customHeight="1">
      <c r="A127" s="47"/>
      <c r="B127" s="37">
        <v>20148.0</v>
      </c>
      <c r="C127" s="21" t="s">
        <v>263</v>
      </c>
      <c r="D127" s="21" t="s">
        <v>456</v>
      </c>
      <c r="E127" s="21" t="s">
        <v>476</v>
      </c>
      <c r="F127" s="21" t="s">
        <v>477</v>
      </c>
      <c r="G127" s="36" t="s">
        <v>794</v>
      </c>
      <c r="H127" s="21" t="s">
        <v>795</v>
      </c>
      <c r="I127" s="21" t="s">
        <v>796</v>
      </c>
      <c r="J127" s="36" t="b">
        <v>0</v>
      </c>
      <c r="K127" s="119">
        <v>0.0037210774771182</v>
      </c>
      <c r="L127" s="65">
        <v>0.0010073166597097</v>
      </c>
      <c r="M127" s="65">
        <v>0.0016489495910757</v>
      </c>
      <c r="N127" s="65">
        <v>9.644087184902E-4</v>
      </c>
      <c r="O127" s="66">
        <v>0.0018955805892547</v>
      </c>
      <c r="P127" s="65">
        <v>0.0011017628205128</v>
      </c>
      <c r="Q127" s="65">
        <v>0.0029164522216503</v>
      </c>
      <c r="R127" s="65">
        <v>0.0017342145510159</v>
      </c>
      <c r="S127" s="65">
        <v>0.0013701517706576</v>
      </c>
      <c r="T127" s="65">
        <v>0.0011839979926921</v>
      </c>
      <c r="U127" s="65">
        <v>0.0014917152430348</v>
      </c>
      <c r="V127" s="65">
        <v>6.827802813054E-4</v>
      </c>
      <c r="W127" s="65">
        <v>0.0024844720496894</v>
      </c>
      <c r="X127" s="65">
        <v>0.993433568579318</v>
      </c>
      <c r="Y127" s="37">
        <v>0.0</v>
      </c>
      <c r="Z127" s="21">
        <v>1.0</v>
      </c>
      <c r="AA127" s="36">
        <v>0.0</v>
      </c>
    </row>
    <row r="128" ht="14.25" customHeight="1">
      <c r="A128" s="47"/>
      <c r="B128" s="37">
        <v>20262.0</v>
      </c>
      <c r="C128" s="21" t="s">
        <v>262</v>
      </c>
      <c r="D128" s="21" t="s">
        <v>261</v>
      </c>
      <c r="E128" s="21" t="s">
        <v>527</v>
      </c>
      <c r="F128" s="21" t="s">
        <v>490</v>
      </c>
      <c r="G128" s="36" t="s">
        <v>797</v>
      </c>
      <c r="H128" s="21" t="s">
        <v>798</v>
      </c>
      <c r="I128" s="21" t="s">
        <v>799</v>
      </c>
      <c r="J128" s="36" t="b">
        <v>0</v>
      </c>
      <c r="K128" s="119">
        <v>3.848008873055E-4</v>
      </c>
      <c r="L128" s="65">
        <v>0.019117475288724</v>
      </c>
      <c r="M128" s="65">
        <v>0.001014792453216</v>
      </c>
      <c r="N128" s="65">
        <v>7.046966893228E-4</v>
      </c>
      <c r="O128" s="66">
        <v>6.716047082207E-4</v>
      </c>
      <c r="P128" s="65">
        <v>0.0010786674693959</v>
      </c>
      <c r="Q128" s="65">
        <v>1.948178453146E-4</v>
      </c>
      <c r="R128" s="65">
        <v>1.553803994688E-4</v>
      </c>
      <c r="S128" s="65">
        <v>2.131741632914E-4</v>
      </c>
      <c r="T128" s="65">
        <v>7.613336682154E-4</v>
      </c>
      <c r="U128" s="65">
        <v>0.992123605947955</v>
      </c>
      <c r="V128" s="65">
        <v>4.1174855888E-4</v>
      </c>
      <c r="W128" s="65">
        <v>0.0018293857115347</v>
      </c>
      <c r="X128" s="65">
        <v>3.026634382566E-4</v>
      </c>
      <c r="Y128" s="37">
        <v>0.0</v>
      </c>
      <c r="Z128" s="21">
        <v>1.0</v>
      </c>
      <c r="AA128" s="36">
        <v>0.0</v>
      </c>
    </row>
    <row r="129" ht="14.25" customHeight="1">
      <c r="A129" s="47"/>
      <c r="B129" s="37">
        <v>20396.0</v>
      </c>
      <c r="C129" s="21" t="s">
        <v>262</v>
      </c>
      <c r="D129" s="21" t="s">
        <v>261</v>
      </c>
      <c r="E129" s="21" t="s">
        <v>494</v>
      </c>
      <c r="F129" s="21" t="s">
        <v>458</v>
      </c>
      <c r="G129" s="36" t="s">
        <v>800</v>
      </c>
      <c r="H129" s="21" t="s">
        <v>801</v>
      </c>
      <c r="I129" s="21" t="s">
        <v>802</v>
      </c>
      <c r="J129" s="36" t="b">
        <v>1</v>
      </c>
      <c r="K129" s="119">
        <v>7.2813577305E-5</v>
      </c>
      <c r="L129" s="65">
        <v>0.0043772058503144</v>
      </c>
      <c r="M129" s="65">
        <v>1.859811012628E-4</v>
      </c>
      <c r="N129" s="65">
        <v>1.058845493079E-4</v>
      </c>
      <c r="O129" s="66">
        <v>1.19525445425E-4</v>
      </c>
      <c r="P129" s="65">
        <v>1.50007500375E-4</v>
      </c>
      <c r="Q129" s="65">
        <v>4.81382530627E-5</v>
      </c>
      <c r="R129" s="65">
        <v>1.398034363684E-4</v>
      </c>
      <c r="S129" s="65">
        <v>0.0</v>
      </c>
      <c r="T129" s="65">
        <v>3.667319501556E-4</v>
      </c>
      <c r="U129" s="65">
        <v>0.0</v>
      </c>
      <c r="V129" s="65">
        <v>0.99395355228803</v>
      </c>
      <c r="W129" s="65">
        <v>1.91369246962E-4</v>
      </c>
      <c r="X129" s="65">
        <v>1.203297033872E-4</v>
      </c>
      <c r="Y129" s="37">
        <v>0.0</v>
      </c>
      <c r="Z129" s="21">
        <v>1.0</v>
      </c>
      <c r="AA129" s="36">
        <v>0.0</v>
      </c>
    </row>
    <row r="130" ht="14.25" customHeight="1">
      <c r="A130" s="146"/>
      <c r="B130" s="42">
        <v>20401.0</v>
      </c>
      <c r="C130" s="40" t="s">
        <v>456</v>
      </c>
      <c r="D130" s="40" t="s">
        <v>261</v>
      </c>
      <c r="E130" s="40" t="s">
        <v>526</v>
      </c>
      <c r="F130" s="40" t="s">
        <v>512</v>
      </c>
      <c r="G130" s="39" t="s">
        <v>803</v>
      </c>
      <c r="H130" s="40" t="s">
        <v>804</v>
      </c>
      <c r="I130" s="40" t="s">
        <v>805</v>
      </c>
      <c r="J130" s="39" t="b">
        <v>1</v>
      </c>
      <c r="K130" s="120">
        <v>1.7323291598E-6</v>
      </c>
      <c r="L130" s="112">
        <v>7.258841439E-5</v>
      </c>
      <c r="M130" s="112">
        <v>4.33128743697E-5</v>
      </c>
      <c r="N130" s="112">
        <v>1.11469948011E-5</v>
      </c>
      <c r="O130" s="87">
        <v>4.62843323677E-5</v>
      </c>
      <c r="P130" s="112">
        <v>2.49981251406E-5</v>
      </c>
      <c r="Q130" s="112">
        <v>0.0</v>
      </c>
      <c r="R130" s="112">
        <v>0.0</v>
      </c>
      <c r="S130" s="112">
        <v>0.0</v>
      </c>
      <c r="T130" s="112">
        <v>7.7965414542E-6</v>
      </c>
      <c r="U130" s="112">
        <v>0.0</v>
      </c>
      <c r="V130" s="112">
        <v>0.648567119155354</v>
      </c>
      <c r="W130" s="112">
        <v>0.0</v>
      </c>
      <c r="X130" s="112">
        <v>0.0</v>
      </c>
      <c r="Y130" s="42">
        <v>0.0</v>
      </c>
      <c r="Z130" s="40">
        <v>1.0</v>
      </c>
      <c r="AA130" s="39">
        <v>0.0</v>
      </c>
    </row>
    <row r="131" ht="14.25" customHeight="1">
      <c r="A131" s="146" t="s">
        <v>283</v>
      </c>
      <c r="B131" s="42">
        <v>20724.0</v>
      </c>
      <c r="C131" s="40" t="s">
        <v>262</v>
      </c>
      <c r="D131" s="40" t="s">
        <v>261</v>
      </c>
      <c r="E131" s="40" t="s">
        <v>527</v>
      </c>
      <c r="F131" s="40" t="s">
        <v>490</v>
      </c>
      <c r="G131" s="39" t="s">
        <v>806</v>
      </c>
      <c r="H131" s="40" t="s">
        <v>807</v>
      </c>
      <c r="I131" s="40" t="s">
        <v>808</v>
      </c>
      <c r="J131" s="39" t="b">
        <v>0</v>
      </c>
      <c r="K131" s="120">
        <v>1.38733907509E-4</v>
      </c>
      <c r="L131" s="112">
        <v>2.98279309642E-5</v>
      </c>
      <c r="M131" s="112">
        <v>9.7619873351E-5</v>
      </c>
      <c r="N131" s="112">
        <v>1.19696273854E-5</v>
      </c>
      <c r="O131" s="87">
        <v>1.013762844375E-4</v>
      </c>
      <c r="P131" s="112">
        <v>0.0</v>
      </c>
      <c r="Q131" s="112">
        <v>2.32174781175E-5</v>
      </c>
      <c r="R131" s="112">
        <v>0.0</v>
      </c>
      <c r="S131" s="112">
        <v>0.993873174716634</v>
      </c>
      <c r="T131" s="112">
        <v>1.56920590335E-5</v>
      </c>
      <c r="U131" s="112">
        <v>0.0</v>
      </c>
      <c r="V131" s="112">
        <v>0.0</v>
      </c>
      <c r="W131" s="112">
        <v>0.0</v>
      </c>
      <c r="X131" s="112">
        <v>0.0</v>
      </c>
      <c r="Y131" s="42">
        <v>0.0</v>
      </c>
      <c r="Z131" s="40">
        <v>1.0</v>
      </c>
      <c r="AA131" s="39">
        <v>0.0</v>
      </c>
    </row>
    <row r="132" ht="14.25" customHeight="1">
      <c r="A132" s="155" t="s">
        <v>809</v>
      </c>
      <c r="B132" s="33">
        <v>21600.0</v>
      </c>
      <c r="C132" s="34" t="s">
        <v>261</v>
      </c>
      <c r="D132" s="34" t="s">
        <v>456</v>
      </c>
      <c r="E132" s="34" t="s">
        <v>457</v>
      </c>
      <c r="F132" s="34" t="s">
        <v>503</v>
      </c>
      <c r="G132" s="143" t="s">
        <v>810</v>
      </c>
      <c r="H132" s="34" t="s">
        <v>811</v>
      </c>
      <c r="I132" s="144" t="s">
        <v>812</v>
      </c>
      <c r="J132" s="143" t="b">
        <v>1</v>
      </c>
      <c r="K132" s="145">
        <v>3.666175309069E-4</v>
      </c>
      <c r="L132" s="98">
        <v>8.35143185411E-5</v>
      </c>
      <c r="M132" s="98">
        <v>5.04010664865E-5</v>
      </c>
      <c r="N132" s="98">
        <v>9.31429674311E-5</v>
      </c>
      <c r="O132" s="86">
        <v>3.88354039076E-5</v>
      </c>
      <c r="P132" s="98">
        <v>7.64194920651E-5</v>
      </c>
      <c r="Q132" s="98">
        <v>1.644273231231E-4</v>
      </c>
      <c r="R132" s="98">
        <v>0.993527866131932</v>
      </c>
      <c r="S132" s="98">
        <v>0.0012871518839223</v>
      </c>
      <c r="T132" s="98">
        <v>7.72290226667E-5</v>
      </c>
      <c r="U132" s="98">
        <v>2.001467743011E-4</v>
      </c>
      <c r="V132" s="98">
        <v>0.0</v>
      </c>
      <c r="W132" s="98">
        <v>1.91040213965E-4</v>
      </c>
      <c r="X132" s="98">
        <v>3.134206732276E-4</v>
      </c>
      <c r="Y132" s="33">
        <v>0.0</v>
      </c>
      <c r="Z132" s="34">
        <v>1.0</v>
      </c>
      <c r="AA132" s="143">
        <v>0.0</v>
      </c>
    </row>
    <row r="133" ht="14.25" customHeight="1">
      <c r="B133" s="37">
        <v>21614.0</v>
      </c>
      <c r="C133" s="21" t="s">
        <v>263</v>
      </c>
      <c r="D133" s="21" t="s">
        <v>456</v>
      </c>
      <c r="E133" s="21" t="s">
        <v>609</v>
      </c>
      <c r="F133" s="21" t="s">
        <v>477</v>
      </c>
      <c r="G133" s="36" t="s">
        <v>813</v>
      </c>
      <c r="H133" s="21" t="s">
        <v>814</v>
      </c>
      <c r="I133" s="144" t="s">
        <v>815</v>
      </c>
      <c r="J133" s="36" t="b">
        <v>1</v>
      </c>
      <c r="K133" s="119">
        <v>0.0067048497596661</v>
      </c>
      <c r="L133" s="65">
        <v>0.0041228898767534</v>
      </c>
      <c r="M133" s="65">
        <v>3.601207789689E-4</v>
      </c>
      <c r="N133" s="65">
        <v>4.267160249113E-4</v>
      </c>
      <c r="O133" s="66">
        <v>0.001310999669068</v>
      </c>
      <c r="P133" s="65">
        <v>8.909026116173E-4</v>
      </c>
      <c r="Q133" s="65">
        <v>0.439390370300574</v>
      </c>
      <c r="R133" s="65">
        <v>7.395740601246E-4</v>
      </c>
      <c r="S133" s="65">
        <v>0.0021109417145537</v>
      </c>
      <c r="T133" s="65">
        <v>0.994966287269578</v>
      </c>
      <c r="U133" s="65">
        <v>0.0331348059913773</v>
      </c>
      <c r="V133" s="65">
        <v>0.0013410218586562</v>
      </c>
      <c r="W133" s="65">
        <v>0.0045937410278495</v>
      </c>
      <c r="X133" s="65">
        <v>0.0033176838810641</v>
      </c>
      <c r="Y133" s="37">
        <v>0.0</v>
      </c>
      <c r="Z133" s="21">
        <v>2.0</v>
      </c>
      <c r="AA133" s="36">
        <v>0.0</v>
      </c>
    </row>
    <row r="134" ht="14.25" customHeight="1">
      <c r="B134" s="37">
        <v>21618.0</v>
      </c>
      <c r="C134" s="21" t="s">
        <v>263</v>
      </c>
      <c r="D134" s="21" t="s">
        <v>456</v>
      </c>
      <c r="E134" s="21" t="s">
        <v>497</v>
      </c>
      <c r="F134" s="21" t="s">
        <v>581</v>
      </c>
      <c r="G134" s="36" t="s">
        <v>816</v>
      </c>
      <c r="H134" s="21" t="s">
        <v>817</v>
      </c>
      <c r="I134" s="144" t="s">
        <v>818</v>
      </c>
      <c r="J134" s="36" t="b">
        <v>1</v>
      </c>
      <c r="K134" s="119">
        <v>0.0010510449617433</v>
      </c>
      <c r="L134" s="65">
        <v>3.201634340959E-4</v>
      </c>
      <c r="M134" s="65">
        <v>0.995666155849538</v>
      </c>
      <c r="N134" s="65">
        <v>0.609821699943123</v>
      </c>
      <c r="O134" s="66">
        <v>0.983744466065616</v>
      </c>
      <c r="P134" s="65">
        <v>0.9855265216711</v>
      </c>
      <c r="Q134" s="65">
        <v>0.0254589905733562</v>
      </c>
      <c r="R134" s="65">
        <v>8.499321425144E-4</v>
      </c>
      <c r="S134" s="65">
        <v>0.0029394473838918</v>
      </c>
      <c r="T134" s="65">
        <v>9.037610363126E-4</v>
      </c>
      <c r="U134" s="65">
        <v>0.001089179336712</v>
      </c>
      <c r="V134" s="65">
        <v>0.0</v>
      </c>
      <c r="W134" s="65">
        <v>7.649646203863E-4</v>
      </c>
      <c r="X134" s="65">
        <v>4.384865948383E-4</v>
      </c>
      <c r="Y134" s="37">
        <v>3.0</v>
      </c>
      <c r="Z134" s="21">
        <v>0.0</v>
      </c>
      <c r="AA134" s="36">
        <v>4.0</v>
      </c>
    </row>
    <row r="135" ht="14.25" customHeight="1">
      <c r="B135" s="37">
        <v>21618.0</v>
      </c>
      <c r="C135" s="21" t="s">
        <v>263</v>
      </c>
      <c r="D135" s="21" t="s">
        <v>261</v>
      </c>
      <c r="E135" s="21" t="s">
        <v>497</v>
      </c>
      <c r="F135" s="21" t="s">
        <v>453</v>
      </c>
      <c r="G135" s="36" t="s">
        <v>819</v>
      </c>
      <c r="H135" s="21" t="s">
        <v>820</v>
      </c>
      <c r="I135" s="144" t="s">
        <v>821</v>
      </c>
      <c r="J135" s="36" t="b">
        <v>1</v>
      </c>
      <c r="K135" s="119">
        <v>1.030767566982E-4</v>
      </c>
      <c r="L135" s="65">
        <v>0.996108990562716</v>
      </c>
      <c r="M135" s="65">
        <v>5.116699115E-6</v>
      </c>
      <c r="N135" s="65">
        <v>1.684429130954E-4</v>
      </c>
      <c r="O135" s="66">
        <v>8.497404043E-6</v>
      </c>
      <c r="P135" s="65">
        <v>2.60783393313E-5</v>
      </c>
      <c r="Q135" s="65">
        <v>6.817273560732E-4</v>
      </c>
      <c r="R135" s="65">
        <v>1.096686635502E-4</v>
      </c>
      <c r="S135" s="65">
        <v>0.001763668430335</v>
      </c>
      <c r="T135" s="65">
        <v>1.622135193381E-4</v>
      </c>
      <c r="U135" s="65">
        <v>1.333688983728E-4</v>
      </c>
      <c r="V135" s="65">
        <v>0.001480285291347</v>
      </c>
      <c r="W135" s="65">
        <v>4.781028877414E-4</v>
      </c>
      <c r="X135" s="65">
        <v>0.0014407416687546</v>
      </c>
      <c r="Y135" s="37">
        <v>1.0</v>
      </c>
      <c r="Z135" s="21">
        <v>0.0</v>
      </c>
      <c r="AA135" s="36">
        <v>0.0</v>
      </c>
    </row>
    <row r="136" ht="14.25" customHeight="1">
      <c r="B136" s="37">
        <v>21621.0</v>
      </c>
      <c r="C136" s="21" t="s">
        <v>263</v>
      </c>
      <c r="D136" s="21" t="s">
        <v>262</v>
      </c>
      <c r="E136" s="21" t="s">
        <v>472</v>
      </c>
      <c r="F136" s="21" t="s">
        <v>592</v>
      </c>
      <c r="G136" s="36" t="s">
        <v>822</v>
      </c>
      <c r="H136" s="21" t="s">
        <v>823</v>
      </c>
      <c r="I136" s="144" t="s">
        <v>824</v>
      </c>
      <c r="J136" s="36" t="b">
        <v>1</v>
      </c>
      <c r="K136" s="119">
        <v>1.106643238494E-4</v>
      </c>
      <c r="L136" s="65">
        <v>7.72714029993E-5</v>
      </c>
      <c r="M136" s="65">
        <v>3.307721636286E-4</v>
      </c>
      <c r="N136" s="65">
        <v>2.25071942638E-5</v>
      </c>
      <c r="O136" s="66">
        <v>6.83025118248E-5</v>
      </c>
      <c r="P136" s="65">
        <v>0.0011243994684657</v>
      </c>
      <c r="Q136" s="65">
        <v>7.04870656234E-5</v>
      </c>
      <c r="R136" s="65">
        <v>4.13981536423E-5</v>
      </c>
      <c r="S136" s="65">
        <v>1.170960187353E-4</v>
      </c>
      <c r="T136" s="65">
        <v>0.990491295938104</v>
      </c>
      <c r="U136" s="65">
        <v>6.68315177437E-5</v>
      </c>
      <c r="V136" s="65">
        <v>0.0</v>
      </c>
      <c r="W136" s="65">
        <v>1.914608462569E-4</v>
      </c>
      <c r="X136" s="65">
        <v>3.146039136726E-4</v>
      </c>
      <c r="Y136" s="37">
        <v>0.0</v>
      </c>
      <c r="Z136" s="21">
        <v>1.0</v>
      </c>
      <c r="AA136" s="36">
        <v>0.0</v>
      </c>
    </row>
    <row r="137" ht="14.25" customHeight="1">
      <c r="B137" s="37">
        <v>21622.0</v>
      </c>
      <c r="C137" s="21" t="s">
        <v>263</v>
      </c>
      <c r="D137" s="21" t="s">
        <v>456</v>
      </c>
      <c r="E137" s="21" t="s">
        <v>472</v>
      </c>
      <c r="F137" s="21" t="s">
        <v>498</v>
      </c>
      <c r="G137" s="36" t="s">
        <v>825</v>
      </c>
      <c r="H137" s="21" t="s">
        <v>826</v>
      </c>
      <c r="I137" s="144" t="s">
        <v>827</v>
      </c>
      <c r="J137" s="36" t="b">
        <v>0</v>
      </c>
      <c r="K137" s="119">
        <v>0.002176987292882</v>
      </c>
      <c r="L137" s="65">
        <v>0.0078212867756481</v>
      </c>
      <c r="M137" s="65">
        <v>0.0024418760274439</v>
      </c>
      <c r="N137" s="65">
        <v>0.0012811717209513</v>
      </c>
      <c r="O137" s="66">
        <v>0.981446378064278</v>
      </c>
      <c r="P137" s="65">
        <v>0.001406218040499</v>
      </c>
      <c r="Q137" s="65">
        <v>6.580338887452E-4</v>
      </c>
      <c r="R137" s="65">
        <v>0.0131607990288047</v>
      </c>
      <c r="S137" s="65">
        <v>4.689331770222E-4</v>
      </c>
      <c r="T137" s="65">
        <v>0.0018923595019618</v>
      </c>
      <c r="U137" s="65">
        <v>5.123407288603E-4</v>
      </c>
      <c r="V137" s="65">
        <v>0.0026878107781212</v>
      </c>
      <c r="W137" s="65">
        <v>0.0010521281683405</v>
      </c>
      <c r="X137" s="65">
        <v>0.0015734155705204</v>
      </c>
      <c r="Y137" s="37">
        <v>1.0</v>
      </c>
      <c r="Z137" s="21">
        <v>0.0</v>
      </c>
      <c r="AA137" s="36">
        <v>1.0</v>
      </c>
    </row>
    <row r="138" ht="14.25" customHeight="1">
      <c r="B138" s="37">
        <v>21624.0</v>
      </c>
      <c r="C138" s="21" t="s">
        <v>261</v>
      </c>
      <c r="D138" s="21" t="s">
        <v>263</v>
      </c>
      <c r="E138" s="21" t="s">
        <v>453</v>
      </c>
      <c r="F138" s="21" t="s">
        <v>497</v>
      </c>
      <c r="G138" s="36" t="s">
        <v>828</v>
      </c>
      <c r="H138" s="21" t="s">
        <v>829</v>
      </c>
      <c r="I138" s="144" t="s">
        <v>830</v>
      </c>
      <c r="J138" s="36" t="b">
        <v>1</v>
      </c>
      <c r="K138" s="119">
        <v>3.877521022246E-4</v>
      </c>
      <c r="L138" s="65">
        <v>0.0016852380513859</v>
      </c>
      <c r="M138" s="65">
        <v>1.819201673665E-4</v>
      </c>
      <c r="N138" s="65">
        <v>2.853707292041E-4</v>
      </c>
      <c r="O138" s="66">
        <v>0.981084133258046</v>
      </c>
      <c r="P138" s="65">
        <v>8.95255147717E-4</v>
      </c>
      <c r="Q138" s="65">
        <v>3.524601720005E-4</v>
      </c>
      <c r="R138" s="65">
        <v>4.000386244189E-4</v>
      </c>
      <c r="S138" s="65">
        <v>1.172882946281E-4</v>
      </c>
      <c r="T138" s="65">
        <v>0.0019927088482451</v>
      </c>
      <c r="U138" s="65">
        <v>1.113908258515E-4</v>
      </c>
      <c r="V138" s="65">
        <v>0.0012096774193548</v>
      </c>
      <c r="W138" s="65">
        <v>0.0020084162203519</v>
      </c>
      <c r="X138" s="65">
        <v>1.887742260256E-4</v>
      </c>
      <c r="Y138" s="37">
        <v>1.0</v>
      </c>
      <c r="Z138" s="21">
        <v>0.0</v>
      </c>
      <c r="AA138" s="36">
        <v>1.0</v>
      </c>
    </row>
    <row r="139" ht="14.25" customHeight="1">
      <c r="B139" s="37">
        <v>21638.0</v>
      </c>
      <c r="C139" s="21" t="s">
        <v>263</v>
      </c>
      <c r="D139" s="21" t="s">
        <v>456</v>
      </c>
      <c r="E139" s="21" t="s">
        <v>584</v>
      </c>
      <c r="F139" s="21" t="s">
        <v>469</v>
      </c>
      <c r="G139" s="36" t="s">
        <v>831</v>
      </c>
      <c r="H139" s="21" t="s">
        <v>832</v>
      </c>
      <c r="I139" s="144" t="s">
        <v>833</v>
      </c>
      <c r="J139" s="36" t="b">
        <v>1</v>
      </c>
      <c r="K139" s="119">
        <v>0.0011228774028943</v>
      </c>
      <c r="L139" s="65">
        <v>0.0016629175231084</v>
      </c>
      <c r="M139" s="65">
        <v>7.6946555487E-6</v>
      </c>
      <c r="N139" s="65">
        <v>1.288382007448E-4</v>
      </c>
      <c r="O139" s="66">
        <v>1.664462378651E-4</v>
      </c>
      <c r="P139" s="65">
        <v>0.0</v>
      </c>
      <c r="Q139" s="65">
        <v>0.0011248330325967</v>
      </c>
      <c r="R139" s="65">
        <v>0.0706767331643337</v>
      </c>
      <c r="S139" s="65">
        <v>0.0012882070500058</v>
      </c>
      <c r="T139" s="65">
        <v>0.995179159134102</v>
      </c>
      <c r="U139" s="65">
        <v>0.0021358964090241</v>
      </c>
      <c r="V139" s="65">
        <v>0.0</v>
      </c>
      <c r="W139" s="65">
        <v>6.699846860643E-4</v>
      </c>
      <c r="X139" s="65">
        <v>8.82946518668E-4</v>
      </c>
      <c r="Y139" s="37">
        <v>0.0</v>
      </c>
      <c r="Z139" s="21">
        <v>1.0</v>
      </c>
      <c r="AA139" s="36">
        <v>0.0</v>
      </c>
    </row>
    <row r="140" ht="14.25" customHeight="1">
      <c r="B140" s="37">
        <v>21711.0</v>
      </c>
      <c r="C140" s="21" t="s">
        <v>263</v>
      </c>
      <c r="D140" s="21" t="s">
        <v>456</v>
      </c>
      <c r="E140" s="21" t="s">
        <v>526</v>
      </c>
      <c r="F140" s="21" t="s">
        <v>527</v>
      </c>
      <c r="G140" s="36" t="s">
        <v>834</v>
      </c>
      <c r="H140" s="21" t="s">
        <v>835</v>
      </c>
      <c r="I140" s="144" t="s">
        <v>836</v>
      </c>
      <c r="J140" s="36" t="b">
        <v>1</v>
      </c>
      <c r="K140" s="119">
        <v>2.42308380026E-5</v>
      </c>
      <c r="L140" s="65">
        <v>8.1442853255E-5</v>
      </c>
      <c r="M140" s="65">
        <v>7.43555425647E-5</v>
      </c>
      <c r="N140" s="65">
        <v>3.12892955602E-5</v>
      </c>
      <c r="O140" s="66">
        <v>0.990561450676429</v>
      </c>
      <c r="P140" s="65">
        <v>4.461239699784E-4</v>
      </c>
      <c r="Q140" s="65">
        <v>6.757213325224E-4</v>
      </c>
      <c r="R140" s="65">
        <v>1.983030921117E-4</v>
      </c>
      <c r="S140" s="65">
        <v>0.0</v>
      </c>
      <c r="T140" s="65">
        <v>7.6143484782E-6</v>
      </c>
      <c r="U140" s="65">
        <v>1.528150719322E-4</v>
      </c>
      <c r="V140" s="65">
        <v>0.0</v>
      </c>
      <c r="W140" s="65">
        <v>1.870732391731E-4</v>
      </c>
      <c r="X140" s="65">
        <v>5.83090379008E-5</v>
      </c>
      <c r="Y140" s="37">
        <v>1.0</v>
      </c>
      <c r="Z140" s="21">
        <v>0.0</v>
      </c>
      <c r="AA140" s="36">
        <v>1.0</v>
      </c>
    </row>
    <row r="141" ht="14.25" customHeight="1">
      <c r="B141" s="37">
        <v>21717.0</v>
      </c>
      <c r="C141" s="21" t="s">
        <v>262</v>
      </c>
      <c r="D141" s="21" t="s">
        <v>261</v>
      </c>
      <c r="E141" s="21" t="s">
        <v>837</v>
      </c>
      <c r="F141" s="21" t="s">
        <v>838</v>
      </c>
      <c r="G141" s="36" t="s">
        <v>839</v>
      </c>
      <c r="H141" s="21" t="s">
        <v>840</v>
      </c>
      <c r="I141" s="144" t="s">
        <v>841</v>
      </c>
      <c r="J141" s="36" t="b">
        <v>1</v>
      </c>
      <c r="K141" s="119">
        <v>2.393637944685E-4</v>
      </c>
      <c r="L141" s="65">
        <v>9.82187104405E-5</v>
      </c>
      <c r="M141" s="65">
        <v>1.692589790606E-4</v>
      </c>
      <c r="N141" s="65">
        <v>1.25645015185E-4</v>
      </c>
      <c r="O141" s="66">
        <v>7.18428079362E-5</v>
      </c>
      <c r="P141" s="65">
        <v>0.0</v>
      </c>
      <c r="Q141" s="65">
        <v>0.0</v>
      </c>
      <c r="R141" s="65">
        <v>6.86907542244E-5</v>
      </c>
      <c r="S141" s="65">
        <v>0.977747959297774</v>
      </c>
      <c r="T141" s="65">
        <v>6.85620257793E-5</v>
      </c>
      <c r="U141" s="65">
        <v>2.18517142669E-5</v>
      </c>
      <c r="V141" s="65">
        <v>0.0</v>
      </c>
      <c r="W141" s="65">
        <v>0.0</v>
      </c>
      <c r="X141" s="65">
        <v>0.0</v>
      </c>
      <c r="Y141" s="37">
        <v>0.0</v>
      </c>
      <c r="Z141" s="21">
        <v>1.0</v>
      </c>
      <c r="AA141" s="36">
        <v>0.0</v>
      </c>
    </row>
    <row r="142" ht="14.25" customHeight="1">
      <c r="B142" s="37">
        <v>21718.0</v>
      </c>
      <c r="C142" s="21" t="s">
        <v>261</v>
      </c>
      <c r="D142" s="21" t="s">
        <v>456</v>
      </c>
      <c r="E142" s="21" t="s">
        <v>837</v>
      </c>
      <c r="F142" s="21" t="s">
        <v>575</v>
      </c>
      <c r="G142" s="36" t="s">
        <v>842</v>
      </c>
      <c r="H142" s="21" t="s">
        <v>843</v>
      </c>
      <c r="I142" s="144" t="s">
        <v>844</v>
      </c>
      <c r="J142" s="36" t="b">
        <v>1</v>
      </c>
      <c r="K142" s="119">
        <v>1.029410164713E-4</v>
      </c>
      <c r="L142" s="65">
        <v>4.406247023856E-4</v>
      </c>
      <c r="M142" s="65">
        <v>0.0023628046825093</v>
      </c>
      <c r="N142" s="65">
        <v>7.17343443279E-5</v>
      </c>
      <c r="O142" s="66">
        <v>6.503662799048E-4</v>
      </c>
      <c r="P142" s="65">
        <v>0.997864445690184</v>
      </c>
      <c r="Q142" s="65">
        <v>6.77522075927E-5</v>
      </c>
      <c r="R142" s="65">
        <v>5.15056827936E-5</v>
      </c>
      <c r="S142" s="65">
        <v>0.0</v>
      </c>
      <c r="T142" s="65">
        <v>1.142796193726E-4</v>
      </c>
      <c r="U142" s="65">
        <v>4.37062937062E-5</v>
      </c>
      <c r="V142" s="65">
        <v>0.0</v>
      </c>
      <c r="W142" s="65">
        <v>9.36592675845E-5</v>
      </c>
      <c r="X142" s="65">
        <v>5.87924040214E-4</v>
      </c>
      <c r="Y142" s="37">
        <v>0.0</v>
      </c>
      <c r="Z142" s="21">
        <v>0.0</v>
      </c>
      <c r="AA142" s="36">
        <v>1.0</v>
      </c>
    </row>
    <row r="143" ht="14.25" customHeight="1">
      <c r="B143" s="37">
        <v>21762.0</v>
      </c>
      <c r="C143" s="21" t="s">
        <v>263</v>
      </c>
      <c r="D143" s="21" t="s">
        <v>456</v>
      </c>
      <c r="E143" s="21" t="s">
        <v>465</v>
      </c>
      <c r="F143" s="21" t="s">
        <v>484</v>
      </c>
      <c r="G143" s="36" t="s">
        <v>845</v>
      </c>
      <c r="H143" s="21" t="s">
        <v>846</v>
      </c>
      <c r="I143" s="144" t="s">
        <v>847</v>
      </c>
      <c r="J143" s="36" t="b">
        <v>1</v>
      </c>
      <c r="K143" s="119">
        <v>0.0020874521120079</v>
      </c>
      <c r="L143" s="65">
        <v>0.0032985786687783</v>
      </c>
      <c r="M143" s="65">
        <v>8.440152687716E-4</v>
      </c>
      <c r="N143" s="65">
        <v>0.377232820746786</v>
      </c>
      <c r="O143" s="66">
        <v>0.0031577527590666</v>
      </c>
      <c r="P143" s="65">
        <v>9.56888302687E-4</v>
      </c>
      <c r="Q143" s="65">
        <v>0.0130389586911326</v>
      </c>
      <c r="R143" s="65">
        <v>0.0021700076483876</v>
      </c>
      <c r="S143" s="65">
        <v>0.980906677557688</v>
      </c>
      <c r="T143" s="65">
        <v>2.13468326637E-4</v>
      </c>
      <c r="U143" s="65">
        <v>7.674933666644E-4</v>
      </c>
      <c r="V143" s="65">
        <v>0.0010133178922987</v>
      </c>
      <c r="W143" s="65">
        <v>0.0016084776232377</v>
      </c>
      <c r="X143" s="65">
        <v>8.833922261484E-4</v>
      </c>
      <c r="Y143" s="37">
        <v>1.0</v>
      </c>
      <c r="Z143" s="21">
        <v>1.0</v>
      </c>
      <c r="AA143" s="36">
        <v>1.0</v>
      </c>
    </row>
    <row r="144" ht="14.25" customHeight="1">
      <c r="B144" s="37">
        <v>21786.0</v>
      </c>
      <c r="C144" s="21" t="s">
        <v>261</v>
      </c>
      <c r="D144" s="21" t="s">
        <v>456</v>
      </c>
      <c r="E144" s="21" t="s">
        <v>522</v>
      </c>
      <c r="F144" s="21" t="s">
        <v>484</v>
      </c>
      <c r="G144" s="36" t="s">
        <v>848</v>
      </c>
      <c r="H144" s="21" t="s">
        <v>849</v>
      </c>
      <c r="I144" s="144" t="s">
        <v>850</v>
      </c>
      <c r="J144" s="36" t="b">
        <v>1</v>
      </c>
      <c r="K144" s="119">
        <v>0.0010507074763674</v>
      </c>
      <c r="L144" s="65">
        <v>0.0015457853339094</v>
      </c>
      <c r="M144" s="65">
        <v>5.227751454844E-4</v>
      </c>
      <c r="N144" s="65">
        <v>4.968205477132E-4</v>
      </c>
      <c r="O144" s="66">
        <v>4.673896683117E-4</v>
      </c>
      <c r="P144" s="65">
        <v>9.825976779665E-4</v>
      </c>
      <c r="Q144" s="65">
        <v>0.0056911854377921</v>
      </c>
      <c r="R144" s="65">
        <v>3.314611914188E-4</v>
      </c>
      <c r="S144" s="65">
        <v>5.005506056662E-4</v>
      </c>
      <c r="T144" s="65">
        <v>0.0030731688717733</v>
      </c>
      <c r="U144" s="65">
        <v>0.0013820638820638</v>
      </c>
      <c r="V144" s="65">
        <v>0.0012983266012694</v>
      </c>
      <c r="W144" s="65">
        <v>0.959550137038087</v>
      </c>
      <c r="X144" s="65">
        <v>4.711147753371E-4</v>
      </c>
      <c r="Y144" s="37">
        <v>0.0</v>
      </c>
      <c r="Z144" s="21">
        <v>1.0</v>
      </c>
      <c r="AA144" s="36">
        <v>0.0</v>
      </c>
    </row>
    <row r="145" ht="14.25" customHeight="1">
      <c r="B145" s="37">
        <v>21789.0</v>
      </c>
      <c r="C145" s="21" t="s">
        <v>263</v>
      </c>
      <c r="D145" s="21" t="s">
        <v>456</v>
      </c>
      <c r="E145" s="21" t="s">
        <v>498</v>
      </c>
      <c r="F145" s="21" t="s">
        <v>503</v>
      </c>
      <c r="G145" s="36" t="s">
        <v>851</v>
      </c>
      <c r="H145" s="21" t="s">
        <v>852</v>
      </c>
      <c r="I145" s="144" t="s">
        <v>853</v>
      </c>
      <c r="J145" s="36" t="b">
        <v>1</v>
      </c>
      <c r="K145" s="119">
        <v>0.0011730474221303</v>
      </c>
      <c r="L145" s="65">
        <v>2.86879340578E-4</v>
      </c>
      <c r="M145" s="65">
        <v>0.0011350100875615</v>
      </c>
      <c r="N145" s="65">
        <v>0.01060275483782</v>
      </c>
      <c r="O145" s="66">
        <v>1.979798139781E-4</v>
      </c>
      <c r="P145" s="65">
        <v>0.0018361910673183</v>
      </c>
      <c r="Q145" s="65">
        <v>3.612390499412E-4</v>
      </c>
      <c r="R145" s="65">
        <v>5.13469402725E-4</v>
      </c>
      <c r="S145" s="65">
        <v>0.0</v>
      </c>
      <c r="T145" s="65">
        <v>0.0016389693550846</v>
      </c>
      <c r="U145" s="65">
        <v>1.315818329349E-4</v>
      </c>
      <c r="V145" s="65">
        <v>2.88892098801E-4</v>
      </c>
      <c r="W145" s="65">
        <v>0.98805913570887</v>
      </c>
      <c r="X145" s="65">
        <v>0.0015899187374867</v>
      </c>
      <c r="Y145" s="37">
        <v>0.0</v>
      </c>
      <c r="Z145" s="21">
        <v>1.0</v>
      </c>
      <c r="AA145" s="36">
        <v>0.0</v>
      </c>
    </row>
    <row r="146" ht="14.25" customHeight="1">
      <c r="B146" s="37">
        <v>21801.0</v>
      </c>
      <c r="C146" s="21" t="s">
        <v>262</v>
      </c>
      <c r="D146" s="21" t="s">
        <v>263</v>
      </c>
      <c r="E146" s="21" t="s">
        <v>461</v>
      </c>
      <c r="F146" s="21" t="s">
        <v>465</v>
      </c>
      <c r="G146" s="36" t="s">
        <v>854</v>
      </c>
      <c r="H146" s="21" t="s">
        <v>855</v>
      </c>
      <c r="I146" s="144" t="s">
        <v>856</v>
      </c>
      <c r="J146" s="36" t="b">
        <v>1</v>
      </c>
      <c r="K146" s="119">
        <v>5.67865809968E-5</v>
      </c>
      <c r="L146" s="65">
        <v>1.249056006938E-4</v>
      </c>
      <c r="M146" s="65">
        <v>2.29533867722E-5</v>
      </c>
      <c r="N146" s="65">
        <v>6.5836373034E-6</v>
      </c>
      <c r="O146" s="66">
        <v>3.9585617753E-6</v>
      </c>
      <c r="P146" s="65">
        <v>7.75594622543E-5</v>
      </c>
      <c r="Q146" s="65">
        <v>0.987940862534917</v>
      </c>
      <c r="R146" s="65">
        <v>1.107317523299E-4</v>
      </c>
      <c r="S146" s="65">
        <v>2.005414619472E-4</v>
      </c>
      <c r="T146" s="65">
        <v>1.52461103361E-5</v>
      </c>
      <c r="U146" s="65">
        <v>0.0</v>
      </c>
      <c r="V146" s="65">
        <v>0.0</v>
      </c>
      <c r="W146" s="65">
        <v>0.0</v>
      </c>
      <c r="X146" s="65">
        <v>0.0</v>
      </c>
      <c r="Y146" s="37">
        <v>0.0</v>
      </c>
      <c r="Z146" s="21">
        <v>1.0</v>
      </c>
      <c r="AA146" s="36">
        <v>0.0</v>
      </c>
    </row>
    <row r="147" ht="14.25" customHeight="1">
      <c r="B147" s="37">
        <v>21810.0</v>
      </c>
      <c r="C147" s="21" t="s">
        <v>456</v>
      </c>
      <c r="D147" s="21" t="s">
        <v>263</v>
      </c>
      <c r="E147" s="21" t="s">
        <v>487</v>
      </c>
      <c r="F147" s="21" t="s">
        <v>536</v>
      </c>
      <c r="G147" s="36" t="s">
        <v>857</v>
      </c>
      <c r="H147" s="21" t="s">
        <v>858</v>
      </c>
      <c r="I147" s="144" t="s">
        <v>859</v>
      </c>
      <c r="J147" s="36" t="b">
        <v>1</v>
      </c>
      <c r="K147" s="119">
        <v>1.08620997942E-5</v>
      </c>
      <c r="L147" s="65">
        <v>4.58813612868E-5</v>
      </c>
      <c r="M147" s="65">
        <v>0.995113700432249</v>
      </c>
      <c r="N147" s="65">
        <v>8.68071270972E-5</v>
      </c>
      <c r="O147" s="66">
        <v>0.0012558894817256</v>
      </c>
      <c r="P147" s="65">
        <v>0.996441560480389</v>
      </c>
      <c r="Q147" s="65">
        <v>0.0</v>
      </c>
      <c r="R147" s="65">
        <v>0.0</v>
      </c>
      <c r="S147" s="65">
        <v>0.0</v>
      </c>
      <c r="T147" s="65">
        <v>3.05080350537E-5</v>
      </c>
      <c r="U147" s="65">
        <v>0.0</v>
      </c>
      <c r="V147" s="65">
        <v>0.0</v>
      </c>
      <c r="W147" s="65">
        <v>0.0</v>
      </c>
      <c r="X147" s="65">
        <v>0.0</v>
      </c>
      <c r="Y147" s="37">
        <v>1.0</v>
      </c>
      <c r="Z147" s="21">
        <v>0.0</v>
      </c>
      <c r="AA147" s="36">
        <v>2.0</v>
      </c>
    </row>
    <row r="148" ht="14.25" customHeight="1">
      <c r="B148" s="37">
        <v>21846.0</v>
      </c>
      <c r="C148" s="21" t="s">
        <v>263</v>
      </c>
      <c r="D148" s="21" t="s">
        <v>456</v>
      </c>
      <c r="E148" s="21" t="s">
        <v>498</v>
      </c>
      <c r="F148" s="21" t="s">
        <v>503</v>
      </c>
      <c r="G148" s="36" t="s">
        <v>860</v>
      </c>
      <c r="H148" s="21" t="s">
        <v>861</v>
      </c>
      <c r="I148" s="144" t="s">
        <v>862</v>
      </c>
      <c r="J148" s="36" t="b">
        <v>1</v>
      </c>
      <c r="K148" s="119">
        <v>0.0028566054298075</v>
      </c>
      <c r="L148" s="65">
        <v>0.442987200489167</v>
      </c>
      <c r="M148" s="65">
        <v>0.0014043542656301</v>
      </c>
      <c r="N148" s="65">
        <v>0.374151401077289</v>
      </c>
      <c r="O148" s="66">
        <v>0.002907394686816</v>
      </c>
      <c r="P148" s="65">
        <v>0.0044532537067545</v>
      </c>
      <c r="Q148" s="65">
        <v>0.0012421518587108</v>
      </c>
      <c r="R148" s="65">
        <v>0.0041736689504884</v>
      </c>
      <c r="S148" s="65">
        <v>0.0079277471149021</v>
      </c>
      <c r="T148" s="65">
        <v>0.001240269967966</v>
      </c>
      <c r="U148" s="65">
        <v>0.990816438356164</v>
      </c>
      <c r="V148" s="65">
        <v>0.541852181656277</v>
      </c>
      <c r="W148" s="65">
        <v>0.0026281208935611</v>
      </c>
      <c r="X148" s="65">
        <v>0.989577749985111</v>
      </c>
      <c r="Y148" s="37">
        <v>2.0</v>
      </c>
      <c r="Z148" s="21">
        <v>3.0</v>
      </c>
      <c r="AA148" s="36">
        <v>1.0</v>
      </c>
    </row>
    <row r="149" ht="14.25" customHeight="1">
      <c r="B149" s="37">
        <v>21895.0</v>
      </c>
      <c r="C149" s="21" t="s">
        <v>456</v>
      </c>
      <c r="D149" s="21" t="s">
        <v>263</v>
      </c>
      <c r="E149" s="21" t="s">
        <v>461</v>
      </c>
      <c r="F149" s="21" t="s">
        <v>462</v>
      </c>
      <c r="G149" s="36" t="s">
        <v>863</v>
      </c>
      <c r="H149" s="21" t="s">
        <v>864</v>
      </c>
      <c r="I149" s="144" t="s">
        <v>865</v>
      </c>
      <c r="J149" s="36" t="b">
        <v>0</v>
      </c>
      <c r="K149" s="119">
        <v>5.32703121289E-4</v>
      </c>
      <c r="L149" s="65">
        <v>2.866309098609E-4</v>
      </c>
      <c r="M149" s="65">
        <v>8.84028137352E-5</v>
      </c>
      <c r="N149" s="65">
        <v>5.17196239401E-5</v>
      </c>
      <c r="O149" s="66">
        <v>1.387261853381E-4</v>
      </c>
      <c r="P149" s="65">
        <v>7.54185730805E-5</v>
      </c>
      <c r="Q149" s="65">
        <v>9.03219979225E-5</v>
      </c>
      <c r="R149" s="65">
        <v>3.82738493924E-5</v>
      </c>
      <c r="S149" s="65">
        <v>0.0</v>
      </c>
      <c r="T149" s="65">
        <v>5.32683966212E-5</v>
      </c>
      <c r="U149" s="65">
        <v>5.257623554153E-4</v>
      </c>
      <c r="V149" s="65">
        <v>0.944719843773471</v>
      </c>
      <c r="W149" s="65">
        <v>0.0</v>
      </c>
      <c r="X149" s="65">
        <v>2.956305800271E-4</v>
      </c>
      <c r="Y149" s="37">
        <v>0.0</v>
      </c>
      <c r="Z149" s="21">
        <v>1.0</v>
      </c>
      <c r="AA149" s="36">
        <v>0.0</v>
      </c>
    </row>
    <row r="150" ht="14.25" customHeight="1">
      <c r="B150" s="37">
        <v>21941.0</v>
      </c>
      <c r="C150" s="21" t="s">
        <v>261</v>
      </c>
      <c r="D150" s="21" t="s">
        <v>456</v>
      </c>
      <c r="E150" s="21" t="s">
        <v>484</v>
      </c>
      <c r="F150" s="21" t="s">
        <v>477</v>
      </c>
      <c r="G150" s="36" t="s">
        <v>866</v>
      </c>
      <c r="H150" s="21" t="s">
        <v>867</v>
      </c>
      <c r="I150" s="144" t="s">
        <v>868</v>
      </c>
      <c r="J150" s="36" t="b">
        <v>1</v>
      </c>
      <c r="K150" s="119">
        <v>2.70900744977E-4</v>
      </c>
      <c r="L150" s="65">
        <v>1.545974384517E-4</v>
      </c>
      <c r="M150" s="65">
        <v>1.284808679139E-4</v>
      </c>
      <c r="N150" s="65">
        <v>4.61793270339E-5</v>
      </c>
      <c r="O150" s="66">
        <v>0.994632931551336</v>
      </c>
      <c r="P150" s="65">
        <v>3.529293133003E-4</v>
      </c>
      <c r="Q150" s="65">
        <v>9.04629441165E-5</v>
      </c>
      <c r="R150" s="65">
        <v>7.909866111046E-4</v>
      </c>
      <c r="S150" s="65">
        <v>1.005429318318E-4</v>
      </c>
      <c r="T150" s="65">
        <v>1.067390459054E-4</v>
      </c>
      <c r="U150" s="65">
        <v>4.606980672619E-4</v>
      </c>
      <c r="V150" s="65">
        <v>0.0</v>
      </c>
      <c r="W150" s="65">
        <v>0.0</v>
      </c>
      <c r="X150" s="65">
        <v>0.0</v>
      </c>
      <c r="Y150" s="37">
        <v>1.0</v>
      </c>
      <c r="Z150" s="21">
        <v>0.0</v>
      </c>
      <c r="AA150" s="36">
        <v>1.0</v>
      </c>
    </row>
    <row r="151" ht="14.25" customHeight="1">
      <c r="B151" s="37">
        <v>21974.0</v>
      </c>
      <c r="C151" s="21" t="s">
        <v>261</v>
      </c>
      <c r="D151" s="21" t="s">
        <v>456</v>
      </c>
      <c r="E151" s="21" t="s">
        <v>461</v>
      </c>
      <c r="F151" s="21" t="s">
        <v>519</v>
      </c>
      <c r="G151" s="36" t="s">
        <v>869</v>
      </c>
      <c r="H151" s="21" t="s">
        <v>870</v>
      </c>
      <c r="I151" s="144" t="s">
        <v>871</v>
      </c>
      <c r="J151" s="36" t="b">
        <v>1</v>
      </c>
      <c r="K151" s="119">
        <v>0.0018619346252209</v>
      </c>
      <c r="L151" s="65">
        <v>9.557400104067E-4</v>
      </c>
      <c r="M151" s="65">
        <v>4.06863792173E-5</v>
      </c>
      <c r="N151" s="65">
        <v>1.015625529774E-4</v>
      </c>
      <c r="O151" s="66">
        <v>5.03037573037E-5</v>
      </c>
      <c r="P151" s="65">
        <v>5.03511996173E-5</v>
      </c>
      <c r="Q151" s="65">
        <v>0.0063427341714803</v>
      </c>
      <c r="R151" s="65">
        <v>0.0019302309258089</v>
      </c>
      <c r="S151" s="65">
        <v>0.0011007705393775</v>
      </c>
      <c r="T151" s="65">
        <v>0.964518081983922</v>
      </c>
      <c r="U151" s="65">
        <v>3.29113368585E-4</v>
      </c>
      <c r="V151" s="65">
        <v>0.0027769657994738</v>
      </c>
      <c r="W151" s="65">
        <v>8.456262332049E-4</v>
      </c>
      <c r="X151" s="65">
        <v>0.0013657957244655</v>
      </c>
      <c r="Y151" s="37">
        <v>0.0</v>
      </c>
      <c r="Z151" s="21">
        <v>1.0</v>
      </c>
      <c r="AA151" s="36">
        <v>0.0</v>
      </c>
    </row>
    <row r="152" ht="14.25" customHeight="1">
      <c r="B152" s="37">
        <v>21987.0</v>
      </c>
      <c r="C152" s="21" t="s">
        <v>261</v>
      </c>
      <c r="D152" s="21" t="s">
        <v>262</v>
      </c>
      <c r="E152" s="21" t="s">
        <v>522</v>
      </c>
      <c r="F152" s="21" t="s">
        <v>461</v>
      </c>
      <c r="G152" s="36" t="s">
        <v>872</v>
      </c>
      <c r="H152" s="21" t="s">
        <v>873</v>
      </c>
      <c r="I152" s="144" t="s">
        <v>874</v>
      </c>
      <c r="J152" s="36" t="b">
        <v>1</v>
      </c>
      <c r="K152" s="119">
        <v>1.764222897439E-4</v>
      </c>
      <c r="L152" s="65">
        <v>0.80313883434735</v>
      </c>
      <c r="M152" s="65">
        <v>0.987652210302838</v>
      </c>
      <c r="N152" s="65">
        <v>0.625122988370727</v>
      </c>
      <c r="O152" s="66">
        <v>0.990807992643276</v>
      </c>
      <c r="P152" s="65">
        <v>0.990844586861982</v>
      </c>
      <c r="Q152" s="65">
        <v>1.585899091506E-4</v>
      </c>
      <c r="R152" s="65">
        <v>0.0</v>
      </c>
      <c r="S152" s="65">
        <v>1.000100010001E-4</v>
      </c>
      <c r="T152" s="65">
        <v>1.754934800357E-4</v>
      </c>
      <c r="U152" s="65">
        <v>1.096563370397E-4</v>
      </c>
      <c r="V152" s="65">
        <v>0.780128447298828</v>
      </c>
      <c r="W152" s="65">
        <v>9.3870271285E-5</v>
      </c>
      <c r="X152" s="65">
        <v>7.708271568336E-4</v>
      </c>
      <c r="Y152" s="37">
        <v>4.0</v>
      </c>
      <c r="Z152" s="21">
        <v>1.0</v>
      </c>
      <c r="AA152" s="36">
        <v>4.0</v>
      </c>
    </row>
    <row r="153" ht="14.25" customHeight="1">
      <c r="B153" s="37">
        <v>21993.0</v>
      </c>
      <c r="C153" s="21" t="s">
        <v>262</v>
      </c>
      <c r="D153" s="21" t="s">
        <v>263</v>
      </c>
      <c r="E153" s="21" t="s">
        <v>519</v>
      </c>
      <c r="F153" s="21" t="s">
        <v>469</v>
      </c>
      <c r="G153" s="36" t="s">
        <v>875</v>
      </c>
      <c r="H153" s="21" t="s">
        <v>876</v>
      </c>
      <c r="I153" s="144" t="s">
        <v>877</v>
      </c>
      <c r="J153" s="36" t="b">
        <v>1</v>
      </c>
      <c r="K153" s="119">
        <v>5.99014022918E-5</v>
      </c>
      <c r="L153" s="65">
        <v>5.67394377309E-5</v>
      </c>
      <c r="M153" s="65">
        <v>5.2399092447E-6</v>
      </c>
      <c r="N153" s="65">
        <v>5.1319222827E-6</v>
      </c>
      <c r="O153" s="66">
        <v>8.0124032001E-6</v>
      </c>
      <c r="P153" s="65">
        <v>0.0</v>
      </c>
      <c r="Q153" s="65">
        <v>0.0</v>
      </c>
      <c r="R153" s="65">
        <v>7.75121694105E-5</v>
      </c>
      <c r="S153" s="65">
        <v>1.026061974143E-4</v>
      </c>
      <c r="T153" s="65">
        <v>1.144924549472E-4</v>
      </c>
      <c r="U153" s="65">
        <v>0.0</v>
      </c>
      <c r="V153" s="65">
        <v>0.0</v>
      </c>
      <c r="W153" s="65">
        <v>0.0</v>
      </c>
      <c r="X153" s="65">
        <v>0.902729819532217</v>
      </c>
      <c r="Y153" s="37">
        <v>0.0</v>
      </c>
      <c r="Z153" s="21">
        <v>1.0</v>
      </c>
      <c r="AA153" s="36">
        <v>0.0</v>
      </c>
    </row>
    <row r="154" ht="14.25" customHeight="1">
      <c r="B154" s="37">
        <v>21995.0</v>
      </c>
      <c r="C154" s="21" t="s">
        <v>456</v>
      </c>
      <c r="D154" s="21" t="s">
        <v>262</v>
      </c>
      <c r="E154" s="21" t="s">
        <v>518</v>
      </c>
      <c r="F154" s="21" t="s">
        <v>592</v>
      </c>
      <c r="G154" s="36" t="s">
        <v>878</v>
      </c>
      <c r="H154" s="21" t="s">
        <v>879</v>
      </c>
      <c r="I154" s="144" t="s">
        <v>880</v>
      </c>
      <c r="J154" s="36" t="b">
        <v>1</v>
      </c>
      <c r="K154" s="119">
        <v>2.93749103016E-5</v>
      </c>
      <c r="L154" s="65">
        <v>6.51512364087E-5</v>
      </c>
      <c r="M154" s="65">
        <v>3.225748642497E-4</v>
      </c>
      <c r="N154" s="65">
        <v>9.29445164755E-5</v>
      </c>
      <c r="O154" s="66">
        <v>8.13474232235E-5</v>
      </c>
      <c r="P154" s="65">
        <v>2.282120850977E-4</v>
      </c>
      <c r="Q154" s="65">
        <v>1.802004730262E-4</v>
      </c>
      <c r="R154" s="65">
        <v>4.64130451598E-5</v>
      </c>
      <c r="S154" s="65">
        <v>0.0</v>
      </c>
      <c r="T154" s="65">
        <v>9.15799836682E-5</v>
      </c>
      <c r="U154" s="65">
        <v>2.19346347883E-5</v>
      </c>
      <c r="V154" s="65">
        <v>0.0</v>
      </c>
      <c r="W154" s="65">
        <v>9.38350380031E-5</v>
      </c>
      <c r="X154" s="65">
        <v>0.900256066333374</v>
      </c>
      <c r="Y154" s="37">
        <v>0.0</v>
      </c>
      <c r="Z154" s="21">
        <v>1.0</v>
      </c>
      <c r="AA154" s="36">
        <v>0.0</v>
      </c>
    </row>
    <row r="155" ht="14.25" customHeight="1">
      <c r="B155" s="37">
        <v>22000.0</v>
      </c>
      <c r="C155" s="21" t="s">
        <v>263</v>
      </c>
      <c r="D155" s="21" t="s">
        <v>262</v>
      </c>
      <c r="E155" s="21" t="s">
        <v>574</v>
      </c>
      <c r="F155" s="21" t="s">
        <v>551</v>
      </c>
      <c r="G155" s="36" t="s">
        <v>881</v>
      </c>
      <c r="H155" s="21" t="s">
        <v>882</v>
      </c>
      <c r="I155" s="144" t="s">
        <v>883</v>
      </c>
      <c r="J155" s="36" t="b">
        <v>1</v>
      </c>
      <c r="K155" s="119">
        <v>3.569556614254E-4</v>
      </c>
      <c r="L155" s="65">
        <v>1.502030778315E-4</v>
      </c>
      <c r="M155" s="65">
        <v>0.992336339846162</v>
      </c>
      <c r="N155" s="65">
        <v>2.276736646685E-4</v>
      </c>
      <c r="O155" s="66">
        <v>0.009134342423903</v>
      </c>
      <c r="P155" s="65">
        <v>0.994765875561257</v>
      </c>
      <c r="Q155" s="65">
        <v>2.250579524227E-4</v>
      </c>
      <c r="R155" s="65">
        <v>9.27858965437E-5</v>
      </c>
      <c r="S155" s="65">
        <v>2.994011976047E-4</v>
      </c>
      <c r="T155" s="65">
        <v>2.141884552422E-4</v>
      </c>
      <c r="U155" s="65">
        <v>2.199397365121E-4</v>
      </c>
      <c r="V155" s="65">
        <v>1.391207568169E-4</v>
      </c>
      <c r="W155" s="65">
        <v>5.648653737525E-4</v>
      </c>
      <c r="X155" s="65">
        <v>0.002070148459218</v>
      </c>
      <c r="Y155" s="37">
        <v>1.0</v>
      </c>
      <c r="Z155" s="21">
        <v>0.0</v>
      </c>
      <c r="AA155" s="36">
        <v>2.0</v>
      </c>
    </row>
    <row r="156" ht="14.25" customHeight="1">
      <c r="B156" s="37">
        <v>22018.0</v>
      </c>
      <c r="C156" s="21" t="s">
        <v>261</v>
      </c>
      <c r="D156" s="21" t="s">
        <v>456</v>
      </c>
      <c r="E156" s="21" t="s">
        <v>884</v>
      </c>
      <c r="F156" s="21" t="s">
        <v>732</v>
      </c>
      <c r="G156" s="36" t="s">
        <v>885</v>
      </c>
      <c r="H156" s="21" t="s">
        <v>886</v>
      </c>
      <c r="I156" s="144" t="s">
        <v>887</v>
      </c>
      <c r="J156" s="36" t="b">
        <v>1</v>
      </c>
      <c r="K156" s="119">
        <v>1.58793835456E-5</v>
      </c>
      <c r="L156" s="65">
        <v>1.94227147947E-5</v>
      </c>
      <c r="M156" s="65">
        <v>5.0712510776E-6</v>
      </c>
      <c r="N156" s="65">
        <v>1.80852984451E-5</v>
      </c>
      <c r="O156" s="66">
        <v>0.0</v>
      </c>
      <c r="P156" s="65">
        <v>0.0</v>
      </c>
      <c r="Q156" s="65">
        <v>9.06803291695E-5</v>
      </c>
      <c r="R156" s="65">
        <v>0.986493928463254</v>
      </c>
      <c r="S156" s="65">
        <v>0.0</v>
      </c>
      <c r="T156" s="65">
        <v>6.26586045928E-5</v>
      </c>
      <c r="U156" s="65">
        <v>2.19944573967E-5</v>
      </c>
      <c r="V156" s="65">
        <v>2.793686269031E-4</v>
      </c>
      <c r="W156" s="65">
        <v>0.0</v>
      </c>
      <c r="X156" s="65">
        <v>0.0</v>
      </c>
      <c r="Y156" s="37">
        <v>0.0</v>
      </c>
      <c r="Z156" s="21">
        <v>1.0</v>
      </c>
      <c r="AA156" s="36">
        <v>0.0</v>
      </c>
    </row>
    <row r="157" ht="14.25" customHeight="1">
      <c r="B157" s="37">
        <v>22022.0</v>
      </c>
      <c r="C157" s="21" t="s">
        <v>261</v>
      </c>
      <c r="D157" s="21" t="s">
        <v>262</v>
      </c>
      <c r="E157" s="21" t="s">
        <v>679</v>
      </c>
      <c r="F157" s="21" t="s">
        <v>452</v>
      </c>
      <c r="G157" s="36" t="s">
        <v>888</v>
      </c>
      <c r="H157" s="21" t="s">
        <v>889</v>
      </c>
      <c r="I157" s="144" t="s">
        <v>890</v>
      </c>
      <c r="J157" s="36" t="b">
        <v>1</v>
      </c>
      <c r="K157" s="119">
        <v>8.02346864578E-5</v>
      </c>
      <c r="L157" s="65">
        <v>3.97429054822E-5</v>
      </c>
      <c r="M157" s="65">
        <v>3.29775980639E-5</v>
      </c>
      <c r="N157" s="65">
        <v>3.09978181941E-5</v>
      </c>
      <c r="O157" s="66">
        <v>2.70309929642E-5</v>
      </c>
      <c r="P157" s="65">
        <v>2.52365930599E-5</v>
      </c>
      <c r="Q157" s="65">
        <v>0.0</v>
      </c>
      <c r="R157" s="65">
        <v>1.36293630998E-5</v>
      </c>
      <c r="S157" s="65">
        <v>0.0</v>
      </c>
      <c r="T157" s="65">
        <v>0.0</v>
      </c>
      <c r="U157" s="65">
        <v>2.19852698691E-5</v>
      </c>
      <c r="V157" s="65">
        <v>0.844907778668805</v>
      </c>
      <c r="W157" s="65">
        <v>1.88075982697E-4</v>
      </c>
      <c r="X157" s="65">
        <v>0.0</v>
      </c>
      <c r="Y157" s="37">
        <v>0.0</v>
      </c>
      <c r="Z157" s="21">
        <v>1.0</v>
      </c>
      <c r="AA157" s="36">
        <v>0.0</v>
      </c>
    </row>
    <row r="158" ht="14.25" customHeight="1">
      <c r="B158" s="37">
        <v>22032.0</v>
      </c>
      <c r="C158" s="21" t="s">
        <v>456</v>
      </c>
      <c r="D158" s="21" t="s">
        <v>263</v>
      </c>
      <c r="E158" s="21" t="s">
        <v>476</v>
      </c>
      <c r="F158" s="21" t="s">
        <v>468</v>
      </c>
      <c r="G158" s="36" t="s">
        <v>891</v>
      </c>
      <c r="H158" s="21" t="s">
        <v>892</v>
      </c>
      <c r="I158" s="144" t="s">
        <v>893</v>
      </c>
      <c r="J158" s="36" t="b">
        <v>1</v>
      </c>
      <c r="K158" s="119">
        <v>1.163326914112E-4</v>
      </c>
      <c r="L158" s="65">
        <v>9.0724039912E-6</v>
      </c>
      <c r="M158" s="65">
        <v>5.763600955691E-4</v>
      </c>
      <c r="N158" s="65">
        <v>4.629361634978E-4</v>
      </c>
      <c r="O158" s="66">
        <v>0.976662927125695</v>
      </c>
      <c r="P158" s="65">
        <v>0.0039638456877398</v>
      </c>
      <c r="Q158" s="65">
        <v>2.27339895878E-5</v>
      </c>
      <c r="R158" s="65">
        <v>2.7293693792E-5</v>
      </c>
      <c r="S158" s="65">
        <v>0.0</v>
      </c>
      <c r="T158" s="65">
        <v>1.269518852354E-4</v>
      </c>
      <c r="U158" s="65">
        <v>3.51617440225E-4</v>
      </c>
      <c r="V158" s="65">
        <v>0.0</v>
      </c>
      <c r="W158" s="65">
        <v>4.724111866969E-4</v>
      </c>
      <c r="X158" s="65">
        <v>5.373455131649E-4</v>
      </c>
      <c r="Y158" s="37">
        <v>1.0</v>
      </c>
      <c r="Z158" s="21">
        <v>0.0</v>
      </c>
      <c r="AA158" s="36">
        <v>1.0</v>
      </c>
    </row>
    <row r="159" ht="14.25" customHeight="1">
      <c r="B159" s="37">
        <v>22033.0</v>
      </c>
      <c r="C159" s="21" t="s">
        <v>263</v>
      </c>
      <c r="D159" s="21" t="s">
        <v>262</v>
      </c>
      <c r="E159" s="21" t="s">
        <v>476</v>
      </c>
      <c r="F159" s="21" t="s">
        <v>527</v>
      </c>
      <c r="G159" s="36" t="s">
        <v>894</v>
      </c>
      <c r="H159" s="21" t="s">
        <v>895</v>
      </c>
      <c r="I159" s="144" t="s">
        <v>896</v>
      </c>
      <c r="J159" s="36" t="b">
        <v>1</v>
      </c>
      <c r="K159" s="119">
        <v>7.8261735703E-4</v>
      </c>
      <c r="L159" s="65">
        <v>6.9256857205E-6</v>
      </c>
      <c r="M159" s="65">
        <v>0.0035533678256386</v>
      </c>
      <c r="N159" s="65">
        <v>0.0052673216500657</v>
      </c>
      <c r="O159" s="66">
        <v>0.977140339522298</v>
      </c>
      <c r="P159" s="65">
        <v>0.0589126537208656</v>
      </c>
      <c r="Q159" s="65">
        <v>3.638348189921E-4</v>
      </c>
      <c r="R159" s="65">
        <v>1.091762650799E-4</v>
      </c>
      <c r="S159" s="65">
        <v>0.0</v>
      </c>
      <c r="T159" s="65">
        <v>1.350406710726E-4</v>
      </c>
      <c r="U159" s="65">
        <v>2.197512415945E-4</v>
      </c>
      <c r="V159" s="65">
        <v>2.799944001119E-4</v>
      </c>
      <c r="W159" s="65">
        <v>0.0055760325111048</v>
      </c>
      <c r="X159" s="65">
        <v>2.388487490296E-4</v>
      </c>
      <c r="Y159" s="37">
        <v>1.0</v>
      </c>
      <c r="Z159" s="21">
        <v>0.0</v>
      </c>
      <c r="AA159" s="36">
        <v>1.0</v>
      </c>
    </row>
    <row r="160" ht="14.25" customHeight="1">
      <c r="B160" s="37">
        <v>22034.0</v>
      </c>
      <c r="C160" s="21" t="s">
        <v>262</v>
      </c>
      <c r="D160" s="21" t="s">
        <v>261</v>
      </c>
      <c r="E160" s="21" t="s">
        <v>453</v>
      </c>
      <c r="F160" s="21" t="s">
        <v>480</v>
      </c>
      <c r="G160" s="36" t="s">
        <v>897</v>
      </c>
      <c r="H160" s="21" t="s">
        <v>898</v>
      </c>
      <c r="I160" s="144" t="s">
        <v>899</v>
      </c>
      <c r="J160" s="36" t="b">
        <v>1</v>
      </c>
      <c r="K160" s="119">
        <v>2.34571676307E-5</v>
      </c>
      <c r="L160" s="65">
        <v>0.0012683741068233</v>
      </c>
      <c r="M160" s="65">
        <v>8.12987474911E-5</v>
      </c>
      <c r="N160" s="65">
        <v>6.91995730035E-5</v>
      </c>
      <c r="O160" s="66">
        <v>0.986478808777924</v>
      </c>
      <c r="P160" s="65">
        <v>4.547062092659E-4</v>
      </c>
      <c r="Q160" s="65">
        <v>0.0</v>
      </c>
      <c r="R160" s="65">
        <v>2.72966739002E-5</v>
      </c>
      <c r="S160" s="65">
        <v>0.0</v>
      </c>
      <c r="T160" s="65">
        <v>4.00753416422E-5</v>
      </c>
      <c r="U160" s="65">
        <v>2.19968764435E-5</v>
      </c>
      <c r="V160" s="65">
        <v>0.0</v>
      </c>
      <c r="W160" s="65">
        <v>9.468800303E-5</v>
      </c>
      <c r="X160" s="65">
        <v>1.197174667784E-4</v>
      </c>
      <c r="Y160" s="37">
        <v>1.0</v>
      </c>
      <c r="Z160" s="21">
        <v>0.0</v>
      </c>
      <c r="AA160" s="36">
        <v>1.0</v>
      </c>
    </row>
    <row r="161" ht="14.25" customHeight="1">
      <c r="B161" s="37">
        <v>22109.0</v>
      </c>
      <c r="C161" s="21" t="s">
        <v>263</v>
      </c>
      <c r="D161" s="21" t="s">
        <v>261</v>
      </c>
      <c r="E161" s="21" t="s">
        <v>837</v>
      </c>
      <c r="F161" s="21" t="s">
        <v>745</v>
      </c>
      <c r="G161" s="36" t="s">
        <v>900</v>
      </c>
      <c r="H161" s="21" t="s">
        <v>901</v>
      </c>
      <c r="I161" s="144" t="s">
        <v>902</v>
      </c>
      <c r="J161" s="36" t="b">
        <v>1</v>
      </c>
      <c r="K161" s="119">
        <v>1.6771488469E-6</v>
      </c>
      <c r="L161" s="65">
        <v>2.52617869626E-5</v>
      </c>
      <c r="M161" s="65">
        <v>0.993181158843569</v>
      </c>
      <c r="N161" s="65">
        <v>5.05168525332E-5</v>
      </c>
      <c r="O161" s="66">
        <v>5.75864282796E-4</v>
      </c>
      <c r="P161" s="65">
        <v>0.99787481657643</v>
      </c>
      <c r="Q161" s="65">
        <v>4.56527197607E-5</v>
      </c>
      <c r="R161" s="65">
        <v>2.71543589534E-5</v>
      </c>
      <c r="S161" s="65">
        <v>0.0</v>
      </c>
      <c r="T161" s="65">
        <v>1.59187506964E-5</v>
      </c>
      <c r="U161" s="65">
        <v>0.0</v>
      </c>
      <c r="V161" s="65">
        <v>0.0</v>
      </c>
      <c r="W161" s="65">
        <v>0.0</v>
      </c>
      <c r="X161" s="65">
        <v>0.0</v>
      </c>
      <c r="Y161" s="37">
        <v>1.0</v>
      </c>
      <c r="Z161" s="21">
        <v>0.0</v>
      </c>
      <c r="AA161" s="36">
        <v>2.0</v>
      </c>
    </row>
    <row r="162" ht="14.25" customHeight="1">
      <c r="B162" s="37">
        <v>22132.0</v>
      </c>
      <c r="C162" s="21" t="s">
        <v>261</v>
      </c>
      <c r="D162" s="21" t="s">
        <v>456</v>
      </c>
      <c r="E162" s="21" t="s">
        <v>458</v>
      </c>
      <c r="F162" s="21" t="s">
        <v>457</v>
      </c>
      <c r="G162" s="36" t="s">
        <v>903</v>
      </c>
      <c r="H162" s="21" t="s">
        <v>904</v>
      </c>
      <c r="I162" s="144" t="s">
        <v>905</v>
      </c>
      <c r="J162" s="36" t="b">
        <v>1</v>
      </c>
      <c r="K162" s="119">
        <v>5.70192834185E-5</v>
      </c>
      <c r="L162" s="65">
        <v>5.74826464079E-5</v>
      </c>
      <c r="M162" s="65">
        <v>5.826260405853E-4</v>
      </c>
      <c r="N162" s="65">
        <v>7.40799015053E-5</v>
      </c>
      <c r="O162" s="66">
        <v>6.292848041399E-4</v>
      </c>
      <c r="P162" s="65">
        <v>0.0012112953289423</v>
      </c>
      <c r="Q162" s="65">
        <v>9.13054395215E-5</v>
      </c>
      <c r="R162" s="65">
        <v>1.22164759539E-4</v>
      </c>
      <c r="S162" s="65">
        <v>0.0</v>
      </c>
      <c r="T162" s="65">
        <v>0.984577213974148</v>
      </c>
      <c r="U162" s="65">
        <v>4.41228379809E-5</v>
      </c>
      <c r="V162" s="65">
        <v>1.400560224089E-4</v>
      </c>
      <c r="W162" s="65">
        <v>9.48047023132E-5</v>
      </c>
      <c r="X162" s="65">
        <v>2.984718242597E-4</v>
      </c>
      <c r="Y162" s="37">
        <v>0.0</v>
      </c>
      <c r="Z162" s="21">
        <v>1.0</v>
      </c>
      <c r="AA162" s="36">
        <v>0.0</v>
      </c>
    </row>
    <row r="163" ht="14.25" customHeight="1">
      <c r="B163" s="37">
        <v>22200.0</v>
      </c>
      <c r="C163" s="21" t="s">
        <v>456</v>
      </c>
      <c r="D163" s="21" t="s">
        <v>261</v>
      </c>
      <c r="E163" s="21" t="s">
        <v>515</v>
      </c>
      <c r="F163" s="21" t="s">
        <v>481</v>
      </c>
      <c r="G163" s="36" t="s">
        <v>906</v>
      </c>
      <c r="H163" s="21" t="s">
        <v>907</v>
      </c>
      <c r="I163" s="144" t="s">
        <v>908</v>
      </c>
      <c r="J163" s="36" t="b">
        <v>1</v>
      </c>
      <c r="K163" s="119">
        <v>8.3792446110983E-7</v>
      </c>
      <c r="L163" s="65">
        <v>2.80427222762E-5</v>
      </c>
      <c r="M163" s="65">
        <v>0.0010557384205036</v>
      </c>
      <c r="N163" s="65">
        <v>0.644729165904535</v>
      </c>
      <c r="O163" s="66">
        <v>0.996371172721229</v>
      </c>
      <c r="P163" s="65">
        <v>8.841732979664E-4</v>
      </c>
      <c r="Q163" s="65">
        <v>4.57205559619E-5</v>
      </c>
      <c r="R163" s="65">
        <v>0.0</v>
      </c>
      <c r="S163" s="65">
        <v>0.0</v>
      </c>
      <c r="T163" s="65">
        <v>2.38701464035E-5</v>
      </c>
      <c r="U163" s="65">
        <v>0.0</v>
      </c>
      <c r="V163" s="65">
        <v>1.39411682699E-4</v>
      </c>
      <c r="W163" s="65">
        <v>0.0</v>
      </c>
      <c r="X163" s="65">
        <v>0.0</v>
      </c>
      <c r="Y163" s="37">
        <v>2.0</v>
      </c>
      <c r="Z163" s="21">
        <v>0.0</v>
      </c>
      <c r="AA163" s="36">
        <v>2.0</v>
      </c>
    </row>
    <row r="164" ht="14.25" customHeight="1">
      <c r="B164" s="37">
        <v>22200.0</v>
      </c>
      <c r="C164" s="21" t="s">
        <v>456</v>
      </c>
      <c r="D164" s="21" t="s">
        <v>262</v>
      </c>
      <c r="E164" s="21" t="s">
        <v>515</v>
      </c>
      <c r="F164" s="21" t="s">
        <v>745</v>
      </c>
      <c r="G164" s="36" t="s">
        <v>909</v>
      </c>
      <c r="H164" s="21" t="s">
        <v>910</v>
      </c>
      <c r="I164" s="144" t="s">
        <v>911</v>
      </c>
      <c r="J164" s="36" t="b">
        <v>1</v>
      </c>
      <c r="K164" s="119">
        <v>8.3792446110983E-7</v>
      </c>
      <c r="L164" s="65">
        <v>2.71156901348E-5</v>
      </c>
      <c r="M164" s="65">
        <v>0.997266754137301</v>
      </c>
      <c r="N164" s="65">
        <v>4.953049518942E-4</v>
      </c>
      <c r="O164" s="66">
        <v>0.0018652485042818</v>
      </c>
      <c r="P164" s="65">
        <v>0.998484274346343</v>
      </c>
      <c r="Q164" s="65">
        <v>2.28602779809E-5</v>
      </c>
      <c r="R164" s="65">
        <v>0.0</v>
      </c>
      <c r="S164" s="65">
        <v>0.0</v>
      </c>
      <c r="T164" s="65">
        <v>1.59134309357E-5</v>
      </c>
      <c r="U164" s="65">
        <v>0.0</v>
      </c>
      <c r="V164" s="65">
        <v>0.0</v>
      </c>
      <c r="W164" s="65">
        <v>0.0</v>
      </c>
      <c r="X164" s="65">
        <v>0.0</v>
      </c>
      <c r="Y164" s="37">
        <v>1.0</v>
      </c>
      <c r="Z164" s="21">
        <v>0.0</v>
      </c>
      <c r="AA164" s="36">
        <v>2.0</v>
      </c>
    </row>
    <row r="165" ht="14.25" customHeight="1">
      <c r="B165" s="37">
        <v>22206.0</v>
      </c>
      <c r="C165" s="21" t="s">
        <v>262</v>
      </c>
      <c r="D165" s="21" t="s">
        <v>261</v>
      </c>
      <c r="E165" s="21" t="s">
        <v>461</v>
      </c>
      <c r="F165" s="21" t="s">
        <v>522</v>
      </c>
      <c r="G165" s="36" t="s">
        <v>912</v>
      </c>
      <c r="H165" s="21" t="s">
        <v>913</v>
      </c>
      <c r="I165" s="144" t="s">
        <v>914</v>
      </c>
      <c r="J165" s="36" t="b">
        <v>1</v>
      </c>
      <c r="K165" s="119">
        <v>3.092239233728E-4</v>
      </c>
      <c r="L165" s="65">
        <v>3.724364612749E-4</v>
      </c>
      <c r="M165" s="65">
        <v>5.165524680573E-4</v>
      </c>
      <c r="N165" s="65">
        <v>1.935032046901E-4</v>
      </c>
      <c r="O165" s="66">
        <v>4.67777899053E-5</v>
      </c>
      <c r="P165" s="65">
        <v>0.0014880952380952</v>
      </c>
      <c r="Q165" s="65">
        <v>0.965721637641869</v>
      </c>
      <c r="R165" s="65">
        <v>8.003364125937E-4</v>
      </c>
      <c r="S165" s="65">
        <v>0.0</v>
      </c>
      <c r="T165" s="65">
        <v>1.909505358549E-4</v>
      </c>
      <c r="U165" s="65">
        <v>3.95726157499E-4</v>
      </c>
      <c r="V165" s="65">
        <v>6.958942240779E-4</v>
      </c>
      <c r="W165" s="65">
        <v>0.001137548582804</v>
      </c>
      <c r="X165" s="65">
        <v>5.964096141229E-4</v>
      </c>
      <c r="Y165" s="37">
        <v>0.0</v>
      </c>
      <c r="Z165" s="21">
        <v>1.0</v>
      </c>
      <c r="AA165" s="36">
        <v>0.0</v>
      </c>
    </row>
    <row r="166" ht="14.25" customHeight="1">
      <c r="B166" s="37">
        <v>22208.0</v>
      </c>
      <c r="C166" s="21" t="s">
        <v>263</v>
      </c>
      <c r="D166" s="21" t="s">
        <v>456</v>
      </c>
      <c r="E166" s="21" t="s">
        <v>634</v>
      </c>
      <c r="F166" s="21" t="s">
        <v>476</v>
      </c>
      <c r="G166" s="36" t="s">
        <v>915</v>
      </c>
      <c r="H166" s="21" t="s">
        <v>916</v>
      </c>
      <c r="I166" s="144" t="s">
        <v>917</v>
      </c>
      <c r="J166" s="36" t="b">
        <v>1</v>
      </c>
      <c r="K166" s="119">
        <v>0.0017481404009828</v>
      </c>
      <c r="L166" s="65">
        <v>0.001106247439242</v>
      </c>
      <c r="M166" s="65">
        <v>0.0014104265210829</v>
      </c>
      <c r="N166" s="65">
        <v>2.887492864105E-4</v>
      </c>
      <c r="O166" s="66">
        <v>0.995933353927246</v>
      </c>
      <c r="P166" s="65">
        <v>0.0019178358736247</v>
      </c>
      <c r="Q166" s="65">
        <v>4.57529796628E-5</v>
      </c>
      <c r="R166" s="65">
        <v>6.7817760115E-5</v>
      </c>
      <c r="S166" s="65">
        <v>2.013085052843E-4</v>
      </c>
      <c r="T166" s="65">
        <v>0.0020611993155863</v>
      </c>
      <c r="U166" s="65">
        <v>0.0016266953902969</v>
      </c>
      <c r="V166" s="65">
        <v>1.391014049241E-4</v>
      </c>
      <c r="W166" s="65">
        <v>9.48136910969E-5</v>
      </c>
      <c r="X166" s="65">
        <v>1.192748091603E-4</v>
      </c>
      <c r="Y166" s="37">
        <v>1.0</v>
      </c>
      <c r="Z166" s="21">
        <v>0.0</v>
      </c>
      <c r="AA166" s="36">
        <v>1.0</v>
      </c>
    </row>
    <row r="167" ht="14.25" customHeight="1">
      <c r="B167" s="37">
        <v>22295.0</v>
      </c>
      <c r="C167" s="21" t="s">
        <v>263</v>
      </c>
      <c r="D167" s="21" t="s">
        <v>262</v>
      </c>
      <c r="E167" s="21" t="s">
        <v>575</v>
      </c>
      <c r="F167" s="21" t="s">
        <v>543</v>
      </c>
      <c r="G167" s="36" t="s">
        <v>918</v>
      </c>
      <c r="H167" s="21" t="s">
        <v>919</v>
      </c>
      <c r="I167" s="144" t="s">
        <v>920</v>
      </c>
      <c r="J167" s="36" t="b">
        <v>1</v>
      </c>
      <c r="K167" s="119">
        <v>8.3414593049E-6</v>
      </c>
      <c r="L167" s="65">
        <v>1.66967848084E-5</v>
      </c>
      <c r="M167" s="65">
        <v>1.869519593771E-4</v>
      </c>
      <c r="N167" s="65">
        <v>5.05683544573E-4</v>
      </c>
      <c r="O167" s="66">
        <v>0.997515221712658</v>
      </c>
      <c r="P167" s="65">
        <v>0.0019877932694999</v>
      </c>
      <c r="Q167" s="65">
        <v>0.0</v>
      </c>
      <c r="R167" s="65">
        <v>0.0</v>
      </c>
      <c r="S167" s="65">
        <v>0.0</v>
      </c>
      <c r="T167" s="65">
        <v>0.0</v>
      </c>
      <c r="U167" s="65">
        <v>0.0</v>
      </c>
      <c r="V167" s="65">
        <v>0.0</v>
      </c>
      <c r="W167" s="65">
        <v>0.0</v>
      </c>
      <c r="X167" s="65">
        <v>0.0</v>
      </c>
      <c r="Y167" s="37">
        <v>1.0</v>
      </c>
      <c r="Z167" s="21">
        <v>0.0</v>
      </c>
      <c r="AA167" s="36">
        <v>1.0</v>
      </c>
    </row>
    <row r="168" ht="14.25" customHeight="1">
      <c r="B168" s="37">
        <v>22317.0</v>
      </c>
      <c r="C168" s="21" t="s">
        <v>261</v>
      </c>
      <c r="D168" s="21" t="s">
        <v>456</v>
      </c>
      <c r="E168" s="21" t="s">
        <v>522</v>
      </c>
      <c r="F168" s="21" t="s">
        <v>484</v>
      </c>
      <c r="G168" s="36" t="s">
        <v>921</v>
      </c>
      <c r="H168" s="21" t="s">
        <v>922</v>
      </c>
      <c r="I168" s="144" t="s">
        <v>923</v>
      </c>
      <c r="J168" s="36" t="b">
        <v>1</v>
      </c>
      <c r="K168" s="119">
        <v>8.68078741419E-5</v>
      </c>
      <c r="L168" s="65">
        <v>1.094720709379E-4</v>
      </c>
      <c r="M168" s="65">
        <v>0.990060706518615</v>
      </c>
      <c r="N168" s="65">
        <v>6.02588884202E-5</v>
      </c>
      <c r="O168" s="66">
        <v>9.80166276813E-4</v>
      </c>
      <c r="P168" s="65">
        <v>0.995314516581561</v>
      </c>
      <c r="Q168" s="65">
        <v>2.090155368215E-4</v>
      </c>
      <c r="R168" s="65">
        <v>0.0011414145483355</v>
      </c>
      <c r="S168" s="65">
        <v>1.003613006824E-4</v>
      </c>
      <c r="T168" s="65">
        <v>2.32872246285E-5</v>
      </c>
      <c r="U168" s="65">
        <v>0.0010307921747521</v>
      </c>
      <c r="V168" s="65">
        <v>0.0</v>
      </c>
      <c r="W168" s="65">
        <v>0.0</v>
      </c>
      <c r="X168" s="65">
        <v>5.99880023995E-5</v>
      </c>
      <c r="Y168" s="37">
        <v>1.0</v>
      </c>
      <c r="Z168" s="21">
        <v>0.0</v>
      </c>
      <c r="AA168" s="36">
        <v>2.0</v>
      </c>
    </row>
    <row r="169" ht="14.25" customHeight="1">
      <c r="B169" s="37">
        <v>22320.0</v>
      </c>
      <c r="C169" s="21" t="s">
        <v>262</v>
      </c>
      <c r="D169" s="21" t="s">
        <v>261</v>
      </c>
      <c r="E169" s="21" t="s">
        <v>461</v>
      </c>
      <c r="F169" s="21" t="s">
        <v>522</v>
      </c>
      <c r="G169" s="36" t="s">
        <v>924</v>
      </c>
      <c r="H169" s="21" t="s">
        <v>925</v>
      </c>
      <c r="I169" s="144" t="s">
        <v>926</v>
      </c>
      <c r="J169" s="36" t="b">
        <v>1</v>
      </c>
      <c r="K169" s="119">
        <v>5.781786037153E-4</v>
      </c>
      <c r="L169" s="65">
        <v>9.386591670577E-4</v>
      </c>
      <c r="M169" s="65">
        <v>8.372399493424E-4</v>
      </c>
      <c r="N169" s="65">
        <v>2.489301391775E-4</v>
      </c>
      <c r="O169" s="66">
        <v>3.631961259079E-4</v>
      </c>
      <c r="P169" s="65">
        <v>0.0010650224215246</v>
      </c>
      <c r="Q169" s="65">
        <v>1.436196950475E-4</v>
      </c>
      <c r="R169" s="65">
        <v>2.015316404675E-4</v>
      </c>
      <c r="S169" s="65">
        <v>3.014772384684E-4</v>
      </c>
      <c r="T169" s="65">
        <v>2.641392169049E-4</v>
      </c>
      <c r="U169" s="65">
        <v>0.986775985189103</v>
      </c>
      <c r="V169" s="65">
        <v>4.075533215595E-4</v>
      </c>
      <c r="W169" s="65">
        <v>9.80103891012E-5</v>
      </c>
      <c r="X169" s="65">
        <v>4.803650774588E-4</v>
      </c>
      <c r="Y169" s="37">
        <v>0.0</v>
      </c>
      <c r="Z169" s="21">
        <v>1.0</v>
      </c>
      <c r="AA169" s="36">
        <v>0.0</v>
      </c>
    </row>
    <row r="170" ht="14.25" customHeight="1">
      <c r="A170" s="26"/>
      <c r="B170" s="42">
        <v>22353.0</v>
      </c>
      <c r="C170" s="40" t="s">
        <v>263</v>
      </c>
      <c r="D170" s="40" t="s">
        <v>262</v>
      </c>
      <c r="E170" s="40" t="s">
        <v>465</v>
      </c>
      <c r="F170" s="40" t="s">
        <v>461</v>
      </c>
      <c r="G170" s="39" t="s">
        <v>927</v>
      </c>
      <c r="H170" s="40" t="s">
        <v>928</v>
      </c>
      <c r="I170" s="147" t="s">
        <v>929</v>
      </c>
      <c r="J170" s="39" t="b">
        <v>1</v>
      </c>
      <c r="K170" s="120">
        <v>7.9806124321E-6</v>
      </c>
      <c r="L170" s="112">
        <v>5.8771147034E-6</v>
      </c>
      <c r="M170" s="112">
        <v>1.10873382597E-4</v>
      </c>
      <c r="N170" s="112">
        <v>6.770776008E-6</v>
      </c>
      <c r="O170" s="87">
        <v>0.991138695416852</v>
      </c>
      <c r="P170" s="112">
        <v>0.0015544329095653</v>
      </c>
      <c r="Q170" s="112">
        <v>0.0</v>
      </c>
      <c r="R170" s="112">
        <v>0.0</v>
      </c>
      <c r="S170" s="112">
        <v>0.0</v>
      </c>
      <c r="T170" s="112">
        <v>0.0</v>
      </c>
      <c r="U170" s="112">
        <v>0.0</v>
      </c>
      <c r="V170" s="112">
        <v>0.0</v>
      </c>
      <c r="W170" s="112">
        <v>0.0</v>
      </c>
      <c r="X170" s="112">
        <v>7.51145496882E-5</v>
      </c>
      <c r="Y170" s="42">
        <v>1.0</v>
      </c>
      <c r="Z170" s="40">
        <v>0.0</v>
      </c>
      <c r="AA170" s="39">
        <v>1.0</v>
      </c>
    </row>
    <row r="171" ht="14.25" customHeight="1">
      <c r="A171" s="155" t="s">
        <v>930</v>
      </c>
      <c r="B171" s="33">
        <v>22556.0</v>
      </c>
      <c r="C171" s="34" t="s">
        <v>262</v>
      </c>
      <c r="D171" s="34" t="s">
        <v>261</v>
      </c>
      <c r="E171" s="34" t="s">
        <v>503</v>
      </c>
      <c r="F171" s="34" t="s">
        <v>484</v>
      </c>
      <c r="G171" s="143" t="s">
        <v>931</v>
      </c>
      <c r="H171" s="34" t="s">
        <v>932</v>
      </c>
      <c r="I171" s="144" t="s">
        <v>933</v>
      </c>
      <c r="J171" s="143" t="b">
        <v>1</v>
      </c>
      <c r="K171" s="145">
        <v>2.91716744707E-5</v>
      </c>
      <c r="L171" s="98">
        <v>2.6834051516E-6</v>
      </c>
      <c r="M171" s="98">
        <v>6.94239101088E-5</v>
      </c>
      <c r="N171" s="98">
        <v>7.7193399239E-6</v>
      </c>
      <c r="O171" s="86">
        <v>0.99544510368279</v>
      </c>
      <c r="P171" s="98">
        <v>7.943829438294E-4</v>
      </c>
      <c r="Q171" s="98">
        <v>0.0</v>
      </c>
      <c r="R171" s="98">
        <v>0.0</v>
      </c>
      <c r="S171" s="98">
        <v>0.0</v>
      </c>
      <c r="T171" s="98">
        <v>1.51941046873E-5</v>
      </c>
      <c r="U171" s="98">
        <v>0.0</v>
      </c>
      <c r="V171" s="98">
        <v>0.0</v>
      </c>
      <c r="W171" s="98">
        <v>0.0</v>
      </c>
      <c r="X171" s="98">
        <v>0.0</v>
      </c>
      <c r="Y171" s="33">
        <v>1.0</v>
      </c>
      <c r="Z171" s="34">
        <v>0.0</v>
      </c>
      <c r="AA171" s="143">
        <v>1.0</v>
      </c>
    </row>
    <row r="172" ht="14.25" customHeight="1">
      <c r="B172" s="37">
        <v>22577.0</v>
      </c>
      <c r="C172" s="21" t="s">
        <v>261</v>
      </c>
      <c r="D172" s="21" t="s">
        <v>263</v>
      </c>
      <c r="E172" s="21" t="s">
        <v>522</v>
      </c>
      <c r="F172" s="21" t="s">
        <v>749</v>
      </c>
      <c r="G172" s="36" t="s">
        <v>934</v>
      </c>
      <c r="H172" s="21" t="s">
        <v>935</v>
      </c>
      <c r="I172" s="144" t="s">
        <v>936</v>
      </c>
      <c r="J172" s="36" t="b">
        <v>1</v>
      </c>
      <c r="K172" s="119">
        <v>0.0</v>
      </c>
      <c r="L172" s="65">
        <v>2.23343505885548E-7</v>
      </c>
      <c r="M172" s="65">
        <v>0.997279340020547</v>
      </c>
      <c r="N172" s="65">
        <v>0.0042930258368899</v>
      </c>
      <c r="O172" s="66">
        <v>0.996075211364993</v>
      </c>
      <c r="P172" s="65">
        <v>0.998487877389922</v>
      </c>
      <c r="Q172" s="65">
        <v>0.0</v>
      </c>
      <c r="R172" s="65">
        <v>1.31853062946E-5</v>
      </c>
      <c r="S172" s="65">
        <v>0.0</v>
      </c>
      <c r="T172" s="65">
        <v>0.0</v>
      </c>
      <c r="U172" s="65">
        <v>0.0</v>
      </c>
      <c r="V172" s="65">
        <v>0.0</v>
      </c>
      <c r="W172" s="65">
        <v>0.0</v>
      </c>
      <c r="X172" s="65">
        <v>0.0</v>
      </c>
      <c r="Y172" s="37">
        <v>2.0</v>
      </c>
      <c r="Z172" s="21">
        <v>0.0</v>
      </c>
      <c r="AA172" s="36">
        <v>3.0</v>
      </c>
    </row>
    <row r="173" ht="14.25" customHeight="1">
      <c r="B173" s="37">
        <v>22578.0</v>
      </c>
      <c r="C173" s="21" t="s">
        <v>261</v>
      </c>
      <c r="D173" s="21" t="s">
        <v>262</v>
      </c>
      <c r="E173" s="21" t="s">
        <v>522</v>
      </c>
      <c r="F173" s="21" t="s">
        <v>461</v>
      </c>
      <c r="G173" s="36" t="s">
        <v>937</v>
      </c>
      <c r="H173" s="21" t="s">
        <v>938</v>
      </c>
      <c r="I173" s="144" t="s">
        <v>939</v>
      </c>
      <c r="J173" s="36" t="b">
        <v>1</v>
      </c>
      <c r="K173" s="119">
        <v>7.49550269838E-5</v>
      </c>
      <c r="L173" s="65">
        <v>1.974546663965E-4</v>
      </c>
      <c r="M173" s="65">
        <v>0.998472309316074</v>
      </c>
      <c r="N173" s="65">
        <v>0.996536578685624</v>
      </c>
      <c r="O173" s="66">
        <v>0.998086895034569</v>
      </c>
      <c r="P173" s="65">
        <v>0.99882099651425</v>
      </c>
      <c r="Q173" s="65">
        <v>7.1309721892E-5</v>
      </c>
      <c r="R173" s="65">
        <v>3.95564404477E-5</v>
      </c>
      <c r="S173" s="65">
        <v>0.0</v>
      </c>
      <c r="T173" s="65">
        <v>6.82531737725E-5</v>
      </c>
      <c r="U173" s="65">
        <v>6.55451168887E-5</v>
      </c>
      <c r="V173" s="65">
        <v>0.0</v>
      </c>
      <c r="W173" s="65">
        <v>9.3554121059E-5</v>
      </c>
      <c r="X173" s="65">
        <v>8.165169718884E-4</v>
      </c>
      <c r="Y173" s="37">
        <v>3.0</v>
      </c>
      <c r="Z173" s="21">
        <v>0.0</v>
      </c>
      <c r="AA173" s="36">
        <v>4.0</v>
      </c>
    </row>
    <row r="174" ht="14.25" customHeight="1">
      <c r="B174" s="37">
        <v>22599.0</v>
      </c>
      <c r="C174" s="21" t="s">
        <v>261</v>
      </c>
      <c r="D174" s="21" t="s">
        <v>263</v>
      </c>
      <c r="E174" s="21" t="s">
        <v>453</v>
      </c>
      <c r="F174" s="21" t="s">
        <v>497</v>
      </c>
      <c r="G174" s="36" t="s">
        <v>940</v>
      </c>
      <c r="H174" s="21" t="s">
        <v>941</v>
      </c>
      <c r="I174" s="144" t="s">
        <v>942</v>
      </c>
      <c r="J174" s="36" t="b">
        <v>1</v>
      </c>
      <c r="K174" s="119">
        <v>8.9250785532E-5</v>
      </c>
      <c r="L174" s="65">
        <v>1.07302613489E-5</v>
      </c>
      <c r="M174" s="65">
        <v>0.994011774774472</v>
      </c>
      <c r="N174" s="65">
        <v>0.0258381128824454</v>
      </c>
      <c r="O174" s="66">
        <v>0.0980352775775905</v>
      </c>
      <c r="P174" s="65">
        <v>0.997138431650521</v>
      </c>
      <c r="Q174" s="65">
        <v>2.38794565035E-5</v>
      </c>
      <c r="R174" s="65">
        <v>3.96967170814E-5</v>
      </c>
      <c r="S174" s="65">
        <v>0.0</v>
      </c>
      <c r="T174" s="65">
        <v>3.03995257673E-5</v>
      </c>
      <c r="U174" s="65">
        <v>0.0</v>
      </c>
      <c r="V174" s="65">
        <v>0.0</v>
      </c>
      <c r="W174" s="65">
        <v>0.0</v>
      </c>
      <c r="X174" s="65">
        <v>5.88339118668E-5</v>
      </c>
      <c r="Y174" s="37">
        <v>1.0</v>
      </c>
      <c r="Z174" s="21">
        <v>0.0</v>
      </c>
      <c r="AA174" s="36">
        <v>2.0</v>
      </c>
    </row>
    <row r="175" ht="14.25" customHeight="1">
      <c r="B175" s="37">
        <v>22599.0</v>
      </c>
      <c r="C175" s="21" t="s">
        <v>261</v>
      </c>
      <c r="D175" s="21" t="s">
        <v>262</v>
      </c>
      <c r="E175" s="21" t="s">
        <v>453</v>
      </c>
      <c r="F175" s="21" t="s">
        <v>452</v>
      </c>
      <c r="G175" s="36" t="s">
        <v>943</v>
      </c>
      <c r="H175" s="21" t="s">
        <v>944</v>
      </c>
      <c r="I175" s="144" t="s">
        <v>945</v>
      </c>
      <c r="J175" s="36" t="b">
        <v>1</v>
      </c>
      <c r="K175" s="119">
        <v>1.192790872063E-4</v>
      </c>
      <c r="L175" s="65">
        <v>3.328616489282E-4</v>
      </c>
      <c r="M175" s="65">
        <v>2.58558947561E-5</v>
      </c>
      <c r="N175" s="65">
        <v>0.203031556554538</v>
      </c>
      <c r="O175" s="66">
        <v>0.0012011231485966</v>
      </c>
      <c r="P175" s="65">
        <v>2.62529206374E-5</v>
      </c>
      <c r="Q175" s="65">
        <v>1.193972825178E-4</v>
      </c>
      <c r="R175" s="65">
        <v>3.308059756791E-4</v>
      </c>
      <c r="S175" s="65">
        <v>0.0</v>
      </c>
      <c r="T175" s="65">
        <v>2.583959690228E-4</v>
      </c>
      <c r="U175" s="65">
        <v>4.38721565358E-5</v>
      </c>
      <c r="V175" s="65">
        <v>1.28965695125E-4</v>
      </c>
      <c r="W175" s="65">
        <v>1.87318535169E-4</v>
      </c>
      <c r="X175" s="65">
        <v>0.995234453138789</v>
      </c>
      <c r="Y175" s="37">
        <v>0.0</v>
      </c>
      <c r="Z175" s="21">
        <v>1.0</v>
      </c>
      <c r="AA175" s="36">
        <v>0.0</v>
      </c>
    </row>
    <row r="176" ht="14.25" customHeight="1">
      <c r="B176" s="37">
        <v>22629.0</v>
      </c>
      <c r="C176" s="21" t="s">
        <v>262</v>
      </c>
      <c r="D176" s="21" t="s">
        <v>263</v>
      </c>
      <c r="E176" s="21" t="s">
        <v>494</v>
      </c>
      <c r="F176" s="21" t="s">
        <v>946</v>
      </c>
      <c r="G176" s="36" t="s">
        <v>947</v>
      </c>
      <c r="H176" s="21" t="s">
        <v>948</v>
      </c>
      <c r="I176" s="144" t="s">
        <v>949</v>
      </c>
      <c r="J176" s="36" t="b">
        <v>1</v>
      </c>
      <c r="K176" s="119">
        <v>5.0088740552E-6</v>
      </c>
      <c r="L176" s="65">
        <v>3.1271988116E-6</v>
      </c>
      <c r="M176" s="65">
        <v>0.0028295971155353</v>
      </c>
      <c r="N176" s="65">
        <v>0.0010708399460125</v>
      </c>
      <c r="O176" s="66">
        <v>0.996100411424482</v>
      </c>
      <c r="P176" s="65">
        <v>0.0022542595019659</v>
      </c>
      <c r="Q176" s="65">
        <v>0.0</v>
      </c>
      <c r="R176" s="65">
        <v>0.0</v>
      </c>
      <c r="S176" s="65">
        <v>0.0</v>
      </c>
      <c r="T176" s="65">
        <v>7.5995349084E-6</v>
      </c>
      <c r="U176" s="65">
        <v>0.0</v>
      </c>
      <c r="V176" s="65">
        <v>0.0</v>
      </c>
      <c r="W176" s="65">
        <v>0.0</v>
      </c>
      <c r="X176" s="65">
        <v>0.0</v>
      </c>
      <c r="Y176" s="37">
        <v>1.0</v>
      </c>
      <c r="Z176" s="21">
        <v>0.0</v>
      </c>
      <c r="AA176" s="36">
        <v>1.0</v>
      </c>
    </row>
    <row r="177" ht="14.25" customHeight="1">
      <c r="B177" s="37">
        <v>22664.0</v>
      </c>
      <c r="C177" s="21" t="s">
        <v>263</v>
      </c>
      <c r="D177" s="21" t="s">
        <v>262</v>
      </c>
      <c r="E177" s="21" t="s">
        <v>571</v>
      </c>
      <c r="F177" s="21" t="s">
        <v>581</v>
      </c>
      <c r="G177" s="36" t="s">
        <v>950</v>
      </c>
      <c r="H177" s="21" t="s">
        <v>951</v>
      </c>
      <c r="I177" s="144" t="s">
        <v>952</v>
      </c>
      <c r="J177" s="36" t="b">
        <v>1</v>
      </c>
      <c r="K177" s="119">
        <v>3.34996030297E-5</v>
      </c>
      <c r="L177" s="65">
        <v>1.27575743061E-5</v>
      </c>
      <c r="M177" s="65">
        <v>0.995747102101307</v>
      </c>
      <c r="N177" s="65">
        <v>4.581827568404E-4</v>
      </c>
      <c r="O177" s="66">
        <v>5.222655245405E-4</v>
      </c>
      <c r="P177" s="65">
        <v>0.9965449941977</v>
      </c>
      <c r="Q177" s="65">
        <v>0.0</v>
      </c>
      <c r="R177" s="65">
        <v>1.32280381496E-5</v>
      </c>
      <c r="S177" s="65">
        <v>0.0</v>
      </c>
      <c r="T177" s="65">
        <v>2.27697071815E-5</v>
      </c>
      <c r="U177" s="65">
        <v>2.19019667966E-5</v>
      </c>
      <c r="V177" s="65">
        <v>0.0</v>
      </c>
      <c r="W177" s="65">
        <v>0.0</v>
      </c>
      <c r="X177" s="65">
        <v>0.0</v>
      </c>
      <c r="Y177" s="37">
        <v>1.0</v>
      </c>
      <c r="Z177" s="21">
        <v>0.0</v>
      </c>
      <c r="AA177" s="36">
        <v>2.0</v>
      </c>
    </row>
    <row r="178" ht="14.25" customHeight="1">
      <c r="B178" s="37">
        <v>22673.0</v>
      </c>
      <c r="C178" s="21" t="s">
        <v>456</v>
      </c>
      <c r="D178" s="21" t="s">
        <v>263</v>
      </c>
      <c r="E178" s="21" t="s">
        <v>468</v>
      </c>
      <c r="F178" s="21" t="s">
        <v>641</v>
      </c>
      <c r="G178" s="36" t="s">
        <v>953</v>
      </c>
      <c r="H178" s="21" t="s">
        <v>954</v>
      </c>
      <c r="I178" s="144" t="s">
        <v>955</v>
      </c>
      <c r="J178" s="36" t="b">
        <v>1</v>
      </c>
      <c r="K178" s="119">
        <v>1.42394182276E-5</v>
      </c>
      <c r="L178" s="65">
        <v>4.40363888104E-5</v>
      </c>
      <c r="M178" s="65">
        <v>1.05952686827E-5</v>
      </c>
      <c r="N178" s="65">
        <v>0.355355760836463</v>
      </c>
      <c r="O178" s="66">
        <v>1.18961702262E-5</v>
      </c>
      <c r="P178" s="65">
        <v>0.0</v>
      </c>
      <c r="Q178" s="65">
        <v>2.40627556667E-5</v>
      </c>
      <c r="R178" s="65">
        <v>1.32014944091E-5</v>
      </c>
      <c r="S178" s="65">
        <v>0.0</v>
      </c>
      <c r="T178" s="65">
        <v>0.0</v>
      </c>
      <c r="U178" s="65">
        <v>0.0</v>
      </c>
      <c r="V178" s="65">
        <v>0.0</v>
      </c>
      <c r="W178" s="65">
        <v>9.39672993798E-5</v>
      </c>
      <c r="X178" s="65">
        <v>0.0</v>
      </c>
      <c r="Y178" s="37">
        <v>1.0</v>
      </c>
      <c r="Z178" s="21">
        <v>0.0</v>
      </c>
      <c r="AA178" s="36">
        <v>1.0</v>
      </c>
    </row>
    <row r="179" ht="14.25" customHeight="1">
      <c r="B179" s="37">
        <v>22674.0</v>
      </c>
      <c r="C179" s="21" t="s">
        <v>263</v>
      </c>
      <c r="D179" s="21" t="s">
        <v>456</v>
      </c>
      <c r="E179" s="21" t="s">
        <v>468</v>
      </c>
      <c r="F179" s="21" t="s">
        <v>476</v>
      </c>
      <c r="G179" s="36" t="s">
        <v>956</v>
      </c>
      <c r="H179" s="21" t="s">
        <v>957</v>
      </c>
      <c r="I179" s="144" t="s">
        <v>958</v>
      </c>
      <c r="J179" s="36" t="b">
        <v>1</v>
      </c>
      <c r="K179" s="119">
        <v>2.26168537443E-5</v>
      </c>
      <c r="L179" s="65">
        <v>5.56624965993E-5</v>
      </c>
      <c r="M179" s="65">
        <v>0.996884098551663</v>
      </c>
      <c r="N179" s="65">
        <v>0.993480784463462</v>
      </c>
      <c r="O179" s="66">
        <v>0.996901451027811</v>
      </c>
      <c r="P179" s="65">
        <v>0.998068118665149</v>
      </c>
      <c r="Q179" s="65">
        <v>9.62602878182E-5</v>
      </c>
      <c r="R179" s="65">
        <v>1.32020172682E-5</v>
      </c>
      <c r="S179" s="65">
        <v>0.0</v>
      </c>
      <c r="T179" s="65">
        <v>3.79224561616E-5</v>
      </c>
      <c r="U179" s="65">
        <v>0.0</v>
      </c>
      <c r="V179" s="65">
        <v>0.0</v>
      </c>
      <c r="W179" s="65">
        <v>9.39672993798E-5</v>
      </c>
      <c r="X179" s="65">
        <v>5.25486074619E-4</v>
      </c>
      <c r="Y179" s="37">
        <v>3.0</v>
      </c>
      <c r="Z179" s="21">
        <v>0.0</v>
      </c>
      <c r="AA179" s="36">
        <v>4.0</v>
      </c>
    </row>
    <row r="180" ht="14.25" customHeight="1">
      <c r="B180" s="37">
        <v>22679.0</v>
      </c>
      <c r="C180" s="21" t="s">
        <v>456</v>
      </c>
      <c r="D180" s="21" t="s">
        <v>263</v>
      </c>
      <c r="E180" s="21" t="s">
        <v>526</v>
      </c>
      <c r="F180" s="21" t="s">
        <v>567</v>
      </c>
      <c r="G180" s="36" t="s">
        <v>959</v>
      </c>
      <c r="H180" s="21" t="s">
        <v>960</v>
      </c>
      <c r="I180" s="144" t="s">
        <v>961</v>
      </c>
      <c r="J180" s="36" t="b">
        <v>1</v>
      </c>
      <c r="K180" s="119">
        <v>3.85328370974E-5</v>
      </c>
      <c r="L180" s="65">
        <v>1.254613551121E-4</v>
      </c>
      <c r="M180" s="65">
        <v>0.99751400205701</v>
      </c>
      <c r="N180" s="65">
        <v>0.994996901000279</v>
      </c>
      <c r="O180" s="66">
        <v>0.998327785702964</v>
      </c>
      <c r="P180" s="65">
        <v>0.99888738774537</v>
      </c>
      <c r="Q180" s="65">
        <v>1.684595576733E-4</v>
      </c>
      <c r="R180" s="65">
        <v>5.2803886366E-5</v>
      </c>
      <c r="S180" s="65">
        <v>0.0</v>
      </c>
      <c r="T180" s="65">
        <v>1.896266630258E-4</v>
      </c>
      <c r="U180" s="65">
        <v>0.0</v>
      </c>
      <c r="V180" s="65">
        <v>0.0</v>
      </c>
      <c r="W180" s="65">
        <v>0.0</v>
      </c>
      <c r="X180" s="65">
        <v>1.751722527151E-4</v>
      </c>
      <c r="Y180" s="37">
        <v>3.0</v>
      </c>
      <c r="Z180" s="21">
        <v>0.0</v>
      </c>
      <c r="AA180" s="36">
        <v>4.0</v>
      </c>
    </row>
    <row r="181" ht="14.25" customHeight="1">
      <c r="B181" s="37">
        <v>22686.0</v>
      </c>
      <c r="C181" s="21" t="s">
        <v>263</v>
      </c>
      <c r="D181" s="21" t="s">
        <v>456</v>
      </c>
      <c r="E181" s="21" t="s">
        <v>468</v>
      </c>
      <c r="F181" s="21" t="s">
        <v>476</v>
      </c>
      <c r="G181" s="36" t="s">
        <v>962</v>
      </c>
      <c r="H181" s="21" t="s">
        <v>963</v>
      </c>
      <c r="I181" s="144" t="s">
        <v>964</v>
      </c>
      <c r="J181" s="36" t="b">
        <v>1</v>
      </c>
      <c r="K181" s="119">
        <v>1.08878907391E-5</v>
      </c>
      <c r="L181" s="65">
        <v>1.205885255998E-4</v>
      </c>
      <c r="M181" s="65">
        <v>0.996297478455154</v>
      </c>
      <c r="N181" s="65">
        <v>0.993076082528739</v>
      </c>
      <c r="O181" s="66">
        <v>0.996306316716407</v>
      </c>
      <c r="P181" s="65">
        <v>0.994619626318325</v>
      </c>
      <c r="Q181" s="65">
        <v>4.81313021923E-5</v>
      </c>
      <c r="R181" s="65">
        <v>3.95982101609E-5</v>
      </c>
      <c r="S181" s="65">
        <v>0.0</v>
      </c>
      <c r="T181" s="65">
        <v>0.0</v>
      </c>
      <c r="U181" s="65">
        <v>0.0</v>
      </c>
      <c r="V181" s="65">
        <v>0.0</v>
      </c>
      <c r="W181" s="65">
        <v>9.39584703561E-5</v>
      </c>
      <c r="X181" s="65">
        <v>1.752541184717E-4</v>
      </c>
      <c r="Y181" s="37">
        <v>3.0</v>
      </c>
      <c r="Z181" s="21">
        <v>0.0</v>
      </c>
      <c r="AA181" s="36">
        <v>4.0</v>
      </c>
    </row>
    <row r="182" ht="14.25" customHeight="1">
      <c r="B182" s="37">
        <v>22688.0</v>
      </c>
      <c r="C182" s="21" t="s">
        <v>262</v>
      </c>
      <c r="D182" s="21" t="s">
        <v>261</v>
      </c>
      <c r="E182" s="21" t="s">
        <v>498</v>
      </c>
      <c r="F182" s="21" t="s">
        <v>465</v>
      </c>
      <c r="G182" s="36" t="s">
        <v>965</v>
      </c>
      <c r="H182" s="21" t="s">
        <v>966</v>
      </c>
      <c r="I182" s="144" t="s">
        <v>967</v>
      </c>
      <c r="J182" s="36" t="b">
        <v>1</v>
      </c>
      <c r="K182" s="119">
        <v>5.0253571144E-6</v>
      </c>
      <c r="L182" s="65">
        <v>1.74217856749E-5</v>
      </c>
      <c r="M182" s="65">
        <v>0.996497312478557</v>
      </c>
      <c r="N182" s="65">
        <v>0.635735571281018</v>
      </c>
      <c r="O182" s="66">
        <v>0.995262701136155</v>
      </c>
      <c r="P182" s="65">
        <v>0.995201993425935</v>
      </c>
      <c r="Q182" s="65">
        <v>2.40650719545E-5</v>
      </c>
      <c r="R182" s="65">
        <v>1.32001003207E-5</v>
      </c>
      <c r="S182" s="65">
        <v>0.0</v>
      </c>
      <c r="T182" s="65">
        <v>0.0</v>
      </c>
      <c r="U182" s="65">
        <v>0.0</v>
      </c>
      <c r="V182" s="65">
        <v>0.0</v>
      </c>
      <c r="W182" s="65">
        <v>0.0</v>
      </c>
      <c r="X182" s="65">
        <v>1.752643570719E-4</v>
      </c>
      <c r="Y182" s="37">
        <v>3.0</v>
      </c>
      <c r="Z182" s="21">
        <v>0.0</v>
      </c>
      <c r="AA182" s="36">
        <v>4.0</v>
      </c>
    </row>
    <row r="183" ht="14.25" customHeight="1">
      <c r="B183" s="37">
        <v>22770.0</v>
      </c>
      <c r="C183" s="21" t="s">
        <v>261</v>
      </c>
      <c r="D183" s="21" t="s">
        <v>262</v>
      </c>
      <c r="E183" s="21" t="s">
        <v>453</v>
      </c>
      <c r="F183" s="21" t="s">
        <v>452</v>
      </c>
      <c r="G183" s="36" t="s">
        <v>968</v>
      </c>
      <c r="H183" s="21" t="s">
        <v>969</v>
      </c>
      <c r="I183" s="144" t="s">
        <v>970</v>
      </c>
      <c r="J183" s="36" t="b">
        <v>1</v>
      </c>
      <c r="K183" s="119">
        <v>1.572754537355E-4</v>
      </c>
      <c r="L183" s="65">
        <v>5.57524857245E-5</v>
      </c>
      <c r="M183" s="65">
        <v>8.953550468002E-4</v>
      </c>
      <c r="N183" s="65">
        <v>2.52935746265E-5</v>
      </c>
      <c r="O183" s="66">
        <v>0.97696816881719</v>
      </c>
      <c r="P183" s="65">
        <v>3.681691474254E-4</v>
      </c>
      <c r="Q183" s="65">
        <v>0.0</v>
      </c>
      <c r="R183" s="65">
        <v>3.96248844274E-5</v>
      </c>
      <c r="S183" s="65">
        <v>0.0</v>
      </c>
      <c r="T183" s="65">
        <v>6.83859398507E-5</v>
      </c>
      <c r="U183" s="65">
        <v>0.0</v>
      </c>
      <c r="V183" s="65">
        <v>1.296008294453E-4</v>
      </c>
      <c r="W183" s="65">
        <v>0.0</v>
      </c>
      <c r="X183" s="65">
        <v>0.0</v>
      </c>
      <c r="Y183" s="37">
        <v>1.0</v>
      </c>
      <c r="Z183" s="21">
        <v>0.0</v>
      </c>
      <c r="AA183" s="36">
        <v>1.0</v>
      </c>
    </row>
    <row r="184" ht="14.25" customHeight="1">
      <c r="B184" s="37">
        <v>22775.0</v>
      </c>
      <c r="C184" s="21" t="s">
        <v>261</v>
      </c>
      <c r="D184" s="21" t="s">
        <v>262</v>
      </c>
      <c r="E184" s="21" t="s">
        <v>461</v>
      </c>
      <c r="F184" s="21" t="s">
        <v>543</v>
      </c>
      <c r="G184" s="36" t="s">
        <v>971</v>
      </c>
      <c r="H184" s="21" t="s">
        <v>972</v>
      </c>
      <c r="I184" s="144" t="s">
        <v>973</v>
      </c>
      <c r="J184" s="36" t="b">
        <v>1</v>
      </c>
      <c r="K184" s="119">
        <v>1.75706339484E-5</v>
      </c>
      <c r="L184" s="65">
        <v>4.12566002197E-5</v>
      </c>
      <c r="M184" s="65">
        <v>0.99716222317894</v>
      </c>
      <c r="N184" s="65">
        <v>0.631007902857605</v>
      </c>
      <c r="O184" s="66">
        <v>0.997531577219306</v>
      </c>
      <c r="P184" s="65">
        <v>0.997025052192066</v>
      </c>
      <c r="Q184" s="65">
        <v>2.27195274338E-5</v>
      </c>
      <c r="R184" s="65">
        <v>0.0</v>
      </c>
      <c r="S184" s="65">
        <v>0.0</v>
      </c>
      <c r="T184" s="65">
        <v>0.0</v>
      </c>
      <c r="U184" s="65">
        <v>2.18708308728E-5</v>
      </c>
      <c r="V184" s="65">
        <v>0.0</v>
      </c>
      <c r="W184" s="65">
        <v>0.0</v>
      </c>
      <c r="X184" s="65">
        <v>1.750598121024E-4</v>
      </c>
      <c r="Y184" s="37">
        <v>3.0</v>
      </c>
      <c r="Z184" s="21">
        <v>0.0</v>
      </c>
      <c r="AA184" s="36">
        <v>4.0</v>
      </c>
    </row>
    <row r="185" ht="14.25" customHeight="1">
      <c r="B185" s="37">
        <v>22786.0</v>
      </c>
      <c r="C185" s="21" t="s">
        <v>262</v>
      </c>
      <c r="D185" s="21" t="s">
        <v>263</v>
      </c>
      <c r="E185" s="21" t="s">
        <v>453</v>
      </c>
      <c r="F185" s="21" t="s">
        <v>558</v>
      </c>
      <c r="G185" s="36" t="s">
        <v>974</v>
      </c>
      <c r="H185" s="21" t="s">
        <v>975</v>
      </c>
      <c r="I185" s="144" t="s">
        <v>976</v>
      </c>
      <c r="J185" s="36" t="b">
        <v>1</v>
      </c>
      <c r="K185" s="119">
        <v>1.92414356788E-5</v>
      </c>
      <c r="L185" s="65">
        <v>2.61322407525E-5</v>
      </c>
      <c r="M185" s="65">
        <v>0.974843409769079</v>
      </c>
      <c r="N185" s="65">
        <v>0.645393774089163</v>
      </c>
      <c r="O185" s="66">
        <v>0.985052883655956</v>
      </c>
      <c r="P185" s="65">
        <v>0.973866624173372</v>
      </c>
      <c r="Q185" s="65">
        <v>2.26716241951E-5</v>
      </c>
      <c r="R185" s="65">
        <v>0.0</v>
      </c>
      <c r="S185" s="65">
        <v>0.0</v>
      </c>
      <c r="T185" s="65">
        <v>7.5919191612E-6</v>
      </c>
      <c r="U185" s="65">
        <v>2.18727443732E-5</v>
      </c>
      <c r="V185" s="65">
        <v>0.0</v>
      </c>
      <c r="W185" s="65">
        <v>0.0</v>
      </c>
      <c r="X185" s="65">
        <v>1.767721407106E-4</v>
      </c>
      <c r="Y185" s="37">
        <v>3.0</v>
      </c>
      <c r="Z185" s="21">
        <v>0.0</v>
      </c>
      <c r="AA185" s="36">
        <v>4.0</v>
      </c>
    </row>
    <row r="186" ht="14.25" customHeight="1">
      <c r="B186" s="37">
        <v>22812.0</v>
      </c>
      <c r="C186" s="21" t="s">
        <v>262</v>
      </c>
      <c r="D186" s="21" t="s">
        <v>263</v>
      </c>
      <c r="E186" s="21" t="s">
        <v>494</v>
      </c>
      <c r="F186" s="21" t="s">
        <v>946</v>
      </c>
      <c r="G186" s="36" t="s">
        <v>977</v>
      </c>
      <c r="H186" s="21" t="s">
        <v>978</v>
      </c>
      <c r="I186" s="144" t="s">
        <v>979</v>
      </c>
      <c r="J186" s="36" t="b">
        <v>1</v>
      </c>
      <c r="K186" s="119">
        <v>5.34462385121E-5</v>
      </c>
      <c r="L186" s="65">
        <v>2.74586975424E-5</v>
      </c>
      <c r="M186" s="65">
        <v>2.48125959764E-5</v>
      </c>
      <c r="N186" s="65">
        <v>0.0049239779443577</v>
      </c>
      <c r="O186" s="66">
        <v>2.3912876070499999E-4</v>
      </c>
      <c r="P186" s="65">
        <v>0.0</v>
      </c>
      <c r="Q186" s="65">
        <v>6.78917353127E-5</v>
      </c>
      <c r="R186" s="65">
        <v>2.65142978351E-5</v>
      </c>
      <c r="S186" s="65">
        <v>0.0</v>
      </c>
      <c r="T186" s="65">
        <v>0.969919576379483</v>
      </c>
      <c r="U186" s="65">
        <v>1.095002409005E-4</v>
      </c>
      <c r="V186" s="65">
        <v>0.0</v>
      </c>
      <c r="W186" s="65">
        <v>2.820609251598E-4</v>
      </c>
      <c r="X186" s="65">
        <v>3.534193320374E-4</v>
      </c>
      <c r="Y186" s="37">
        <v>0.0</v>
      </c>
      <c r="Z186" s="21">
        <v>1.0</v>
      </c>
      <c r="AA186" s="36">
        <v>0.0</v>
      </c>
    </row>
    <row r="187" ht="14.25" customHeight="1">
      <c r="B187" s="37">
        <v>22813.0</v>
      </c>
      <c r="C187" s="21" t="s">
        <v>261</v>
      </c>
      <c r="D187" s="21" t="s">
        <v>456</v>
      </c>
      <c r="E187" s="21" t="s">
        <v>494</v>
      </c>
      <c r="F187" s="21" t="s">
        <v>543</v>
      </c>
      <c r="G187" s="36" t="s">
        <v>980</v>
      </c>
      <c r="H187" s="21" t="s">
        <v>981</v>
      </c>
      <c r="I187" s="144" t="s">
        <v>982</v>
      </c>
      <c r="J187" s="36" t="b">
        <v>1</v>
      </c>
      <c r="K187" s="119">
        <v>1.6367937882E-4</v>
      </c>
      <c r="L187" s="65">
        <v>0.0020514961477237</v>
      </c>
      <c r="M187" s="65">
        <v>0.973100916302466</v>
      </c>
      <c r="N187" s="65">
        <v>0.979422952688209</v>
      </c>
      <c r="O187" s="66">
        <v>0.98703464512859</v>
      </c>
      <c r="P187" s="65">
        <v>0.988818745987588</v>
      </c>
      <c r="Q187" s="65">
        <v>0.960581435275266</v>
      </c>
      <c r="R187" s="65">
        <v>2.121115706861E-4</v>
      </c>
      <c r="S187" s="65">
        <v>1.001903616872E-4</v>
      </c>
      <c r="T187" s="65">
        <v>1.138079377242E-4</v>
      </c>
      <c r="U187" s="65">
        <v>8.75944377532E-5</v>
      </c>
      <c r="V187" s="65">
        <v>0.0</v>
      </c>
      <c r="W187" s="65">
        <v>0.0</v>
      </c>
      <c r="X187" s="65">
        <v>0.0505127902864552</v>
      </c>
      <c r="Y187" s="37">
        <v>3.0</v>
      </c>
      <c r="Z187" s="21">
        <v>1.0</v>
      </c>
      <c r="AA187" s="36">
        <v>4.0</v>
      </c>
    </row>
    <row r="188" ht="14.25" customHeight="1">
      <c r="B188" s="37">
        <v>22882.0</v>
      </c>
      <c r="C188" s="21" t="s">
        <v>456</v>
      </c>
      <c r="D188" s="21" t="s">
        <v>261</v>
      </c>
      <c r="E188" s="21" t="s">
        <v>543</v>
      </c>
      <c r="F188" s="21" t="s">
        <v>494</v>
      </c>
      <c r="G188" s="36" t="s">
        <v>983</v>
      </c>
      <c r="H188" s="21" t="s">
        <v>984</v>
      </c>
      <c r="I188" s="144" t="s">
        <v>985</v>
      </c>
      <c r="J188" s="36" t="b">
        <v>1</v>
      </c>
      <c r="K188" s="119">
        <v>5.48167013839E-5</v>
      </c>
      <c r="L188" s="65">
        <v>7.80125919107E-5</v>
      </c>
      <c r="M188" s="65">
        <v>0.99441416387596</v>
      </c>
      <c r="N188" s="65">
        <v>0.962352203904225</v>
      </c>
      <c r="O188" s="66">
        <v>0.996246657430974</v>
      </c>
      <c r="P188" s="65">
        <v>0.999267265066862</v>
      </c>
      <c r="Q188" s="65">
        <v>1.43688483368E-4</v>
      </c>
      <c r="R188" s="65">
        <v>0.0</v>
      </c>
      <c r="S188" s="65">
        <v>0.0</v>
      </c>
      <c r="T188" s="65">
        <v>3.82087727342E-5</v>
      </c>
      <c r="U188" s="65">
        <v>0.0</v>
      </c>
      <c r="V188" s="65">
        <v>0.0</v>
      </c>
      <c r="W188" s="65">
        <v>0.0020547305501074</v>
      </c>
      <c r="X188" s="65">
        <v>0.0</v>
      </c>
      <c r="Y188" s="37">
        <v>3.0</v>
      </c>
      <c r="Z188" s="21">
        <v>0.0</v>
      </c>
      <c r="AA188" s="36">
        <v>4.0</v>
      </c>
    </row>
    <row r="189" ht="14.25" customHeight="1">
      <c r="B189" s="37">
        <v>22895.0</v>
      </c>
      <c r="C189" s="21" t="s">
        <v>261</v>
      </c>
      <c r="D189" s="21" t="s">
        <v>263</v>
      </c>
      <c r="E189" s="21" t="s">
        <v>484</v>
      </c>
      <c r="F189" s="21" t="s">
        <v>609</v>
      </c>
      <c r="G189" s="36" t="s">
        <v>986</v>
      </c>
      <c r="H189" s="21" t="s">
        <v>987</v>
      </c>
      <c r="I189" s="144" t="s">
        <v>988</v>
      </c>
      <c r="J189" s="36" t="b">
        <v>1</v>
      </c>
      <c r="K189" s="119">
        <v>8.43258485710141E-7</v>
      </c>
      <c r="L189" s="65">
        <v>2.2614738703E-6</v>
      </c>
      <c r="M189" s="65">
        <v>0.991402685891847</v>
      </c>
      <c r="N189" s="65">
        <v>3.89705524813E-5</v>
      </c>
      <c r="O189" s="66">
        <v>0.995849800774272</v>
      </c>
      <c r="P189" s="65">
        <v>0.998875022891976</v>
      </c>
      <c r="Q189" s="65">
        <v>0.0</v>
      </c>
      <c r="R189" s="65">
        <v>0.0</v>
      </c>
      <c r="S189" s="65">
        <v>0.0</v>
      </c>
      <c r="T189" s="65">
        <v>0.0</v>
      </c>
      <c r="U189" s="65">
        <v>2.20210962101E-5</v>
      </c>
      <c r="V189" s="65">
        <v>0.0</v>
      </c>
      <c r="W189" s="65">
        <v>0.0</v>
      </c>
      <c r="X189" s="65">
        <v>0.0</v>
      </c>
      <c r="Y189" s="37">
        <v>2.0</v>
      </c>
      <c r="Z189" s="21">
        <v>0.0</v>
      </c>
      <c r="AA189" s="36">
        <v>3.0</v>
      </c>
    </row>
    <row r="190" ht="14.25" customHeight="1">
      <c r="B190" s="37">
        <v>22896.0</v>
      </c>
      <c r="C190" s="21" t="s">
        <v>456</v>
      </c>
      <c r="D190" s="21" t="s">
        <v>263</v>
      </c>
      <c r="E190" s="21" t="s">
        <v>484</v>
      </c>
      <c r="F190" s="21" t="s">
        <v>465</v>
      </c>
      <c r="G190" s="36" t="s">
        <v>989</v>
      </c>
      <c r="H190" s="21" t="s">
        <v>990</v>
      </c>
      <c r="I190" s="144" t="s">
        <v>991</v>
      </c>
      <c r="J190" s="36" t="b">
        <v>1</v>
      </c>
      <c r="K190" s="119">
        <v>4.81388019012E-5</v>
      </c>
      <c r="L190" s="65">
        <v>6.5257482688E-5</v>
      </c>
      <c r="M190" s="65">
        <v>0.99454766564385</v>
      </c>
      <c r="N190" s="65">
        <v>0.0013060341741494</v>
      </c>
      <c r="O190" s="66">
        <v>0.0026870540265035</v>
      </c>
      <c r="P190" s="65">
        <v>0.998688834111291</v>
      </c>
      <c r="Q190" s="65">
        <v>4.83863163497E-5</v>
      </c>
      <c r="R190" s="65">
        <v>1.34145359912E-5</v>
      </c>
      <c r="S190" s="65">
        <v>0.0</v>
      </c>
      <c r="T190" s="65">
        <v>3.84935176916E-5</v>
      </c>
      <c r="U190" s="65">
        <v>0.0</v>
      </c>
      <c r="V190" s="65">
        <v>0.0010656720394298</v>
      </c>
      <c r="W190" s="65">
        <v>0.0</v>
      </c>
      <c r="X190" s="65">
        <v>0.0</v>
      </c>
      <c r="Y190" s="37">
        <v>1.0</v>
      </c>
      <c r="Z190" s="21">
        <v>0.0</v>
      </c>
      <c r="AA190" s="36">
        <v>2.0</v>
      </c>
    </row>
    <row r="191" ht="14.25" customHeight="1">
      <c r="B191" s="37">
        <v>22896.0</v>
      </c>
      <c r="C191" s="21" t="s">
        <v>456</v>
      </c>
      <c r="D191" s="21" t="s">
        <v>262</v>
      </c>
      <c r="E191" s="21" t="s">
        <v>484</v>
      </c>
      <c r="F191" s="21" t="s">
        <v>461</v>
      </c>
      <c r="G191" s="36" t="s">
        <v>992</v>
      </c>
      <c r="H191" s="21" t="s">
        <v>993</v>
      </c>
      <c r="I191" s="144" t="s">
        <v>994</v>
      </c>
      <c r="J191" s="36" t="b">
        <v>1</v>
      </c>
      <c r="K191" s="119">
        <v>0.0</v>
      </c>
      <c r="L191" s="65">
        <v>4.53176963111621E-7</v>
      </c>
      <c r="M191" s="65">
        <v>9.93285924064E-5</v>
      </c>
      <c r="N191" s="65">
        <v>7.582969145E-6</v>
      </c>
      <c r="O191" s="66">
        <v>0.993622833843017</v>
      </c>
      <c r="P191" s="65">
        <v>3.671264488383E-4</v>
      </c>
      <c r="Q191" s="65">
        <v>0.0</v>
      </c>
      <c r="R191" s="65">
        <v>0.0</v>
      </c>
      <c r="S191" s="65">
        <v>0.0</v>
      </c>
      <c r="T191" s="65">
        <v>0.0</v>
      </c>
      <c r="U191" s="65">
        <v>0.0</v>
      </c>
      <c r="V191" s="65">
        <v>0.0</v>
      </c>
      <c r="W191" s="65">
        <v>0.0</v>
      </c>
      <c r="X191" s="65">
        <v>0.0</v>
      </c>
      <c r="Y191" s="37">
        <v>1.0</v>
      </c>
      <c r="Z191" s="21">
        <v>0.0</v>
      </c>
      <c r="AA191" s="36">
        <v>1.0</v>
      </c>
    </row>
    <row r="192" ht="14.25" customHeight="1">
      <c r="B192" s="37">
        <v>22898.0</v>
      </c>
      <c r="C192" s="21" t="s">
        <v>261</v>
      </c>
      <c r="D192" s="21" t="s">
        <v>262</v>
      </c>
      <c r="E192" s="21" t="s">
        <v>522</v>
      </c>
      <c r="F192" s="21" t="s">
        <v>457</v>
      </c>
      <c r="G192" s="36" t="s">
        <v>995</v>
      </c>
      <c r="H192" s="21" t="s">
        <v>996</v>
      </c>
      <c r="I192" s="144" t="s">
        <v>997</v>
      </c>
      <c r="J192" s="36" t="b">
        <v>1</v>
      </c>
      <c r="K192" s="119">
        <v>5.17106475614E-5</v>
      </c>
      <c r="L192" s="65">
        <v>2.756722638902E-4</v>
      </c>
      <c r="M192" s="65">
        <v>0.995532330339709</v>
      </c>
      <c r="N192" s="65">
        <v>0.326514751258104</v>
      </c>
      <c r="O192" s="66">
        <v>0.996605707952341</v>
      </c>
      <c r="P192" s="65">
        <v>0.999423223133995</v>
      </c>
      <c r="Q192" s="65">
        <v>4.9562609967E-5</v>
      </c>
      <c r="R192" s="65">
        <v>6.73618408643E-5</v>
      </c>
      <c r="S192" s="65">
        <v>0.0</v>
      </c>
      <c r="T192" s="65">
        <v>5.46473683388E-5</v>
      </c>
      <c r="U192" s="65">
        <v>4.000088890864E-4</v>
      </c>
      <c r="V192" s="65">
        <v>0.0</v>
      </c>
      <c r="W192" s="65">
        <v>5.542213190467E-4</v>
      </c>
      <c r="X192" s="65">
        <v>6.10463341676E-5</v>
      </c>
      <c r="Y192" s="37">
        <v>3.0</v>
      </c>
      <c r="Z192" s="21">
        <v>0.0</v>
      </c>
      <c r="AA192" s="36">
        <v>4.0</v>
      </c>
    </row>
    <row r="193" ht="14.25" customHeight="1">
      <c r="B193" s="37">
        <v>22910.0</v>
      </c>
      <c r="C193" s="21" t="s">
        <v>262</v>
      </c>
      <c r="D193" s="21" t="s">
        <v>261</v>
      </c>
      <c r="E193" s="21" t="s">
        <v>543</v>
      </c>
      <c r="F193" s="21" t="s">
        <v>461</v>
      </c>
      <c r="G193" s="36" t="s">
        <v>998</v>
      </c>
      <c r="H193" s="21" t="s">
        <v>999</v>
      </c>
      <c r="I193" s="144" t="s">
        <v>1000</v>
      </c>
      <c r="J193" s="36" t="b">
        <v>1</v>
      </c>
      <c r="K193" s="119">
        <v>1.52787869322E-5</v>
      </c>
      <c r="L193" s="65">
        <v>1.8657111192E-5</v>
      </c>
      <c r="M193" s="65">
        <v>6.353106168048E-4</v>
      </c>
      <c r="N193" s="65">
        <v>0.0022527203243042</v>
      </c>
      <c r="O193" s="66">
        <v>0.995404449143926</v>
      </c>
      <c r="P193" s="65">
        <v>0.0012789392634353</v>
      </c>
      <c r="Q193" s="65">
        <v>2.256940090779E-4</v>
      </c>
      <c r="R193" s="65">
        <v>0.0</v>
      </c>
      <c r="S193" s="65">
        <v>0.0</v>
      </c>
      <c r="T193" s="65">
        <v>1.55556074075E-5</v>
      </c>
      <c r="U193" s="65">
        <v>2.22444666889E-5</v>
      </c>
      <c r="V193" s="65">
        <v>0.0</v>
      </c>
      <c r="W193" s="65">
        <v>0.0</v>
      </c>
      <c r="X193" s="65">
        <v>1.221224888563E-4</v>
      </c>
      <c r="Y193" s="37">
        <v>1.0</v>
      </c>
      <c r="Z193" s="21">
        <v>0.0</v>
      </c>
      <c r="AA193" s="36">
        <v>1.0</v>
      </c>
    </row>
    <row r="194" ht="14.25" customHeight="1">
      <c r="B194" s="37">
        <v>22916.0</v>
      </c>
      <c r="C194" s="21" t="s">
        <v>263</v>
      </c>
      <c r="D194" s="21" t="s">
        <v>456</v>
      </c>
      <c r="E194" s="21" t="s">
        <v>491</v>
      </c>
      <c r="F194" s="21" t="s">
        <v>490</v>
      </c>
      <c r="G194" s="36" t="s">
        <v>1001</v>
      </c>
      <c r="H194" s="21" t="s">
        <v>1002</v>
      </c>
      <c r="I194" s="144" t="s">
        <v>1003</v>
      </c>
      <c r="J194" s="36" t="b">
        <v>0</v>
      </c>
      <c r="K194" s="119">
        <v>1.315365162341E-4</v>
      </c>
      <c r="L194" s="65">
        <v>4.53633214522E-5</v>
      </c>
      <c r="M194" s="65">
        <v>4.63060408335E-4</v>
      </c>
      <c r="N194" s="65">
        <v>4.96714025354E-5</v>
      </c>
      <c r="O194" s="66">
        <v>0.99424459844755</v>
      </c>
      <c r="P194" s="65">
        <v>2.348336594911E-4</v>
      </c>
      <c r="Q194" s="65">
        <v>1.753814546638E-4</v>
      </c>
      <c r="R194" s="65">
        <v>1.3496551631E-5</v>
      </c>
      <c r="S194" s="65">
        <v>2.041649652919E-4</v>
      </c>
      <c r="T194" s="65">
        <v>1.55495603361E-5</v>
      </c>
      <c r="U194" s="65">
        <v>4.45117065788E-5</v>
      </c>
      <c r="V194" s="65">
        <v>0.0</v>
      </c>
      <c r="W194" s="65">
        <v>0.0</v>
      </c>
      <c r="X194" s="65">
        <v>4.281083725766E-4</v>
      </c>
      <c r="Y194" s="37">
        <v>1.0</v>
      </c>
      <c r="Z194" s="21">
        <v>0.0</v>
      </c>
      <c r="AA194" s="36">
        <v>1.0</v>
      </c>
    </row>
    <row r="195" ht="14.25" customHeight="1">
      <c r="B195" s="37">
        <v>22917.0</v>
      </c>
      <c r="C195" s="21" t="s">
        <v>456</v>
      </c>
      <c r="D195" s="21" t="s">
        <v>261</v>
      </c>
      <c r="E195" s="21" t="s">
        <v>491</v>
      </c>
      <c r="F195" s="21" t="s">
        <v>838</v>
      </c>
      <c r="G195" s="36" t="s">
        <v>1004</v>
      </c>
      <c r="H195" s="21" t="s">
        <v>1005</v>
      </c>
      <c r="I195" s="144" t="s">
        <v>1006</v>
      </c>
      <c r="J195" s="36" t="b">
        <v>1</v>
      </c>
      <c r="K195" s="119">
        <v>5.356004539447E-4</v>
      </c>
      <c r="L195" s="65">
        <v>0.996729641889748</v>
      </c>
      <c r="M195" s="65">
        <v>4.476110733713E-4</v>
      </c>
      <c r="N195" s="65">
        <v>0.293819938773715</v>
      </c>
      <c r="O195" s="66">
        <v>0.993666245774102</v>
      </c>
      <c r="P195" s="65">
        <v>2.872662697169E-4</v>
      </c>
      <c r="Q195" s="65">
        <v>0.0022329268904611</v>
      </c>
      <c r="R195" s="65">
        <v>0.996726146187042</v>
      </c>
      <c r="S195" s="65">
        <v>6.12619971411E-4</v>
      </c>
      <c r="T195" s="65">
        <v>6.145564302828E-4</v>
      </c>
      <c r="U195" s="65">
        <v>6.453335706974E-4</v>
      </c>
      <c r="V195" s="65">
        <v>0.997810918046244</v>
      </c>
      <c r="W195" s="65">
        <v>9.568545581071E-4</v>
      </c>
      <c r="X195" s="65">
        <v>0.0017742428877332</v>
      </c>
      <c r="Y195" s="37">
        <v>2.0</v>
      </c>
      <c r="Z195" s="21">
        <v>2.0</v>
      </c>
      <c r="AA195" s="36">
        <v>1.0</v>
      </c>
    </row>
    <row r="196" ht="14.25" customHeight="1">
      <c r="B196" s="37">
        <v>22917.0</v>
      </c>
      <c r="C196" s="21" t="s">
        <v>456</v>
      </c>
      <c r="D196" s="21" t="s">
        <v>262</v>
      </c>
      <c r="E196" s="21" t="s">
        <v>491</v>
      </c>
      <c r="F196" s="21" t="s">
        <v>837</v>
      </c>
      <c r="G196" s="36" t="s">
        <v>1007</v>
      </c>
      <c r="H196" s="21" t="s">
        <v>1008</v>
      </c>
      <c r="I196" s="144" t="s">
        <v>1009</v>
      </c>
      <c r="J196" s="36" t="b">
        <v>1</v>
      </c>
      <c r="K196" s="119">
        <v>3.22548609348E-5</v>
      </c>
      <c r="L196" s="65">
        <v>1.401289094826E-4</v>
      </c>
      <c r="M196" s="65">
        <v>1.579803788369E-4</v>
      </c>
      <c r="N196" s="65">
        <v>0.0487761630751178</v>
      </c>
      <c r="O196" s="66">
        <v>0.0</v>
      </c>
      <c r="P196" s="65">
        <v>7.83453462864E-5</v>
      </c>
      <c r="Q196" s="65">
        <v>0.0</v>
      </c>
      <c r="R196" s="65">
        <v>9.4698250788E-5</v>
      </c>
      <c r="S196" s="65">
        <v>0.0</v>
      </c>
      <c r="T196" s="65">
        <v>7.079067741232E-4</v>
      </c>
      <c r="U196" s="65">
        <v>0.0</v>
      </c>
      <c r="V196" s="65">
        <v>2.736352442194E-4</v>
      </c>
      <c r="W196" s="65">
        <v>0.995389700765483</v>
      </c>
      <c r="X196" s="65">
        <v>0.0</v>
      </c>
      <c r="Y196" s="37">
        <v>0.0</v>
      </c>
      <c r="Z196" s="21">
        <v>1.0</v>
      </c>
      <c r="AA196" s="36">
        <v>0.0</v>
      </c>
    </row>
    <row r="197" ht="14.25" customHeight="1">
      <c r="B197" s="37">
        <v>22926.0</v>
      </c>
      <c r="C197" s="21" t="s">
        <v>456</v>
      </c>
      <c r="D197" s="21" t="s">
        <v>263</v>
      </c>
      <c r="E197" s="21" t="s">
        <v>490</v>
      </c>
      <c r="F197" s="21" t="s">
        <v>587</v>
      </c>
      <c r="G197" s="36" t="s">
        <v>1010</v>
      </c>
      <c r="H197" s="21" t="s">
        <v>1011</v>
      </c>
      <c r="I197" s="144" t="s">
        <v>1012</v>
      </c>
      <c r="J197" s="36" t="b">
        <v>1</v>
      </c>
      <c r="K197" s="119">
        <v>9.3334634361E-6</v>
      </c>
      <c r="L197" s="65">
        <v>3.8694220289E-6</v>
      </c>
      <c r="M197" s="65">
        <v>4.21735176667E-5</v>
      </c>
      <c r="N197" s="65">
        <v>1.803490159331E-4</v>
      </c>
      <c r="O197" s="66">
        <v>0.910433372593943</v>
      </c>
      <c r="P197" s="65">
        <v>5.23944252331E-5</v>
      </c>
      <c r="Q197" s="65">
        <v>0.0</v>
      </c>
      <c r="R197" s="65">
        <v>0.0</v>
      </c>
      <c r="S197" s="65">
        <v>0.0</v>
      </c>
      <c r="T197" s="65">
        <v>0.0</v>
      </c>
      <c r="U197" s="65">
        <v>2.22405088628E-5</v>
      </c>
      <c r="V197" s="65">
        <v>0.0</v>
      </c>
      <c r="W197" s="65">
        <v>0.0</v>
      </c>
      <c r="X197" s="65">
        <v>0.0</v>
      </c>
      <c r="Y197" s="37">
        <v>1.0</v>
      </c>
      <c r="Z197" s="21">
        <v>0.0</v>
      </c>
      <c r="AA197" s="36">
        <v>1.0</v>
      </c>
    </row>
    <row r="198" ht="14.25" customHeight="1">
      <c r="B198" s="37">
        <v>22927.0</v>
      </c>
      <c r="C198" s="21" t="s">
        <v>261</v>
      </c>
      <c r="D198" s="21" t="s">
        <v>456</v>
      </c>
      <c r="E198" s="21" t="s">
        <v>490</v>
      </c>
      <c r="F198" s="21" t="s">
        <v>477</v>
      </c>
      <c r="G198" s="36" t="s">
        <v>1013</v>
      </c>
      <c r="H198" s="21" t="s">
        <v>1014</v>
      </c>
      <c r="I198" s="144" t="s">
        <v>1015</v>
      </c>
      <c r="J198" s="36" t="b">
        <v>1</v>
      </c>
      <c r="K198" s="119">
        <v>7.083991536538E-4</v>
      </c>
      <c r="L198" s="65">
        <v>4.124926340601E-4</v>
      </c>
      <c r="M198" s="65">
        <v>0.085273137840433</v>
      </c>
      <c r="N198" s="65">
        <v>1.450580214438E-4</v>
      </c>
      <c r="O198" s="66">
        <v>7.39639023998E-4</v>
      </c>
      <c r="P198" s="65">
        <v>0.997738399318859</v>
      </c>
      <c r="Q198" s="65">
        <v>2.001601281024E-4</v>
      </c>
      <c r="R198" s="65">
        <v>8.763769229732E-4</v>
      </c>
      <c r="S198" s="65">
        <v>0.0</v>
      </c>
      <c r="T198" s="65">
        <v>1.087741925458E-4</v>
      </c>
      <c r="U198" s="65">
        <v>1.112025443142E-4</v>
      </c>
      <c r="V198" s="65">
        <v>0.0</v>
      </c>
      <c r="W198" s="65">
        <v>0.0</v>
      </c>
      <c r="X198" s="65">
        <v>3.053808098699E-4</v>
      </c>
      <c r="Y198" s="37">
        <v>0.0</v>
      </c>
      <c r="Z198" s="21">
        <v>0.0</v>
      </c>
      <c r="AA198" s="36">
        <v>1.0</v>
      </c>
    </row>
    <row r="199" ht="14.25" customHeight="1">
      <c r="B199" s="37">
        <v>22930.0</v>
      </c>
      <c r="C199" s="21" t="s">
        <v>456</v>
      </c>
      <c r="D199" s="21" t="s">
        <v>262</v>
      </c>
      <c r="E199" s="21" t="s">
        <v>477</v>
      </c>
      <c r="F199" s="21" t="s">
        <v>527</v>
      </c>
      <c r="G199" s="36" t="s">
        <v>1016</v>
      </c>
      <c r="H199" s="21" t="s">
        <v>1017</v>
      </c>
      <c r="I199" s="144" t="s">
        <v>1018</v>
      </c>
      <c r="J199" s="36" t="b">
        <v>1</v>
      </c>
      <c r="K199" s="119">
        <v>8.48423967637716E-7</v>
      </c>
      <c r="L199" s="65">
        <v>3.8681709149E-6</v>
      </c>
      <c r="M199" s="65">
        <v>0.0018010558459161</v>
      </c>
      <c r="N199" s="65">
        <v>2.8256180421E-6</v>
      </c>
      <c r="O199" s="66">
        <v>0.0025803339965032</v>
      </c>
      <c r="P199" s="65">
        <v>0.997975978055341</v>
      </c>
      <c r="Q199" s="65">
        <v>0.0</v>
      </c>
      <c r="R199" s="65">
        <v>0.0</v>
      </c>
      <c r="S199" s="65">
        <v>0.0</v>
      </c>
      <c r="T199" s="65">
        <v>0.0</v>
      </c>
      <c r="U199" s="65">
        <v>0.0</v>
      </c>
      <c r="V199" s="65">
        <v>0.0</v>
      </c>
      <c r="W199" s="65">
        <v>0.0</v>
      </c>
      <c r="X199" s="65">
        <v>0.0</v>
      </c>
      <c r="Y199" s="37">
        <v>0.0</v>
      </c>
      <c r="Z199" s="21">
        <v>0.0</v>
      </c>
      <c r="AA199" s="36">
        <v>1.0</v>
      </c>
    </row>
    <row r="200" ht="14.25" customHeight="1">
      <c r="B200" s="37">
        <v>22942.0</v>
      </c>
      <c r="C200" s="21" t="s">
        <v>456</v>
      </c>
      <c r="D200" s="21" t="s">
        <v>261</v>
      </c>
      <c r="E200" s="21" t="s">
        <v>543</v>
      </c>
      <c r="F200" s="21" t="s">
        <v>494</v>
      </c>
      <c r="G200" s="36" t="s">
        <v>1019</v>
      </c>
      <c r="H200" s="21" t="s">
        <v>1020</v>
      </c>
      <c r="I200" s="144" t="s">
        <v>1021</v>
      </c>
      <c r="J200" s="36" t="b">
        <v>1</v>
      </c>
      <c r="K200" s="119">
        <v>1.61117169493E-5</v>
      </c>
      <c r="L200" s="65">
        <v>5.2306143765E-6</v>
      </c>
      <c r="M200" s="65">
        <v>0.99457201070799</v>
      </c>
      <c r="N200" s="65">
        <v>0.0054222025034847</v>
      </c>
      <c r="O200" s="66">
        <v>7.694352908948E-4</v>
      </c>
      <c r="P200" s="65">
        <v>0.998690242305173</v>
      </c>
      <c r="Q200" s="65">
        <v>4.98256103637E-5</v>
      </c>
      <c r="R200" s="65">
        <v>1.34758176452E-5</v>
      </c>
      <c r="S200" s="65">
        <v>0.0</v>
      </c>
      <c r="T200" s="65">
        <v>7.7565077099E-6</v>
      </c>
      <c r="U200" s="65">
        <v>2.22276556491E-5</v>
      </c>
      <c r="V200" s="65">
        <v>0.0</v>
      </c>
      <c r="W200" s="65">
        <v>0.0</v>
      </c>
      <c r="X200" s="65">
        <v>0.0</v>
      </c>
      <c r="Y200" s="37">
        <v>1.0</v>
      </c>
      <c r="Z200" s="21">
        <v>0.0</v>
      </c>
      <c r="AA200" s="36">
        <v>2.0</v>
      </c>
    </row>
    <row r="201" ht="14.25" customHeight="1">
      <c r="B201" s="37">
        <v>22942.0</v>
      </c>
      <c r="C201" s="21" t="s">
        <v>456</v>
      </c>
      <c r="D201" s="21" t="s">
        <v>262</v>
      </c>
      <c r="E201" s="21" t="s">
        <v>543</v>
      </c>
      <c r="F201" s="21" t="s">
        <v>452</v>
      </c>
      <c r="G201" s="36" t="s">
        <v>1022</v>
      </c>
      <c r="H201" s="21" t="s">
        <v>1020</v>
      </c>
      <c r="I201" s="144" t="s">
        <v>1021</v>
      </c>
      <c r="J201" s="36" t="b">
        <v>1</v>
      </c>
      <c r="K201" s="119">
        <v>8.47985102597717E-7</v>
      </c>
      <c r="L201" s="65">
        <v>3.4112702456E-6</v>
      </c>
      <c r="M201" s="65">
        <v>2.589790411961E-4</v>
      </c>
      <c r="N201" s="65">
        <v>0.0042761977238836</v>
      </c>
      <c r="O201" s="66">
        <v>0.993622952536719</v>
      </c>
      <c r="P201" s="65">
        <v>5.500982318271E-4</v>
      </c>
      <c r="Q201" s="65">
        <v>0.0</v>
      </c>
      <c r="R201" s="65">
        <v>0.0</v>
      </c>
      <c r="S201" s="65">
        <v>0.0</v>
      </c>
      <c r="T201" s="65">
        <v>0.0</v>
      </c>
      <c r="U201" s="65">
        <v>0.0</v>
      </c>
      <c r="V201" s="65">
        <v>0.0</v>
      </c>
      <c r="W201" s="65">
        <v>0.0</v>
      </c>
      <c r="X201" s="65">
        <v>0.0</v>
      </c>
      <c r="Y201" s="37">
        <v>1.0</v>
      </c>
      <c r="Z201" s="21">
        <v>0.0</v>
      </c>
      <c r="AA201" s="36">
        <v>1.0</v>
      </c>
    </row>
    <row r="202" ht="14.25" customHeight="1">
      <c r="B202" s="37">
        <v>22992.0</v>
      </c>
      <c r="C202" s="21" t="s">
        <v>261</v>
      </c>
      <c r="D202" s="21" t="s">
        <v>262</v>
      </c>
      <c r="E202" s="21" t="s">
        <v>558</v>
      </c>
      <c r="F202" s="21" t="s">
        <v>592</v>
      </c>
      <c r="G202" s="36" t="s">
        <v>1023</v>
      </c>
      <c r="H202" s="21" t="s">
        <v>1024</v>
      </c>
      <c r="I202" s="144" t="s">
        <v>1025</v>
      </c>
      <c r="J202" s="36" t="b">
        <v>1</v>
      </c>
      <c r="K202" s="119">
        <v>1.162410857087E-4</v>
      </c>
      <c r="L202" s="65">
        <v>4.993074269478E-4</v>
      </c>
      <c r="M202" s="65">
        <v>0.989081939579515</v>
      </c>
      <c r="N202" s="65">
        <v>0.992524954076723</v>
      </c>
      <c r="O202" s="66">
        <v>0.993759351994094</v>
      </c>
      <c r="P202" s="65">
        <v>0.997593445980542</v>
      </c>
      <c r="Q202" s="65">
        <v>4.723665564478E-4</v>
      </c>
      <c r="R202" s="65">
        <v>8.10241451952E-5</v>
      </c>
      <c r="S202" s="65">
        <v>3.059039461609E-4</v>
      </c>
      <c r="T202" s="65">
        <v>2.719946533622E-4</v>
      </c>
      <c r="U202" s="65">
        <v>0.384059099708506</v>
      </c>
      <c r="V202" s="65">
        <v>2.705627705627E-4</v>
      </c>
      <c r="W202" s="65">
        <v>0.002601231249458</v>
      </c>
      <c r="X202" s="65">
        <v>6.07053967097E-5</v>
      </c>
      <c r="Y202" s="37">
        <v>3.0</v>
      </c>
      <c r="Z202" s="21">
        <v>1.0</v>
      </c>
      <c r="AA202" s="36">
        <v>4.0</v>
      </c>
    </row>
    <row r="203" ht="14.25" customHeight="1">
      <c r="B203" s="37">
        <v>22995.0</v>
      </c>
      <c r="C203" s="21" t="s">
        <v>263</v>
      </c>
      <c r="D203" s="21" t="s">
        <v>262</v>
      </c>
      <c r="E203" s="21" t="s">
        <v>497</v>
      </c>
      <c r="F203" s="21" t="s">
        <v>452</v>
      </c>
      <c r="G203" s="36" t="s">
        <v>1026</v>
      </c>
      <c r="H203" s="21" t="s">
        <v>1027</v>
      </c>
      <c r="I203" s="144" t="s">
        <v>1028</v>
      </c>
      <c r="J203" s="36" t="b">
        <v>1</v>
      </c>
      <c r="K203" s="119">
        <v>1.96064950971E-4</v>
      </c>
      <c r="L203" s="65">
        <v>0.997569696376948</v>
      </c>
      <c r="M203" s="65">
        <v>0.966406060386984</v>
      </c>
      <c r="N203" s="65">
        <v>0.994303962203176</v>
      </c>
      <c r="O203" s="66">
        <v>0.992879222345583</v>
      </c>
      <c r="P203" s="65">
        <v>0.990258408531583</v>
      </c>
      <c r="Q203" s="65">
        <v>0.0021184856566059</v>
      </c>
      <c r="R203" s="65">
        <v>4.055698256049E-4</v>
      </c>
      <c r="S203" s="65">
        <v>7.142857142857E-4</v>
      </c>
      <c r="T203" s="65">
        <v>5.909659961276E-4</v>
      </c>
      <c r="U203" s="65">
        <v>8.89640140563E-5</v>
      </c>
      <c r="V203" s="65">
        <v>0.0034018233773302</v>
      </c>
      <c r="W203" s="65">
        <v>5.202913631633E-4</v>
      </c>
      <c r="X203" s="65">
        <v>0.0011531925224569</v>
      </c>
      <c r="Y203" s="37">
        <v>4.0</v>
      </c>
      <c r="Z203" s="21">
        <v>0.0</v>
      </c>
      <c r="AA203" s="36">
        <v>4.0</v>
      </c>
    </row>
    <row r="204" ht="14.25" customHeight="1">
      <c r="B204" s="37">
        <v>23005.0</v>
      </c>
      <c r="C204" s="21" t="s">
        <v>456</v>
      </c>
      <c r="D204" s="21" t="s">
        <v>262</v>
      </c>
      <c r="E204" s="21" t="s">
        <v>543</v>
      </c>
      <c r="F204" s="21" t="s">
        <v>452</v>
      </c>
      <c r="G204" s="36" t="s">
        <v>1029</v>
      </c>
      <c r="H204" s="21" t="s">
        <v>1030</v>
      </c>
      <c r="I204" s="144" t="s">
        <v>1031</v>
      </c>
      <c r="J204" s="36" t="b">
        <v>1</v>
      </c>
      <c r="K204" s="119">
        <v>1.61256510731E-5</v>
      </c>
      <c r="L204" s="65">
        <v>4.04668694556E-5</v>
      </c>
      <c r="M204" s="65">
        <v>8.429644592819E-4</v>
      </c>
      <c r="N204" s="65">
        <v>3.15038381368E-5</v>
      </c>
      <c r="O204" s="66">
        <v>0.994114396130588</v>
      </c>
      <c r="P204" s="65">
        <v>0.002549784543206</v>
      </c>
      <c r="Q204" s="65">
        <v>0.0</v>
      </c>
      <c r="R204" s="65">
        <v>0.0</v>
      </c>
      <c r="S204" s="65">
        <v>0.0</v>
      </c>
      <c r="T204" s="65">
        <v>7.7583130324E-6</v>
      </c>
      <c r="U204" s="65">
        <v>0.0</v>
      </c>
      <c r="V204" s="65">
        <v>0.0</v>
      </c>
      <c r="W204" s="65">
        <v>0.0</v>
      </c>
      <c r="X204" s="65">
        <v>1.211020284589E-4</v>
      </c>
      <c r="Y204" s="37">
        <v>1.0</v>
      </c>
      <c r="Z204" s="21">
        <v>0.0</v>
      </c>
      <c r="AA204" s="36">
        <v>1.0</v>
      </c>
    </row>
    <row r="205" ht="14.25" customHeight="1">
      <c r="B205" s="37">
        <v>23012.0</v>
      </c>
      <c r="C205" s="21" t="s">
        <v>261</v>
      </c>
      <c r="D205" s="21" t="s">
        <v>263</v>
      </c>
      <c r="E205" s="21" t="s">
        <v>679</v>
      </c>
      <c r="F205" s="21" t="s">
        <v>551</v>
      </c>
      <c r="G205" s="36" t="s">
        <v>1032</v>
      </c>
      <c r="H205" s="21" t="s">
        <v>1033</v>
      </c>
      <c r="I205" s="144" t="s">
        <v>1034</v>
      </c>
      <c r="J205" s="36" t="b">
        <v>1</v>
      </c>
      <c r="K205" s="119">
        <v>3.761594712369E-4</v>
      </c>
      <c r="L205" s="65">
        <v>0.0034295934076502</v>
      </c>
      <c r="M205" s="65">
        <v>5.1386009131E-6</v>
      </c>
      <c r="N205" s="65">
        <v>5.66128591095E-5</v>
      </c>
      <c r="O205" s="66">
        <v>4.0609466878E-6</v>
      </c>
      <c r="P205" s="65">
        <v>0.0</v>
      </c>
      <c r="Q205" s="65">
        <v>0.0</v>
      </c>
      <c r="R205" s="65">
        <v>2.838298102394E-4</v>
      </c>
      <c r="S205" s="65">
        <v>0.0</v>
      </c>
      <c r="T205" s="65">
        <v>0.0</v>
      </c>
      <c r="U205" s="65">
        <v>1.558360604643E-4</v>
      </c>
      <c r="V205" s="65">
        <v>0.994541484716157</v>
      </c>
      <c r="W205" s="65">
        <v>0.0</v>
      </c>
      <c r="X205" s="65">
        <v>0.0</v>
      </c>
      <c r="Y205" s="37">
        <v>0.0</v>
      </c>
      <c r="Z205" s="21">
        <v>1.0</v>
      </c>
      <c r="AA205" s="36">
        <v>0.0</v>
      </c>
    </row>
    <row r="206" ht="14.25" customHeight="1">
      <c r="B206" s="37">
        <v>23012.0</v>
      </c>
      <c r="C206" s="21" t="s">
        <v>261</v>
      </c>
      <c r="D206" s="21" t="s">
        <v>262</v>
      </c>
      <c r="E206" s="21" t="s">
        <v>679</v>
      </c>
      <c r="F206" s="21" t="s">
        <v>452</v>
      </c>
      <c r="G206" s="36" t="s">
        <v>1035</v>
      </c>
      <c r="H206" s="21" t="s">
        <v>1036</v>
      </c>
      <c r="I206" s="144" t="s">
        <v>1037</v>
      </c>
      <c r="J206" s="36" t="b">
        <v>1</v>
      </c>
      <c r="K206" s="119">
        <v>0.0039764216790128</v>
      </c>
      <c r="L206" s="65">
        <v>5.33401361333E-4</v>
      </c>
      <c r="M206" s="65">
        <v>1.644352292201E-4</v>
      </c>
      <c r="N206" s="65">
        <v>4.650341998281E-4</v>
      </c>
      <c r="O206" s="66">
        <v>0.966773334199668</v>
      </c>
      <c r="P206" s="65">
        <v>5.08181725785E-5</v>
      </c>
      <c r="Q206" s="65">
        <v>0.979160382101558</v>
      </c>
      <c r="R206" s="65">
        <v>2.432826944909E-4</v>
      </c>
      <c r="S206" s="65">
        <v>0.993363283643046</v>
      </c>
      <c r="T206" s="65">
        <v>0.991423657319854</v>
      </c>
      <c r="U206" s="65">
        <v>0.560965293083105</v>
      </c>
      <c r="V206" s="65">
        <v>1.36462882096E-4</v>
      </c>
      <c r="W206" s="65">
        <v>0.001647589316684</v>
      </c>
      <c r="X206" s="65">
        <v>0.991169305724726</v>
      </c>
      <c r="Y206" s="37">
        <v>1.0</v>
      </c>
      <c r="Z206" s="21">
        <v>5.0</v>
      </c>
      <c r="AA206" s="36">
        <v>1.0</v>
      </c>
    </row>
    <row r="207" ht="14.25" customHeight="1">
      <c r="B207" s="37">
        <v>23013.0</v>
      </c>
      <c r="C207" s="21" t="s">
        <v>262</v>
      </c>
      <c r="D207" s="21" t="s">
        <v>263</v>
      </c>
      <c r="E207" s="21" t="s">
        <v>679</v>
      </c>
      <c r="F207" s="21" t="s">
        <v>512</v>
      </c>
      <c r="G207" s="36" t="s">
        <v>1038</v>
      </c>
      <c r="H207" s="21" t="s">
        <v>1039</v>
      </c>
      <c r="I207" s="144" t="s">
        <v>1040</v>
      </c>
      <c r="J207" s="36" t="b">
        <v>1</v>
      </c>
      <c r="K207" s="119">
        <v>3.56518041086E-5</v>
      </c>
      <c r="L207" s="65">
        <v>0.0010066246724434</v>
      </c>
      <c r="M207" s="65">
        <v>0.993161448932594</v>
      </c>
      <c r="N207" s="65">
        <v>0.99245860491478</v>
      </c>
      <c r="O207" s="66">
        <v>0.0021477333742425</v>
      </c>
      <c r="P207" s="65">
        <v>0.997985053689392</v>
      </c>
      <c r="Q207" s="65">
        <v>0.0</v>
      </c>
      <c r="R207" s="65">
        <v>1.35140613808E-5</v>
      </c>
      <c r="S207" s="65">
        <v>0.0</v>
      </c>
      <c r="T207" s="65">
        <v>2.33060393716E-5</v>
      </c>
      <c r="U207" s="65">
        <v>8.89659927492E-5</v>
      </c>
      <c r="V207" s="65">
        <v>0.0</v>
      </c>
      <c r="W207" s="65">
        <v>0.0</v>
      </c>
      <c r="X207" s="65">
        <v>0.0</v>
      </c>
      <c r="Y207" s="37">
        <v>2.0</v>
      </c>
      <c r="Z207" s="21">
        <v>0.0</v>
      </c>
      <c r="AA207" s="36">
        <v>3.0</v>
      </c>
    </row>
    <row r="208" ht="14.25" customHeight="1">
      <c r="B208" s="37">
        <v>23018.0</v>
      </c>
      <c r="C208" s="21" t="s">
        <v>456</v>
      </c>
      <c r="D208" s="21" t="s">
        <v>263</v>
      </c>
      <c r="E208" s="21" t="s">
        <v>477</v>
      </c>
      <c r="F208" s="21" t="s">
        <v>609</v>
      </c>
      <c r="G208" s="36" t="s">
        <v>1041</v>
      </c>
      <c r="H208" s="21" t="s">
        <v>1042</v>
      </c>
      <c r="I208" s="144" t="s">
        <v>1043</v>
      </c>
      <c r="J208" s="36" t="b">
        <v>1</v>
      </c>
      <c r="K208" s="119">
        <v>1.35834499246E-5</v>
      </c>
      <c r="L208" s="65">
        <v>6.3577236806E-6</v>
      </c>
      <c r="M208" s="65">
        <v>0.991872745672989</v>
      </c>
      <c r="N208" s="65">
        <v>4.6989946735E-5</v>
      </c>
      <c r="O208" s="66">
        <v>0.995588630789671</v>
      </c>
      <c r="P208" s="65">
        <v>0.997198736884995</v>
      </c>
      <c r="Q208" s="65">
        <v>2.48539828507E-5</v>
      </c>
      <c r="R208" s="65">
        <v>0.0</v>
      </c>
      <c r="S208" s="65">
        <v>0.0</v>
      </c>
      <c r="T208" s="65">
        <v>7.7607214366E-6</v>
      </c>
      <c r="U208" s="65">
        <v>0.0</v>
      </c>
      <c r="V208" s="65">
        <v>0.0</v>
      </c>
      <c r="W208" s="65">
        <v>8.67227473766E-5</v>
      </c>
      <c r="X208" s="65">
        <v>0.0</v>
      </c>
      <c r="Y208" s="37">
        <v>2.0</v>
      </c>
      <c r="Z208" s="21">
        <v>0.0</v>
      </c>
      <c r="AA208" s="36">
        <v>3.0</v>
      </c>
    </row>
    <row r="209" ht="14.25" customHeight="1">
      <c r="B209" s="37">
        <v>23019.0</v>
      </c>
      <c r="C209" s="21" t="s">
        <v>456</v>
      </c>
      <c r="D209" s="21" t="s">
        <v>263</v>
      </c>
      <c r="E209" s="21" t="s">
        <v>477</v>
      </c>
      <c r="F209" s="21" t="s">
        <v>469</v>
      </c>
      <c r="G209" s="36" t="s">
        <v>1044</v>
      </c>
      <c r="H209" s="21" t="s">
        <v>1045</v>
      </c>
      <c r="I209" s="144" t="s">
        <v>1046</v>
      </c>
      <c r="J209" s="36" t="b">
        <v>1</v>
      </c>
      <c r="K209" s="119">
        <v>2.03747251534E-5</v>
      </c>
      <c r="L209" s="65">
        <v>1.22604751569E-5</v>
      </c>
      <c r="M209" s="65">
        <v>0.991775074742582</v>
      </c>
      <c r="N209" s="65">
        <v>0.0015617510391371</v>
      </c>
      <c r="O209" s="66">
        <v>0.995731981259226</v>
      </c>
      <c r="P209" s="65">
        <v>0.994703875337373</v>
      </c>
      <c r="Q209" s="65">
        <v>0.0</v>
      </c>
      <c r="R209" s="65">
        <v>0.0</v>
      </c>
      <c r="S209" s="65">
        <v>0.0</v>
      </c>
      <c r="T209" s="65">
        <v>0.0</v>
      </c>
      <c r="U209" s="65">
        <v>0.0</v>
      </c>
      <c r="V209" s="65">
        <v>0.0</v>
      </c>
      <c r="W209" s="65">
        <v>8.67077083152E-5</v>
      </c>
      <c r="X209" s="65">
        <v>0.0</v>
      </c>
      <c r="Y209" s="37">
        <v>2.0</v>
      </c>
      <c r="Z209" s="21">
        <v>0.0</v>
      </c>
      <c r="AA209" s="36">
        <v>3.0</v>
      </c>
    </row>
    <row r="210" ht="14.25" customHeight="1">
      <c r="B210" s="37">
        <v>23031.0</v>
      </c>
      <c r="C210" s="21" t="s">
        <v>456</v>
      </c>
      <c r="D210" s="21" t="s">
        <v>263</v>
      </c>
      <c r="E210" s="21" t="s">
        <v>477</v>
      </c>
      <c r="F210" s="21" t="s">
        <v>469</v>
      </c>
      <c r="G210" s="36" t="s">
        <v>1047</v>
      </c>
      <c r="H210" s="21" t="s">
        <v>1048</v>
      </c>
      <c r="I210" s="144" t="s">
        <v>1049</v>
      </c>
      <c r="J210" s="36" t="b">
        <v>1</v>
      </c>
      <c r="K210" s="119">
        <v>0.0040432741445044</v>
      </c>
      <c r="L210" s="65">
        <v>3.71663096944E-4</v>
      </c>
      <c r="M210" s="65">
        <v>0.994293052523436</v>
      </c>
      <c r="N210" s="65">
        <v>6.882200481916E-4</v>
      </c>
      <c r="O210" s="66">
        <v>9.815950920245E-4</v>
      </c>
      <c r="P210" s="65">
        <v>0.998248553152604</v>
      </c>
      <c r="Q210" s="65">
        <v>1.491980604252E-4</v>
      </c>
      <c r="R210" s="65">
        <v>1.89350392902E-4</v>
      </c>
      <c r="S210" s="65">
        <v>0.0</v>
      </c>
      <c r="T210" s="65">
        <v>6.682466296281E-4</v>
      </c>
      <c r="U210" s="65">
        <v>6.6706690681E-5</v>
      </c>
      <c r="V210" s="65">
        <v>0.0</v>
      </c>
      <c r="W210" s="65">
        <v>0.991141988710377</v>
      </c>
      <c r="X210" s="65">
        <v>3.027367401307E-4</v>
      </c>
      <c r="Y210" s="37">
        <v>1.0</v>
      </c>
      <c r="Z210" s="21">
        <v>1.0</v>
      </c>
      <c r="AA210" s="36">
        <v>2.0</v>
      </c>
    </row>
    <row r="211" ht="14.25" customHeight="1">
      <c r="B211" s="37">
        <v>23040.0</v>
      </c>
      <c r="C211" s="21" t="s">
        <v>262</v>
      </c>
      <c r="D211" s="21" t="s">
        <v>261</v>
      </c>
      <c r="E211" s="21" t="s">
        <v>551</v>
      </c>
      <c r="F211" s="21" t="s">
        <v>650</v>
      </c>
      <c r="G211" s="36" t="s">
        <v>1050</v>
      </c>
      <c r="H211" s="21" t="s">
        <v>1051</v>
      </c>
      <c r="I211" s="144" t="s">
        <v>1052</v>
      </c>
      <c r="J211" s="36" t="b">
        <v>1</v>
      </c>
      <c r="K211" s="119">
        <v>2.052517302211E-4</v>
      </c>
      <c r="L211" s="65">
        <v>6.11303756382E-5</v>
      </c>
      <c r="M211" s="65">
        <v>2.04404926158E-5</v>
      </c>
      <c r="N211" s="65">
        <v>0.715116622360424</v>
      </c>
      <c r="O211" s="66">
        <v>1.58198436208E-5</v>
      </c>
      <c r="P211" s="65">
        <v>2.53491850237E-5</v>
      </c>
      <c r="Q211" s="65">
        <v>0.0</v>
      </c>
      <c r="R211" s="65">
        <v>0.0</v>
      </c>
      <c r="S211" s="65">
        <v>0.0</v>
      </c>
      <c r="T211" s="65">
        <v>3.88397781471E-5</v>
      </c>
      <c r="U211" s="65">
        <v>6.67096573347E-5</v>
      </c>
      <c r="V211" s="65">
        <v>0.0</v>
      </c>
      <c r="W211" s="65">
        <v>0.0</v>
      </c>
      <c r="X211" s="65">
        <v>0.0</v>
      </c>
      <c r="Y211" s="37">
        <v>1.0</v>
      </c>
      <c r="Z211" s="21">
        <v>0.0</v>
      </c>
      <c r="AA211" s="36">
        <v>1.0</v>
      </c>
    </row>
    <row r="212" ht="14.25" customHeight="1">
      <c r="B212" s="37">
        <v>23048.0</v>
      </c>
      <c r="C212" s="21" t="s">
        <v>261</v>
      </c>
      <c r="D212" s="21" t="s">
        <v>262</v>
      </c>
      <c r="E212" s="21" t="s">
        <v>522</v>
      </c>
      <c r="F212" s="21" t="s">
        <v>457</v>
      </c>
      <c r="G212" s="36" t="s">
        <v>1053</v>
      </c>
      <c r="H212" s="21" t="s">
        <v>1054</v>
      </c>
      <c r="I212" s="144" t="s">
        <v>1055</v>
      </c>
      <c r="J212" s="36" t="b">
        <v>1</v>
      </c>
      <c r="K212" s="119">
        <v>4.103642406565E-4</v>
      </c>
      <c r="L212" s="65">
        <v>4.5547607498E-5</v>
      </c>
      <c r="M212" s="65">
        <v>4.34220676056E-5</v>
      </c>
      <c r="N212" s="65">
        <v>0.368013917782808</v>
      </c>
      <c r="O212" s="66">
        <v>3.9544917094E-6</v>
      </c>
      <c r="P212" s="65">
        <v>2.53466149595E-5</v>
      </c>
      <c r="Q212" s="65">
        <v>1.491980604252E-4</v>
      </c>
      <c r="R212" s="65">
        <v>0.0</v>
      </c>
      <c r="S212" s="65">
        <v>0.0</v>
      </c>
      <c r="T212" s="65">
        <v>3.88072212477E-5</v>
      </c>
      <c r="U212" s="65">
        <v>0.0</v>
      </c>
      <c r="V212" s="65">
        <v>0.0</v>
      </c>
      <c r="W212" s="65">
        <v>8.67001907404E-5</v>
      </c>
      <c r="X212" s="65">
        <v>6.05583479682E-5</v>
      </c>
      <c r="Y212" s="37">
        <v>1.0</v>
      </c>
      <c r="Z212" s="21">
        <v>0.0</v>
      </c>
      <c r="AA212" s="36">
        <v>1.0</v>
      </c>
    </row>
    <row r="213" ht="14.25" customHeight="1">
      <c r="B213" s="37">
        <v>23055.0</v>
      </c>
      <c r="C213" s="21" t="s">
        <v>262</v>
      </c>
      <c r="D213" s="21" t="s">
        <v>261</v>
      </c>
      <c r="E213" s="21" t="s">
        <v>551</v>
      </c>
      <c r="F213" s="21" t="s">
        <v>650</v>
      </c>
      <c r="G213" s="36" t="s">
        <v>1056</v>
      </c>
      <c r="H213" s="21" t="s">
        <v>1057</v>
      </c>
      <c r="I213" s="144" t="s">
        <v>1058</v>
      </c>
      <c r="J213" s="36" t="b">
        <v>1</v>
      </c>
      <c r="K213" s="119">
        <v>2.79940957907E-5</v>
      </c>
      <c r="L213" s="65">
        <v>9.75278189498E-5</v>
      </c>
      <c r="M213" s="65">
        <v>0.996838693771892</v>
      </c>
      <c r="N213" s="65">
        <v>0.995088150205971</v>
      </c>
      <c r="O213" s="66">
        <v>0.998464044119425</v>
      </c>
      <c r="P213" s="65">
        <v>0.998374396748793</v>
      </c>
      <c r="Q213" s="65">
        <v>7.47905863581E-5</v>
      </c>
      <c r="R213" s="65">
        <v>1.35239305951E-5</v>
      </c>
      <c r="S213" s="65">
        <v>0.0</v>
      </c>
      <c r="T213" s="65">
        <v>5.44209225123E-5</v>
      </c>
      <c r="U213" s="65">
        <v>0.0</v>
      </c>
      <c r="V213" s="65">
        <v>0.0</v>
      </c>
      <c r="W213" s="65">
        <v>0.0</v>
      </c>
      <c r="X213" s="65">
        <v>1.818181818181E-4</v>
      </c>
      <c r="Y213" s="37">
        <v>3.0</v>
      </c>
      <c r="Z213" s="21">
        <v>0.0</v>
      </c>
      <c r="AA213" s="36">
        <v>4.0</v>
      </c>
    </row>
    <row r="214" ht="14.25" customHeight="1">
      <c r="B214" s="37">
        <v>23063.0</v>
      </c>
      <c r="C214" s="21" t="s">
        <v>262</v>
      </c>
      <c r="D214" s="21" t="s">
        <v>456</v>
      </c>
      <c r="E214" s="21" t="s">
        <v>543</v>
      </c>
      <c r="F214" s="21" t="s">
        <v>519</v>
      </c>
      <c r="G214" s="36" t="s">
        <v>1059</v>
      </c>
      <c r="H214" s="21" t="s">
        <v>1060</v>
      </c>
      <c r="I214" s="144" t="s">
        <v>1061</v>
      </c>
      <c r="J214" s="36" t="b">
        <v>1</v>
      </c>
      <c r="K214" s="119">
        <v>0.997284320367003</v>
      </c>
      <c r="L214" s="65">
        <v>5.221959683257E-4</v>
      </c>
      <c r="M214" s="65">
        <v>0.99797004275213</v>
      </c>
      <c r="N214" s="65">
        <v>0.995483593217961</v>
      </c>
      <c r="O214" s="66">
        <v>0.998342372499477</v>
      </c>
      <c r="P214" s="65">
        <v>0.999009272196113</v>
      </c>
      <c r="Q214" s="65">
        <v>0.984473605128718</v>
      </c>
      <c r="R214" s="65">
        <v>0.0010408781226343</v>
      </c>
      <c r="S214" s="65">
        <v>0.0018316882059631</v>
      </c>
      <c r="T214" s="65">
        <v>0.99417749305269</v>
      </c>
      <c r="U214" s="65">
        <v>0.0027124974987215</v>
      </c>
      <c r="V214" s="65">
        <v>8.081896551724E-4</v>
      </c>
      <c r="W214" s="65">
        <v>0.0014749262536873</v>
      </c>
      <c r="X214" s="65">
        <v>0.993978468462988</v>
      </c>
      <c r="Y214" s="37">
        <v>4.0</v>
      </c>
      <c r="Z214" s="21">
        <v>3.0</v>
      </c>
      <c r="AA214" s="36">
        <v>4.0</v>
      </c>
    </row>
    <row r="215" ht="14.25" customHeight="1">
      <c r="A215" s="26"/>
      <c r="B215" s="42">
        <v>23075.0</v>
      </c>
      <c r="C215" s="40" t="s">
        <v>456</v>
      </c>
      <c r="D215" s="40" t="s">
        <v>263</v>
      </c>
      <c r="E215" s="40" t="s">
        <v>518</v>
      </c>
      <c r="F215" s="40" t="s">
        <v>574</v>
      </c>
      <c r="G215" s="39" t="s">
        <v>1062</v>
      </c>
      <c r="H215" s="40" t="s">
        <v>1063</v>
      </c>
      <c r="I215" s="147" t="s">
        <v>1064</v>
      </c>
      <c r="J215" s="39" t="b">
        <v>1</v>
      </c>
      <c r="K215" s="120">
        <v>1.171052598082E-4</v>
      </c>
      <c r="L215" s="112">
        <v>6.23235507589E-5</v>
      </c>
      <c r="M215" s="112">
        <v>0.996355334418542</v>
      </c>
      <c r="N215" s="112">
        <v>0.993076834950288</v>
      </c>
      <c r="O215" s="87">
        <v>0.995628057162952</v>
      </c>
      <c r="P215" s="112">
        <v>0.998653557909712</v>
      </c>
      <c r="Q215" s="112">
        <v>2.49768963708E-5</v>
      </c>
      <c r="R215" s="112">
        <v>0.0</v>
      </c>
      <c r="S215" s="112">
        <v>0.0</v>
      </c>
      <c r="T215" s="112">
        <v>7.78494858041E-5</v>
      </c>
      <c r="U215" s="112">
        <v>0.0</v>
      </c>
      <c r="V215" s="112">
        <v>0.0</v>
      </c>
      <c r="W215" s="112">
        <v>0.0</v>
      </c>
      <c r="X215" s="112">
        <v>6.08828006088E-5</v>
      </c>
      <c r="Y215" s="42">
        <v>3.0</v>
      </c>
      <c r="Z215" s="40">
        <v>0.0</v>
      </c>
      <c r="AA215" s="39">
        <v>4.0</v>
      </c>
    </row>
    <row r="216" ht="14.25" customHeight="1">
      <c r="A216" s="155" t="s">
        <v>1065</v>
      </c>
      <c r="B216" s="33">
        <v>23202.0</v>
      </c>
      <c r="C216" s="34" t="s">
        <v>263</v>
      </c>
      <c r="D216" s="34" t="s">
        <v>262</v>
      </c>
      <c r="E216" s="34" t="s">
        <v>497</v>
      </c>
      <c r="F216" s="34" t="s">
        <v>452</v>
      </c>
      <c r="G216" s="143" t="s">
        <v>1066</v>
      </c>
      <c r="H216" s="34" t="s">
        <v>1067</v>
      </c>
      <c r="I216" s="144" t="s">
        <v>1068</v>
      </c>
      <c r="J216" s="143" t="b">
        <v>1</v>
      </c>
      <c r="K216" s="145">
        <v>1.122607909645E-4</v>
      </c>
      <c r="L216" s="98">
        <v>1.624556187672E-4</v>
      </c>
      <c r="M216" s="98">
        <v>3.42249302386E-4</v>
      </c>
      <c r="N216" s="98">
        <v>0.382432493932038</v>
      </c>
      <c r="O216" s="86">
        <v>3.605621701239E-4</v>
      </c>
      <c r="P216" s="98">
        <v>3.750187509375E-4</v>
      </c>
      <c r="Q216" s="98">
        <v>8.9198109E-5</v>
      </c>
      <c r="R216" s="98">
        <v>1.31469965686E-5</v>
      </c>
      <c r="S216" s="98">
        <v>9.94925878022E-5</v>
      </c>
      <c r="T216" s="98">
        <v>4.334730910368E-4</v>
      </c>
      <c r="U216" s="98">
        <v>0.0</v>
      </c>
      <c r="V216" s="98">
        <v>0.0</v>
      </c>
      <c r="W216" s="98">
        <v>0.0</v>
      </c>
      <c r="X216" s="98">
        <v>0.0</v>
      </c>
      <c r="Y216" s="33">
        <v>1.0</v>
      </c>
      <c r="Z216" s="34">
        <v>0.0</v>
      </c>
      <c r="AA216" s="143">
        <v>1.0</v>
      </c>
    </row>
    <row r="217" ht="14.25" customHeight="1">
      <c r="B217" s="37">
        <v>23222.0</v>
      </c>
      <c r="C217" s="21" t="s">
        <v>261</v>
      </c>
      <c r="D217" s="21" t="s">
        <v>262</v>
      </c>
      <c r="E217" s="21" t="s">
        <v>745</v>
      </c>
      <c r="F217" s="21" t="s">
        <v>494</v>
      </c>
      <c r="G217" s="36" t="s">
        <v>1069</v>
      </c>
      <c r="H217" s="21" t="s">
        <v>1070</v>
      </c>
      <c r="I217" s="144" t="s">
        <v>1071</v>
      </c>
      <c r="J217" s="36" t="b">
        <v>1</v>
      </c>
      <c r="K217" s="119">
        <v>5.8242523532E-6</v>
      </c>
      <c r="L217" s="65">
        <v>1.39730599404E-5</v>
      </c>
      <c r="M217" s="65">
        <v>0.006430475011728</v>
      </c>
      <c r="N217" s="65">
        <v>3.54694910082E-5</v>
      </c>
      <c r="O217" s="66">
        <v>0.997674293653047</v>
      </c>
      <c r="P217" s="65">
        <v>0.00472216669998</v>
      </c>
      <c r="Q217" s="65">
        <v>2.23094770658E-5</v>
      </c>
      <c r="R217" s="65">
        <v>0.0</v>
      </c>
      <c r="S217" s="65">
        <v>0.0</v>
      </c>
      <c r="T217" s="65">
        <v>5.97514340344E-5</v>
      </c>
      <c r="U217" s="65">
        <v>2.18002659632E-5</v>
      </c>
      <c r="V217" s="65">
        <v>0.0</v>
      </c>
      <c r="W217" s="65">
        <v>0.0</v>
      </c>
      <c r="X217" s="65">
        <v>1.740644038294E-4</v>
      </c>
      <c r="Y217" s="37">
        <v>1.0</v>
      </c>
      <c r="Z217" s="21">
        <v>0.0</v>
      </c>
      <c r="AA217" s="36">
        <v>1.0</v>
      </c>
    </row>
    <row r="218" ht="14.25" customHeight="1">
      <c r="B218" s="37">
        <v>23271.0</v>
      </c>
      <c r="C218" s="21" t="s">
        <v>263</v>
      </c>
      <c r="D218" s="21" t="s">
        <v>456</v>
      </c>
      <c r="E218" s="21" t="s">
        <v>465</v>
      </c>
      <c r="F218" s="21" t="s">
        <v>484</v>
      </c>
      <c r="G218" s="36" t="s">
        <v>1072</v>
      </c>
      <c r="H218" s="21" t="s">
        <v>1073</v>
      </c>
      <c r="I218" s="144" t="s">
        <v>1074</v>
      </c>
      <c r="J218" s="36" t="b">
        <v>1</v>
      </c>
      <c r="K218" s="119">
        <v>1.41663243138E-5</v>
      </c>
      <c r="L218" s="65">
        <v>7.60089074461E-5</v>
      </c>
      <c r="M218" s="65">
        <v>1.887335975603E-4</v>
      </c>
      <c r="N218" s="65">
        <v>1.389683593214E-4</v>
      </c>
      <c r="O218" s="66">
        <v>0.998887691345855</v>
      </c>
      <c r="P218" s="65">
        <v>1.995062221003E-4</v>
      </c>
      <c r="Q218" s="65">
        <v>2.895903410483E-4</v>
      </c>
      <c r="R218" s="65">
        <v>6.57211582696E-5</v>
      </c>
      <c r="S218" s="65">
        <v>0.0019896538002387</v>
      </c>
      <c r="T218" s="65">
        <v>2.01784673333E-4</v>
      </c>
      <c r="U218" s="65">
        <v>7.197225796602E-4</v>
      </c>
      <c r="V218" s="65">
        <v>0.0</v>
      </c>
      <c r="W218" s="65">
        <v>0.0</v>
      </c>
      <c r="X218" s="65">
        <v>0.0</v>
      </c>
      <c r="Y218" s="37">
        <v>1.0</v>
      </c>
      <c r="Z218" s="21">
        <v>0.0</v>
      </c>
      <c r="AA218" s="36">
        <v>1.0</v>
      </c>
    </row>
    <row r="219" ht="14.25" customHeight="1">
      <c r="B219" s="37">
        <v>23271.0</v>
      </c>
      <c r="C219" s="21" t="s">
        <v>263</v>
      </c>
      <c r="D219" s="21" t="s">
        <v>262</v>
      </c>
      <c r="E219" s="21" t="s">
        <v>465</v>
      </c>
      <c r="F219" s="21" t="s">
        <v>461</v>
      </c>
      <c r="G219" s="36" t="s">
        <v>1075</v>
      </c>
      <c r="H219" s="21" t="s">
        <v>1076</v>
      </c>
      <c r="I219" s="144" t="s">
        <v>1077</v>
      </c>
      <c r="J219" s="36" t="b">
        <v>1</v>
      </c>
      <c r="K219" s="119">
        <v>0.997706722087549</v>
      </c>
      <c r="L219" s="65">
        <v>5.98320845786E-5</v>
      </c>
      <c r="M219" s="65">
        <v>0.0</v>
      </c>
      <c r="N219" s="65">
        <v>3.94247193292E-5</v>
      </c>
      <c r="O219" s="66">
        <v>1.5342188333E-5</v>
      </c>
      <c r="P219" s="65">
        <v>0.0</v>
      </c>
      <c r="Q219" s="65">
        <v>6.460092223385E-4</v>
      </c>
      <c r="R219" s="65">
        <v>4.07471181272E-4</v>
      </c>
      <c r="S219" s="65">
        <v>6.963788300835E-4</v>
      </c>
      <c r="T219" s="65">
        <v>5.978805135793E-4</v>
      </c>
      <c r="U219" s="65">
        <v>0.0018102113367211</v>
      </c>
      <c r="V219" s="65">
        <v>5.186049526772E-4</v>
      </c>
      <c r="W219" s="65">
        <v>5.139626520472E-4</v>
      </c>
      <c r="X219" s="65">
        <v>5.753739930955E-4</v>
      </c>
      <c r="Y219" s="37">
        <v>1.0</v>
      </c>
      <c r="Z219" s="21">
        <v>0.0</v>
      </c>
      <c r="AA219" s="36">
        <v>0.0</v>
      </c>
    </row>
    <row r="220" ht="14.25" customHeight="1">
      <c r="B220" s="37">
        <v>23403.0</v>
      </c>
      <c r="C220" s="21" t="s">
        <v>262</v>
      </c>
      <c r="D220" s="21" t="s">
        <v>261</v>
      </c>
      <c r="E220" s="21" t="s">
        <v>461</v>
      </c>
      <c r="F220" s="21" t="s">
        <v>522</v>
      </c>
      <c r="G220" s="36" t="s">
        <v>1078</v>
      </c>
      <c r="H220" s="21" t="s">
        <v>1079</v>
      </c>
      <c r="I220" s="144" t="s">
        <v>1080</v>
      </c>
      <c r="J220" s="36" t="b">
        <v>1</v>
      </c>
      <c r="K220" s="119">
        <v>0.999433794319125</v>
      </c>
      <c r="L220" s="65">
        <v>0.999467520645222</v>
      </c>
      <c r="M220" s="65">
        <v>0.999798570096363</v>
      </c>
      <c r="N220" s="65">
        <v>0.999594122973183</v>
      </c>
      <c r="O220" s="66">
        <v>0.999803418968142</v>
      </c>
      <c r="P220" s="65">
        <v>0.99992500749925</v>
      </c>
      <c r="Q220" s="65">
        <v>0.996673810161621</v>
      </c>
      <c r="R220" s="65">
        <v>0.999710739455138</v>
      </c>
      <c r="S220" s="65">
        <v>0.998307784192713</v>
      </c>
      <c r="T220" s="65">
        <v>0.999588741999162</v>
      </c>
      <c r="U220" s="65">
        <v>0.999651089255729</v>
      </c>
      <c r="V220" s="65">
        <v>1.0</v>
      </c>
      <c r="W220" s="65">
        <v>0.999914324880054</v>
      </c>
      <c r="X220" s="65">
        <v>0.999597145488029</v>
      </c>
      <c r="Y220" s="37">
        <v>5.0</v>
      </c>
      <c r="Z220" s="21">
        <v>8.0</v>
      </c>
      <c r="AA220" s="36">
        <v>4.0</v>
      </c>
    </row>
    <row r="221" ht="14.25" customHeight="1">
      <c r="B221" s="37">
        <v>23423.0</v>
      </c>
      <c r="C221" s="21" t="s">
        <v>263</v>
      </c>
      <c r="D221" s="21" t="s">
        <v>456</v>
      </c>
      <c r="E221" s="21" t="s">
        <v>584</v>
      </c>
      <c r="F221" s="21" t="s">
        <v>469</v>
      </c>
      <c r="G221" s="36" t="s">
        <v>1081</v>
      </c>
      <c r="H221" s="21" t="s">
        <v>1082</v>
      </c>
      <c r="I221" s="144" t="s">
        <v>1083</v>
      </c>
      <c r="J221" s="36" t="b">
        <v>1</v>
      </c>
      <c r="K221" s="119">
        <v>1.463562694119E-4</v>
      </c>
      <c r="L221" s="65">
        <v>2.163006472619E-4</v>
      </c>
      <c r="M221" s="65">
        <v>0.0060694971094672</v>
      </c>
      <c r="N221" s="65">
        <v>1.284887876546E-4</v>
      </c>
      <c r="O221" s="66">
        <v>0.997970827755681</v>
      </c>
      <c r="P221" s="65">
        <v>0.0012747450509898</v>
      </c>
      <c r="Q221" s="65">
        <v>8.92857142857E-5</v>
      </c>
      <c r="R221" s="65">
        <v>9.21016275673E-5</v>
      </c>
      <c r="S221" s="65">
        <v>2.984183825723E-4</v>
      </c>
      <c r="T221" s="65">
        <v>3.289941005376E-4</v>
      </c>
      <c r="U221" s="65">
        <v>1.090369853454E-4</v>
      </c>
      <c r="V221" s="65">
        <v>0.0</v>
      </c>
      <c r="W221" s="65">
        <v>8.56604420078E-5</v>
      </c>
      <c r="X221" s="65">
        <v>0.0</v>
      </c>
      <c r="Y221" s="37">
        <v>1.0</v>
      </c>
      <c r="Z221" s="21">
        <v>0.0</v>
      </c>
      <c r="AA221" s="36">
        <v>1.0</v>
      </c>
    </row>
    <row r="222" ht="14.25" customHeight="1">
      <c r="B222" s="37">
        <v>23525.0</v>
      </c>
      <c r="C222" s="21" t="s">
        <v>263</v>
      </c>
      <c r="D222" s="21" t="s">
        <v>456</v>
      </c>
      <c r="E222" s="21" t="s">
        <v>575</v>
      </c>
      <c r="F222" s="21" t="s">
        <v>519</v>
      </c>
      <c r="G222" s="36" t="s">
        <v>1084</v>
      </c>
      <c r="H222" s="21" t="s">
        <v>1085</v>
      </c>
      <c r="I222" s="144" t="s">
        <v>1086</v>
      </c>
      <c r="J222" s="36" t="b">
        <v>1</v>
      </c>
      <c r="K222" s="119">
        <v>0.0011700047852444</v>
      </c>
      <c r="L222" s="65">
        <v>0.0012784313638269</v>
      </c>
      <c r="M222" s="65">
        <v>0.999490228122915</v>
      </c>
      <c r="N222" s="65">
        <v>0.998943812136481</v>
      </c>
      <c r="O222" s="66">
        <v>0.999591717008356</v>
      </c>
      <c r="P222" s="65">
        <v>0.99974816157953</v>
      </c>
      <c r="Q222" s="65">
        <v>9.460524833877E-4</v>
      </c>
      <c r="R222" s="65">
        <v>0.0026505611013674</v>
      </c>
      <c r="S222" s="65">
        <v>3.001200480192E-4</v>
      </c>
      <c r="T222" s="65">
        <v>0.996320729822445</v>
      </c>
      <c r="U222" s="65">
        <v>0.0010513404590853</v>
      </c>
      <c r="V222" s="65">
        <v>7.844162635638E-4</v>
      </c>
      <c r="W222" s="65">
        <v>0.0025764342150463</v>
      </c>
      <c r="X222" s="65">
        <v>0.0010515861424315</v>
      </c>
      <c r="Y222" s="37">
        <v>3.0</v>
      </c>
      <c r="Z222" s="21">
        <v>1.0</v>
      </c>
      <c r="AA222" s="36">
        <v>4.0</v>
      </c>
    </row>
    <row r="223" ht="14.25" customHeight="1">
      <c r="B223" s="37">
        <v>23593.0</v>
      </c>
      <c r="C223" s="21" t="s">
        <v>261</v>
      </c>
      <c r="D223" s="21" t="s">
        <v>263</v>
      </c>
      <c r="E223" s="21" t="s">
        <v>837</v>
      </c>
      <c r="F223" s="21" t="s">
        <v>574</v>
      </c>
      <c r="G223" s="36" t="s">
        <v>1087</v>
      </c>
      <c r="H223" s="21" t="s">
        <v>1088</v>
      </c>
      <c r="I223" s="144" t="s">
        <v>1089</v>
      </c>
      <c r="J223" s="36" t="b">
        <v>1</v>
      </c>
      <c r="K223" s="119">
        <v>7.385807898892E-4</v>
      </c>
      <c r="L223" s="65">
        <v>0.006835498281848</v>
      </c>
      <c r="M223" s="65">
        <v>5.202887727159E-4</v>
      </c>
      <c r="N223" s="65">
        <v>2.112957051654E-4</v>
      </c>
      <c r="O223" s="66">
        <v>7.773012564436E-4</v>
      </c>
      <c r="P223" s="65">
        <v>1.753243500475E-4</v>
      </c>
      <c r="Q223" s="65">
        <v>0.0038695163104611</v>
      </c>
      <c r="R223" s="65">
        <v>0.0032750660932012</v>
      </c>
      <c r="S223" s="65">
        <v>0.994886705434128</v>
      </c>
      <c r="T223" s="65">
        <v>0.0015022120071805</v>
      </c>
      <c r="U223" s="65">
        <v>8.75944377532E-5</v>
      </c>
      <c r="V223" s="65">
        <v>0.0</v>
      </c>
      <c r="W223" s="65">
        <v>0.0025762129669386</v>
      </c>
      <c r="X223" s="65">
        <v>6.941632440562E-4</v>
      </c>
      <c r="Y223" s="37">
        <v>0.0</v>
      </c>
      <c r="Z223" s="21">
        <v>1.0</v>
      </c>
      <c r="AA223" s="36">
        <v>0.0</v>
      </c>
    </row>
    <row r="224" ht="14.25" customHeight="1">
      <c r="B224" s="37">
        <v>23599.0</v>
      </c>
      <c r="C224" s="21" t="s">
        <v>456</v>
      </c>
      <c r="D224" s="21" t="s">
        <v>261</v>
      </c>
      <c r="E224" s="21" t="s">
        <v>543</v>
      </c>
      <c r="F224" s="21" t="s">
        <v>494</v>
      </c>
      <c r="G224" s="36" t="s">
        <v>1090</v>
      </c>
      <c r="H224" s="21" t="s">
        <v>1091</v>
      </c>
      <c r="I224" s="144" t="s">
        <v>1092</v>
      </c>
      <c r="J224" s="36" t="b">
        <v>1</v>
      </c>
      <c r="K224" s="119">
        <v>2.41788165219E-5</v>
      </c>
      <c r="L224" s="65">
        <v>2.455343304767E-4</v>
      </c>
      <c r="M224" s="65">
        <v>0.998668684870465</v>
      </c>
      <c r="N224" s="65">
        <v>0.998182630752652</v>
      </c>
      <c r="O224" s="66">
        <v>0.996169744481126</v>
      </c>
      <c r="P224" s="65">
        <v>0.999071075293113</v>
      </c>
      <c r="Q224" s="65">
        <v>4.49883030412E-5</v>
      </c>
      <c r="R224" s="65">
        <v>2.63147507335E-5</v>
      </c>
      <c r="S224" s="65">
        <v>9.98601957259E-5</v>
      </c>
      <c r="T224" s="65">
        <v>0.0083946538519297</v>
      </c>
      <c r="U224" s="65">
        <v>4.3789547435E-5</v>
      </c>
      <c r="V224" s="65">
        <v>1.307873397855E-4</v>
      </c>
      <c r="W224" s="65">
        <v>4.295901709768E-4</v>
      </c>
      <c r="X224" s="65">
        <v>0.0</v>
      </c>
      <c r="Y224" s="37">
        <v>3.0</v>
      </c>
      <c r="Z224" s="21">
        <v>0.0</v>
      </c>
      <c r="AA224" s="36">
        <v>4.0</v>
      </c>
    </row>
    <row r="225" ht="14.25" customHeight="1">
      <c r="B225" s="37">
        <v>23604.0</v>
      </c>
      <c r="C225" s="21" t="s">
        <v>263</v>
      </c>
      <c r="D225" s="21" t="s">
        <v>261</v>
      </c>
      <c r="E225" s="21" t="s">
        <v>584</v>
      </c>
      <c r="F225" s="21" t="s">
        <v>749</v>
      </c>
      <c r="G225" s="36" t="s">
        <v>1093</v>
      </c>
      <c r="H225" s="21" t="s">
        <v>1094</v>
      </c>
      <c r="I225" s="144" t="s">
        <v>1095</v>
      </c>
      <c r="J225" s="36" t="b">
        <v>1</v>
      </c>
      <c r="K225" s="119">
        <v>0.0021612864163816</v>
      </c>
      <c r="L225" s="65">
        <v>0.998277684799195</v>
      </c>
      <c r="M225" s="65">
        <v>3.675064313625E-4</v>
      </c>
      <c r="N225" s="65">
        <v>2.795963678262E-4</v>
      </c>
      <c r="O225" s="66">
        <v>0.994274579053205</v>
      </c>
      <c r="P225" s="65">
        <v>0.0013821873743466</v>
      </c>
      <c r="Q225" s="65">
        <v>0.0014415388427145</v>
      </c>
      <c r="R225" s="65">
        <v>0.0</v>
      </c>
      <c r="S225" s="65">
        <v>2.998201079352E-4</v>
      </c>
      <c r="T225" s="65">
        <v>0.0040800685271178</v>
      </c>
      <c r="U225" s="65">
        <v>2.190196679661E-4</v>
      </c>
      <c r="V225" s="65">
        <v>0.995412242757897</v>
      </c>
      <c r="W225" s="65">
        <v>0.0025788704547408</v>
      </c>
      <c r="X225" s="65">
        <v>0.0024377503047187</v>
      </c>
      <c r="Y225" s="37">
        <v>2.0</v>
      </c>
      <c r="Z225" s="21">
        <v>1.0</v>
      </c>
      <c r="AA225" s="36">
        <v>1.0</v>
      </c>
    </row>
    <row r="226" ht="14.25" customHeight="1">
      <c r="B226" s="37">
        <v>23604.0</v>
      </c>
      <c r="C226" s="21" t="s">
        <v>263</v>
      </c>
      <c r="D226" s="21" t="s">
        <v>262</v>
      </c>
      <c r="E226" s="21" t="s">
        <v>584</v>
      </c>
      <c r="F226" s="21" t="s">
        <v>575</v>
      </c>
      <c r="G226" s="36" t="s">
        <v>1096</v>
      </c>
      <c r="H226" s="21" t="s">
        <v>1097</v>
      </c>
      <c r="I226" s="144" t="s">
        <v>1098</v>
      </c>
      <c r="J226" s="36" t="b">
        <v>1</v>
      </c>
      <c r="K226" s="119">
        <v>0.995356741702054</v>
      </c>
      <c r="L226" s="65">
        <v>4.761106320107E-4</v>
      </c>
      <c r="M226" s="65">
        <v>0.998209968674451</v>
      </c>
      <c r="N226" s="65">
        <v>0.996553970973861</v>
      </c>
      <c r="O226" s="66">
        <v>0.0037184119735977</v>
      </c>
      <c r="P226" s="65">
        <v>0.997662846803377</v>
      </c>
      <c r="Q226" s="65">
        <v>0.0023425006194112</v>
      </c>
      <c r="R226" s="65">
        <v>0.0028566538972921</v>
      </c>
      <c r="S226" s="65">
        <v>8.994603238057E-4</v>
      </c>
      <c r="T226" s="65">
        <v>0.0516207565033136</v>
      </c>
      <c r="U226" s="65">
        <v>0.0021244907792719</v>
      </c>
      <c r="V226" s="65">
        <v>0.0015729453401494</v>
      </c>
      <c r="W226" s="65">
        <v>0.0038683056821112</v>
      </c>
      <c r="X226" s="65">
        <v>0.99535666608625</v>
      </c>
      <c r="Y226" s="37">
        <v>3.0</v>
      </c>
      <c r="Z226" s="21">
        <v>1.0</v>
      </c>
      <c r="AA226" s="36">
        <v>3.0</v>
      </c>
    </row>
    <row r="227" ht="14.25" customHeight="1">
      <c r="B227" s="37">
        <v>23664.0</v>
      </c>
      <c r="C227" s="21" t="s">
        <v>263</v>
      </c>
      <c r="D227" s="21" t="s">
        <v>456</v>
      </c>
      <c r="E227" s="21" t="s">
        <v>512</v>
      </c>
      <c r="F227" s="21" t="s">
        <v>578</v>
      </c>
      <c r="G227" s="36" t="s">
        <v>1099</v>
      </c>
      <c r="H227" s="21" t="s">
        <v>1100</v>
      </c>
      <c r="I227" s="144" t="s">
        <v>1101</v>
      </c>
      <c r="J227" s="36" t="b">
        <v>1</v>
      </c>
      <c r="K227" s="119">
        <v>0.0049305135343979</v>
      </c>
      <c r="L227" s="65">
        <v>9.374461485438E-4</v>
      </c>
      <c r="M227" s="65">
        <v>8.579377005239E-4</v>
      </c>
      <c r="N227" s="65">
        <v>0.0313871731206251</v>
      </c>
      <c r="O227" s="66">
        <v>1.997923726323E-4</v>
      </c>
      <c r="P227" s="65">
        <v>1.011122345803E-4</v>
      </c>
      <c r="Q227" s="65">
        <v>0.979055926582163</v>
      </c>
      <c r="R227" s="65">
        <v>5.393670527635E-4</v>
      </c>
      <c r="S227" s="65">
        <v>3.022974607013E-4</v>
      </c>
      <c r="T227" s="65">
        <v>6.392985981095E-4</v>
      </c>
      <c r="U227" s="65">
        <v>0.671401081279208</v>
      </c>
      <c r="V227" s="65">
        <v>1.311303435615E-4</v>
      </c>
      <c r="W227" s="65">
        <v>6.904289289721E-4</v>
      </c>
      <c r="X227" s="65">
        <v>0.0012742542716478</v>
      </c>
      <c r="Y227" s="37">
        <v>0.0</v>
      </c>
      <c r="Z227" s="21">
        <v>2.0</v>
      </c>
      <c r="AA227" s="36">
        <v>0.0</v>
      </c>
    </row>
    <row r="228" ht="14.25" customHeight="1">
      <c r="B228" s="37">
        <v>23709.0</v>
      </c>
      <c r="C228" s="21" t="s">
        <v>263</v>
      </c>
      <c r="D228" s="21" t="s">
        <v>456</v>
      </c>
      <c r="E228" s="21" t="s">
        <v>497</v>
      </c>
      <c r="F228" s="21" t="s">
        <v>581</v>
      </c>
      <c r="G228" s="36" t="s">
        <v>1102</v>
      </c>
      <c r="H228" s="21" t="s">
        <v>1103</v>
      </c>
      <c r="I228" s="144" t="s">
        <v>1104</v>
      </c>
      <c r="J228" s="36" t="b">
        <v>1</v>
      </c>
      <c r="K228" s="119">
        <v>0.997227295437465</v>
      </c>
      <c r="L228" s="65">
        <v>6.944089183279E-4</v>
      </c>
      <c r="M228" s="65">
        <v>1.650131502787E-4</v>
      </c>
      <c r="N228" s="65">
        <v>2.147507491103E-4</v>
      </c>
      <c r="O228" s="66">
        <v>8.61876461762E-5</v>
      </c>
      <c r="P228" s="65">
        <v>2.273416186723E-4</v>
      </c>
      <c r="Q228" s="65">
        <v>0.0031615554852987</v>
      </c>
      <c r="R228" s="65">
        <v>5.675675675675E-4</v>
      </c>
      <c r="S228" s="65">
        <v>3.021756647864E-4</v>
      </c>
      <c r="T228" s="65">
        <v>8.378590416415E-4</v>
      </c>
      <c r="U228" s="65">
        <v>0.0026126415180822</v>
      </c>
      <c r="V228" s="65">
        <v>5.247966413014E-4</v>
      </c>
      <c r="W228" s="65">
        <v>3.453634950785E-4</v>
      </c>
      <c r="X228" s="65">
        <v>6.372747812988E-4</v>
      </c>
      <c r="Y228" s="37">
        <v>1.0</v>
      </c>
      <c r="Z228" s="21">
        <v>0.0</v>
      </c>
      <c r="AA228" s="36">
        <v>0.0</v>
      </c>
    </row>
    <row r="229" ht="14.25" customHeight="1">
      <c r="B229" s="37">
        <v>23731.0</v>
      </c>
      <c r="C229" s="21" t="s">
        <v>263</v>
      </c>
      <c r="D229" s="21" t="s">
        <v>456</v>
      </c>
      <c r="E229" s="21" t="s">
        <v>472</v>
      </c>
      <c r="F229" s="21" t="s">
        <v>498</v>
      </c>
      <c r="G229" s="36" t="s">
        <v>1105</v>
      </c>
      <c r="H229" s="21" t="s">
        <v>1106</v>
      </c>
      <c r="I229" s="144" t="s">
        <v>1107</v>
      </c>
      <c r="J229" s="36" t="b">
        <v>0</v>
      </c>
      <c r="K229" s="119">
        <v>8.71082371086E-5</v>
      </c>
      <c r="L229" s="65">
        <v>1.139618930163E-4</v>
      </c>
      <c r="M229" s="65">
        <v>1.040527268159E-4</v>
      </c>
      <c r="N229" s="65">
        <v>6.3863143019E-5</v>
      </c>
      <c r="O229" s="66">
        <v>1.96067666873E-5</v>
      </c>
      <c r="P229" s="65">
        <v>2.021989131808E-4</v>
      </c>
      <c r="Q229" s="65">
        <v>0.0018360836336095</v>
      </c>
      <c r="R229" s="65">
        <v>2.70434723818E-5</v>
      </c>
      <c r="S229" s="65">
        <v>0.0</v>
      </c>
      <c r="T229" s="65">
        <v>1.830314585319E-4</v>
      </c>
      <c r="U229" s="65">
        <v>0.0702816772180934</v>
      </c>
      <c r="V229" s="65">
        <v>0.0</v>
      </c>
      <c r="W229" s="65">
        <v>0.996711095724424</v>
      </c>
      <c r="X229" s="65">
        <v>0.0</v>
      </c>
      <c r="Y229" s="37">
        <v>0.0</v>
      </c>
      <c r="Z229" s="21">
        <v>1.0</v>
      </c>
      <c r="AA229" s="36">
        <v>0.0</v>
      </c>
    </row>
    <row r="230" ht="14.25" customHeight="1">
      <c r="B230" s="37">
        <v>23854.0</v>
      </c>
      <c r="C230" s="21" t="s">
        <v>263</v>
      </c>
      <c r="D230" s="21" t="s">
        <v>262</v>
      </c>
      <c r="E230" s="21" t="s">
        <v>592</v>
      </c>
      <c r="F230" s="21" t="s">
        <v>452</v>
      </c>
      <c r="G230" s="36" t="s">
        <v>1108</v>
      </c>
      <c r="H230" s="21" t="s">
        <v>1109</v>
      </c>
      <c r="I230" s="144" t="s">
        <v>1110</v>
      </c>
      <c r="J230" s="36" t="b">
        <v>1</v>
      </c>
      <c r="K230" s="119">
        <v>1.28534484088E-5</v>
      </c>
      <c r="L230" s="65">
        <v>1.123160349486E-4</v>
      </c>
      <c r="M230" s="65">
        <v>0.998364612555604</v>
      </c>
      <c r="N230" s="65">
        <v>0.995383774758368</v>
      </c>
      <c r="O230" s="66">
        <v>0.999001401953336</v>
      </c>
      <c r="P230" s="65">
        <v>0.999291228958359</v>
      </c>
      <c r="Q230" s="65">
        <v>2.343182510485E-4</v>
      </c>
      <c r="R230" s="65">
        <v>2.71226894858E-5</v>
      </c>
      <c r="S230" s="65">
        <v>0.0</v>
      </c>
      <c r="T230" s="65">
        <v>2.32780092646E-5</v>
      </c>
      <c r="U230" s="65">
        <v>4.57247370827E-5</v>
      </c>
      <c r="V230" s="65">
        <v>0.0</v>
      </c>
      <c r="W230" s="65">
        <v>9.50660709192E-5</v>
      </c>
      <c r="X230" s="65">
        <v>1.203804020705E-4</v>
      </c>
      <c r="Y230" s="37">
        <v>3.0</v>
      </c>
      <c r="Z230" s="21">
        <v>0.0</v>
      </c>
      <c r="AA230" s="36">
        <v>4.0</v>
      </c>
    </row>
    <row r="231" ht="14.25" customHeight="1">
      <c r="B231" s="37">
        <v>23948.0</v>
      </c>
      <c r="C231" s="21" t="s">
        <v>261</v>
      </c>
      <c r="D231" s="21" t="s">
        <v>456</v>
      </c>
      <c r="E231" s="21" t="s">
        <v>461</v>
      </c>
      <c r="F231" s="21" t="s">
        <v>519</v>
      </c>
      <c r="G231" s="36" t="s">
        <v>1111</v>
      </c>
      <c r="H231" s="21" t="s">
        <v>1112</v>
      </c>
      <c r="I231" s="144" t="s">
        <v>1113</v>
      </c>
      <c r="J231" s="36" t="b">
        <v>1</v>
      </c>
      <c r="K231" s="119">
        <v>4.350010054665E-4</v>
      </c>
      <c r="L231" s="65">
        <v>7.356734628243E-4</v>
      </c>
      <c r="M231" s="65">
        <v>0.998359762203546</v>
      </c>
      <c r="N231" s="65">
        <v>0.997242143570309</v>
      </c>
      <c r="O231" s="66">
        <v>0.999206415338404</v>
      </c>
      <c r="P231" s="65">
        <v>0.999467207915768</v>
      </c>
      <c r="Q231" s="65">
        <v>6.667586333747E-4</v>
      </c>
      <c r="R231" s="65">
        <v>6.8302278564E-5</v>
      </c>
      <c r="S231" s="65">
        <v>5.066369439659E-4</v>
      </c>
      <c r="T231" s="65">
        <v>4.72099682687E-4</v>
      </c>
      <c r="U231" s="65">
        <v>4.58641961153E-4</v>
      </c>
      <c r="V231" s="65">
        <v>2.645502645502E-4</v>
      </c>
      <c r="W231" s="65">
        <v>3.796867584242E-4</v>
      </c>
      <c r="X231" s="65">
        <v>2.384216486857E-4</v>
      </c>
      <c r="Y231" s="37">
        <v>3.0</v>
      </c>
      <c r="Z231" s="21">
        <v>0.0</v>
      </c>
      <c r="AA231" s="36">
        <v>4.0</v>
      </c>
    </row>
    <row r="232" ht="14.25" customHeight="1">
      <c r="B232" s="37">
        <v>24130.0</v>
      </c>
      <c r="C232" s="21" t="s">
        <v>263</v>
      </c>
      <c r="D232" s="21" t="s">
        <v>262</v>
      </c>
      <c r="E232" s="21" t="s">
        <v>592</v>
      </c>
      <c r="F232" s="21" t="s">
        <v>452</v>
      </c>
      <c r="G232" s="36" t="s">
        <v>1114</v>
      </c>
      <c r="H232" s="21" t="s">
        <v>1115</v>
      </c>
      <c r="I232" s="144" t="s">
        <v>1116</v>
      </c>
      <c r="J232" s="36" t="b">
        <v>1</v>
      </c>
      <c r="K232" s="119">
        <v>2.21639707606E-5</v>
      </c>
      <c r="L232" s="65">
        <v>1.421052490461E-4</v>
      </c>
      <c r="M232" s="65">
        <v>2.30027245449E-5</v>
      </c>
      <c r="N232" s="65">
        <v>0.384166411376766</v>
      </c>
      <c r="O232" s="66">
        <v>2.37232915276E-5</v>
      </c>
      <c r="P232" s="65">
        <v>0.0</v>
      </c>
      <c r="Q232" s="65">
        <v>0.0</v>
      </c>
      <c r="R232" s="65">
        <v>0.0</v>
      </c>
      <c r="S232" s="65">
        <v>0.0</v>
      </c>
      <c r="T232" s="65">
        <v>1.53865091088E-5</v>
      </c>
      <c r="U232" s="65">
        <v>2.27551995631E-5</v>
      </c>
      <c r="V232" s="65">
        <v>0.0</v>
      </c>
      <c r="W232" s="65">
        <v>0.0</v>
      </c>
      <c r="X232" s="65">
        <v>0.0</v>
      </c>
      <c r="Y232" s="37">
        <v>1.0</v>
      </c>
      <c r="Z232" s="21">
        <v>0.0</v>
      </c>
      <c r="AA232" s="36">
        <v>1.0</v>
      </c>
    </row>
    <row r="233" ht="14.25" customHeight="1">
      <c r="B233" s="37">
        <v>24138.0</v>
      </c>
      <c r="C233" s="21" t="s">
        <v>263</v>
      </c>
      <c r="D233" s="21" t="s">
        <v>262</v>
      </c>
      <c r="E233" s="21" t="s">
        <v>498</v>
      </c>
      <c r="F233" s="21" t="s">
        <v>543</v>
      </c>
      <c r="G233" s="36" t="s">
        <v>1117</v>
      </c>
      <c r="H233" s="21" t="s">
        <v>1118</v>
      </c>
      <c r="I233" s="144" t="s">
        <v>1119</v>
      </c>
      <c r="J233" s="36" t="b">
        <v>1</v>
      </c>
      <c r="K233" s="119">
        <v>3.32446241737E-5</v>
      </c>
      <c r="L233" s="65">
        <v>0.0010146935125281</v>
      </c>
      <c r="M233" s="65">
        <v>2.223653539443E-4</v>
      </c>
      <c r="N233" s="65">
        <v>8.1666753726E-6</v>
      </c>
      <c r="O233" s="66">
        <v>1.1865539704E-5</v>
      </c>
      <c r="P233" s="65">
        <v>0.0</v>
      </c>
      <c r="Q233" s="65">
        <v>1.14897626215E-4</v>
      </c>
      <c r="R233" s="65">
        <v>4.04378066533E-5</v>
      </c>
      <c r="S233" s="65">
        <v>0.0</v>
      </c>
      <c r="T233" s="65">
        <v>1.692529023026E-4</v>
      </c>
      <c r="U233" s="65">
        <v>4.095469955177E-4</v>
      </c>
      <c r="V233" s="65">
        <v>1.303780964797E-4</v>
      </c>
      <c r="W233" s="65">
        <v>0.997362720165772</v>
      </c>
      <c r="X233" s="65">
        <v>2.322475759159E-4</v>
      </c>
      <c r="Y233" s="37">
        <v>0.0</v>
      </c>
      <c r="Z233" s="21">
        <v>1.0</v>
      </c>
      <c r="AA233" s="36">
        <v>0.0</v>
      </c>
    </row>
    <row r="234" ht="14.25" customHeight="1">
      <c r="B234" s="37">
        <v>24224.0</v>
      </c>
      <c r="C234" s="21" t="s">
        <v>456</v>
      </c>
      <c r="D234" s="21" t="s">
        <v>263</v>
      </c>
      <c r="E234" s="21" t="s">
        <v>477</v>
      </c>
      <c r="F234" s="21" t="s">
        <v>609</v>
      </c>
      <c r="G234" s="36" t="s">
        <v>1120</v>
      </c>
      <c r="H234" s="21" t="s">
        <v>1121</v>
      </c>
      <c r="I234" s="144" t="s">
        <v>1122</v>
      </c>
      <c r="J234" s="36" t="b">
        <v>1</v>
      </c>
      <c r="K234" s="119">
        <v>1.45386874472E-5</v>
      </c>
      <c r="L234" s="65">
        <v>1.85685359067E-5</v>
      </c>
      <c r="M234" s="65">
        <v>2.298627464E-5</v>
      </c>
      <c r="N234" s="65">
        <v>2.43382161751E-5</v>
      </c>
      <c r="O234" s="66">
        <v>2.3685737633E-5</v>
      </c>
      <c r="P234" s="65">
        <v>0.0</v>
      </c>
      <c r="Q234" s="65">
        <v>9.28763815361E-5</v>
      </c>
      <c r="R234" s="65">
        <v>0.0</v>
      </c>
      <c r="S234" s="65">
        <v>0.991517629024016</v>
      </c>
      <c r="T234" s="65">
        <v>1.158462180071E-4</v>
      </c>
      <c r="U234" s="65">
        <v>2.28618458654E-5</v>
      </c>
      <c r="V234" s="65">
        <v>1.314924391847E-4</v>
      </c>
      <c r="W234" s="65">
        <v>2.820344081978E-4</v>
      </c>
      <c r="X234" s="65">
        <v>0.0</v>
      </c>
      <c r="Y234" s="37">
        <v>0.0</v>
      </c>
      <c r="Z234" s="21">
        <v>1.0</v>
      </c>
      <c r="AA234" s="36">
        <v>0.0</v>
      </c>
    </row>
    <row r="235" ht="14.25" customHeight="1">
      <c r="B235" s="37">
        <v>24349.0</v>
      </c>
      <c r="C235" s="21" t="s">
        <v>456</v>
      </c>
      <c r="D235" s="21" t="s">
        <v>263</v>
      </c>
      <c r="E235" s="21" t="s">
        <v>457</v>
      </c>
      <c r="F235" s="21" t="s">
        <v>558</v>
      </c>
      <c r="G235" s="36" t="s">
        <v>1123</v>
      </c>
      <c r="H235" s="21" t="s">
        <v>1124</v>
      </c>
      <c r="I235" s="144" t="s">
        <v>1125</v>
      </c>
      <c r="J235" s="36" t="b">
        <v>0</v>
      </c>
      <c r="K235" s="119">
        <v>5.73421976953E-5</v>
      </c>
      <c r="L235" s="65">
        <v>4.86274291865E-5</v>
      </c>
      <c r="M235" s="65">
        <v>2.04925906476E-5</v>
      </c>
      <c r="N235" s="65">
        <v>2.27075142408E-5</v>
      </c>
      <c r="O235" s="66">
        <v>1.56982790761E-5</v>
      </c>
      <c r="P235" s="65">
        <v>0.0</v>
      </c>
      <c r="Q235" s="65">
        <v>2.31631613082E-5</v>
      </c>
      <c r="R235" s="65">
        <v>0.67941600674885</v>
      </c>
      <c r="S235" s="65">
        <v>0.0</v>
      </c>
      <c r="T235" s="65">
        <v>2.31930668192E-5</v>
      </c>
      <c r="U235" s="65">
        <v>1.376620396925E-4</v>
      </c>
      <c r="V235" s="65">
        <v>0.0</v>
      </c>
      <c r="W235" s="65">
        <v>0.0027286413248024</v>
      </c>
      <c r="X235" s="65">
        <v>0.0</v>
      </c>
      <c r="Y235" s="37">
        <v>0.0</v>
      </c>
      <c r="Z235" s="21">
        <v>1.0</v>
      </c>
      <c r="AA235" s="36">
        <v>0.0</v>
      </c>
    </row>
    <row r="236" ht="14.25" customHeight="1">
      <c r="B236" s="37">
        <v>24378.0</v>
      </c>
      <c r="C236" s="21" t="s">
        <v>263</v>
      </c>
      <c r="D236" s="21" t="s">
        <v>456</v>
      </c>
      <c r="E236" s="21" t="s">
        <v>469</v>
      </c>
      <c r="F236" s="21" t="s">
        <v>477</v>
      </c>
      <c r="G236" s="36" t="s">
        <v>1126</v>
      </c>
      <c r="H236" s="21" t="s">
        <v>1127</v>
      </c>
      <c r="I236" s="144" t="s">
        <v>1128</v>
      </c>
      <c r="J236" s="36" t="b">
        <v>1</v>
      </c>
      <c r="K236" s="119">
        <v>0.0020756885936418</v>
      </c>
      <c r="L236" s="65">
        <v>0.0020661212536439</v>
      </c>
      <c r="M236" s="65">
        <v>0.0010782817158253</v>
      </c>
      <c r="N236" s="65">
        <v>0.0010180590713111</v>
      </c>
      <c r="O236" s="66">
        <v>0.994487316474732</v>
      </c>
      <c r="P236" s="65">
        <v>0.0012867415163365</v>
      </c>
      <c r="Q236" s="65">
        <v>0.0014364154484164</v>
      </c>
      <c r="R236" s="65">
        <v>0.0013946434857963</v>
      </c>
      <c r="S236" s="65">
        <v>0.0026476578411405</v>
      </c>
      <c r="T236" s="65">
        <v>0.001717229536348</v>
      </c>
      <c r="U236" s="65">
        <v>0.002955055665002</v>
      </c>
      <c r="V236" s="65">
        <v>0.0014502307185234</v>
      </c>
      <c r="W236" s="65">
        <v>5.645996047802E-4</v>
      </c>
      <c r="X236" s="65">
        <v>0.0269018350258328</v>
      </c>
      <c r="Y236" s="37">
        <v>1.0</v>
      </c>
      <c r="Z236" s="21">
        <v>0.0</v>
      </c>
      <c r="AA236" s="36">
        <v>1.0</v>
      </c>
    </row>
    <row r="237" ht="14.25" customHeight="1">
      <c r="B237" s="37">
        <v>24410.0</v>
      </c>
      <c r="C237" s="21" t="s">
        <v>261</v>
      </c>
      <c r="D237" s="21" t="s">
        <v>262</v>
      </c>
      <c r="E237" s="21" t="s">
        <v>461</v>
      </c>
      <c r="F237" s="21" t="s">
        <v>543</v>
      </c>
      <c r="G237" s="36" t="s">
        <v>1129</v>
      </c>
      <c r="H237" s="21" t="s">
        <v>1130</v>
      </c>
      <c r="I237" s="144" t="s">
        <v>1131</v>
      </c>
      <c r="J237" s="36" t="b">
        <v>1</v>
      </c>
      <c r="K237" s="119">
        <v>1.496183023366E-4</v>
      </c>
      <c r="L237" s="65">
        <v>0.98279883716658</v>
      </c>
      <c r="M237" s="65">
        <v>2.56147540983E-5</v>
      </c>
      <c r="N237" s="65">
        <v>1.534979682773E-4</v>
      </c>
      <c r="O237" s="66">
        <v>5.10392373952E-5</v>
      </c>
      <c r="P237" s="65">
        <v>0.0</v>
      </c>
      <c r="Q237" s="65">
        <v>6.711875390561E-4</v>
      </c>
      <c r="R237" s="65">
        <v>1.35563809885E-5</v>
      </c>
      <c r="S237" s="65">
        <v>2.027369488089E-4</v>
      </c>
      <c r="T237" s="65">
        <v>2.317944755649E-4</v>
      </c>
      <c r="U237" s="65">
        <v>9.14724782181E-5</v>
      </c>
      <c r="V237" s="65">
        <v>0.0015743899239044</v>
      </c>
      <c r="W237" s="65">
        <v>0.0034807149576669</v>
      </c>
      <c r="X237" s="65">
        <v>0.973916944373237</v>
      </c>
      <c r="Y237" s="37">
        <v>1.0</v>
      </c>
      <c r="Z237" s="21">
        <v>1.0</v>
      </c>
      <c r="AA237" s="36">
        <v>0.0</v>
      </c>
    </row>
    <row r="238" ht="14.25" customHeight="1">
      <c r="B238" s="37">
        <v>24424.0</v>
      </c>
      <c r="C238" s="21" t="s">
        <v>262</v>
      </c>
      <c r="D238" s="21" t="s">
        <v>456</v>
      </c>
      <c r="E238" s="21" t="s">
        <v>551</v>
      </c>
      <c r="F238" s="21" t="s">
        <v>575</v>
      </c>
      <c r="G238" s="36" t="s">
        <v>1132</v>
      </c>
      <c r="H238" s="21" t="s">
        <v>1133</v>
      </c>
      <c r="I238" s="144" t="s">
        <v>1134</v>
      </c>
      <c r="J238" s="36" t="b">
        <v>1</v>
      </c>
      <c r="K238" s="119">
        <v>1.44941746207E-5</v>
      </c>
      <c r="L238" s="65">
        <v>2.034813855853E-4</v>
      </c>
      <c r="M238" s="65">
        <v>0.998114841409117</v>
      </c>
      <c r="N238" s="65">
        <v>0.999062550529082</v>
      </c>
      <c r="O238" s="66">
        <v>0.998304466083434</v>
      </c>
      <c r="P238" s="65">
        <v>0.99911758773699</v>
      </c>
      <c r="Q238" s="65">
        <v>4.59463805738E-5</v>
      </c>
      <c r="R238" s="65">
        <v>1.38809844394E-5</v>
      </c>
      <c r="S238" s="65">
        <v>0.0</v>
      </c>
      <c r="T238" s="65">
        <v>0.0</v>
      </c>
      <c r="U238" s="65">
        <v>2.2792022792E-5</v>
      </c>
      <c r="V238" s="65">
        <v>3.904724716907E-4</v>
      </c>
      <c r="W238" s="65">
        <v>0.0</v>
      </c>
      <c r="X238" s="65">
        <v>0.0</v>
      </c>
      <c r="Y238" s="37">
        <v>3.0</v>
      </c>
      <c r="Z238" s="21">
        <v>0.0</v>
      </c>
      <c r="AA238" s="36">
        <v>4.0</v>
      </c>
    </row>
    <row r="239" ht="14.25" customHeight="1">
      <c r="B239" s="37">
        <v>24432.0</v>
      </c>
      <c r="C239" s="21" t="s">
        <v>262</v>
      </c>
      <c r="D239" s="21" t="s">
        <v>261</v>
      </c>
      <c r="E239" s="21" t="s">
        <v>551</v>
      </c>
      <c r="F239" s="21" t="s">
        <v>650</v>
      </c>
      <c r="G239" s="36" t="s">
        <v>1135</v>
      </c>
      <c r="H239" s="21" t="s">
        <v>1136</v>
      </c>
      <c r="I239" s="144" t="s">
        <v>1137</v>
      </c>
      <c r="J239" s="36" t="b">
        <v>1</v>
      </c>
      <c r="K239" s="119">
        <v>2.05013082397E-5</v>
      </c>
      <c r="L239" s="65">
        <v>1.41154170601E-5</v>
      </c>
      <c r="M239" s="65">
        <v>2.8085441018E-5</v>
      </c>
      <c r="N239" s="65">
        <v>7.55938242E-6</v>
      </c>
      <c r="O239" s="66">
        <v>3.9263418273E-6</v>
      </c>
      <c r="P239" s="65">
        <v>0.0</v>
      </c>
      <c r="Q239" s="65">
        <v>4.60161516692E-5</v>
      </c>
      <c r="R239" s="65">
        <v>1.53642872507E-5</v>
      </c>
      <c r="S239" s="65">
        <v>0.0</v>
      </c>
      <c r="T239" s="65">
        <v>3.86981927943E-5</v>
      </c>
      <c r="U239" s="65">
        <v>0.314845323082555</v>
      </c>
      <c r="V239" s="65">
        <v>0.0</v>
      </c>
      <c r="W239" s="65">
        <v>9.41619585687E-5</v>
      </c>
      <c r="X239" s="65">
        <v>5.8034937032E-5</v>
      </c>
      <c r="Y239" s="37">
        <v>0.0</v>
      </c>
      <c r="Z239" s="21">
        <v>1.0</v>
      </c>
      <c r="AA239" s="36">
        <v>0.0</v>
      </c>
    </row>
    <row r="240" ht="14.25" customHeight="1">
      <c r="B240" s="37">
        <v>24469.0</v>
      </c>
      <c r="C240" s="21" t="s">
        <v>456</v>
      </c>
      <c r="D240" s="21" t="s">
        <v>262</v>
      </c>
      <c r="E240" s="21" t="s">
        <v>543</v>
      </c>
      <c r="F240" s="21" t="s">
        <v>452</v>
      </c>
      <c r="G240" s="36" t="s">
        <v>1138</v>
      </c>
      <c r="H240" s="21" t="s">
        <v>1139</v>
      </c>
      <c r="I240" s="144" t="s">
        <v>1140</v>
      </c>
      <c r="J240" s="36" t="b">
        <v>1</v>
      </c>
      <c r="K240" s="119">
        <v>1.45395578605E-5</v>
      </c>
      <c r="L240" s="65">
        <v>2.354839071059E-4</v>
      </c>
      <c r="M240" s="65">
        <v>0.999531612348124</v>
      </c>
      <c r="N240" s="65">
        <v>0.999078939930711</v>
      </c>
      <c r="O240" s="66">
        <v>0.9992725971394</v>
      </c>
      <c r="P240" s="65">
        <v>0.999673243684805</v>
      </c>
      <c r="Q240" s="65">
        <v>2.31905568052E-5</v>
      </c>
      <c r="R240" s="65">
        <v>1.35268575757E-5</v>
      </c>
      <c r="S240" s="65">
        <v>0.0</v>
      </c>
      <c r="T240" s="65">
        <v>2.555821464253E-4</v>
      </c>
      <c r="U240" s="65">
        <v>2.28602779809E-5</v>
      </c>
      <c r="V240" s="65">
        <v>2.624327516074E-4</v>
      </c>
      <c r="W240" s="65">
        <v>0.0</v>
      </c>
      <c r="X240" s="65">
        <v>2.970179398835E-4</v>
      </c>
      <c r="Y240" s="37">
        <v>3.0</v>
      </c>
      <c r="Z240" s="21">
        <v>0.0</v>
      </c>
      <c r="AA240" s="36">
        <v>4.0</v>
      </c>
    </row>
    <row r="241" ht="14.25" customHeight="1">
      <c r="B241" s="37">
        <v>24503.0</v>
      </c>
      <c r="C241" s="21" t="s">
        <v>263</v>
      </c>
      <c r="D241" s="21" t="s">
        <v>456</v>
      </c>
      <c r="E241" s="21" t="s">
        <v>609</v>
      </c>
      <c r="F241" s="21" t="s">
        <v>477</v>
      </c>
      <c r="G241" s="36" t="s">
        <v>1141</v>
      </c>
      <c r="H241" s="21" t="s">
        <v>1142</v>
      </c>
      <c r="I241" s="144" t="s">
        <v>1143</v>
      </c>
      <c r="J241" s="36" t="b">
        <v>1</v>
      </c>
      <c r="K241" s="119">
        <v>7.6934649998E-6</v>
      </c>
      <c r="L241" s="65">
        <v>1.787171601619E-4</v>
      </c>
      <c r="M241" s="65">
        <v>5.0820496922E-6</v>
      </c>
      <c r="N241" s="65">
        <v>0.383943092906625</v>
      </c>
      <c r="O241" s="66">
        <v>7.7321281522E-6</v>
      </c>
      <c r="P241" s="65">
        <v>0.0</v>
      </c>
      <c r="Q241" s="65">
        <v>4.63434980072E-5</v>
      </c>
      <c r="R241" s="65">
        <v>1.3513696131E-5</v>
      </c>
      <c r="S241" s="65">
        <v>0.0</v>
      </c>
      <c r="T241" s="65">
        <v>0.0</v>
      </c>
      <c r="U241" s="65">
        <v>0.0</v>
      </c>
      <c r="V241" s="65">
        <v>0.0</v>
      </c>
      <c r="W241" s="65">
        <v>0.0</v>
      </c>
      <c r="X241" s="65">
        <v>0.0</v>
      </c>
      <c r="Y241" s="37">
        <v>1.0</v>
      </c>
      <c r="Z241" s="21">
        <v>0.0</v>
      </c>
      <c r="AA241" s="36">
        <v>1.0</v>
      </c>
    </row>
    <row r="242" ht="14.25" customHeight="1">
      <c r="B242" s="37">
        <v>24506.0</v>
      </c>
      <c r="C242" s="21" t="s">
        <v>456</v>
      </c>
      <c r="D242" s="21" t="s">
        <v>261</v>
      </c>
      <c r="E242" s="21" t="s">
        <v>526</v>
      </c>
      <c r="F242" s="21" t="s">
        <v>512</v>
      </c>
      <c r="G242" s="36" t="s">
        <v>1144</v>
      </c>
      <c r="H242" s="21" t="s">
        <v>1145</v>
      </c>
      <c r="I242" s="144" t="s">
        <v>1146</v>
      </c>
      <c r="J242" s="36" t="b">
        <v>1</v>
      </c>
      <c r="K242" s="119">
        <v>0.997830188033251</v>
      </c>
      <c r="L242" s="65">
        <v>7.88291188494E-5</v>
      </c>
      <c r="M242" s="65">
        <v>1.77882135297E-5</v>
      </c>
      <c r="N242" s="65">
        <v>3.29325665687E-5</v>
      </c>
      <c r="O242" s="66">
        <v>2.70643319169E-5</v>
      </c>
      <c r="P242" s="65">
        <v>2.50588883877E-5</v>
      </c>
      <c r="Q242" s="65">
        <v>6.953135864274E-4</v>
      </c>
      <c r="R242" s="65">
        <v>3.784397469859E-4</v>
      </c>
      <c r="S242" s="65">
        <v>5.059192552868E-4</v>
      </c>
      <c r="T242" s="65">
        <v>7.97306188799E-4</v>
      </c>
      <c r="U242" s="65">
        <v>0.0016680376565213</v>
      </c>
      <c r="V242" s="65">
        <v>7.885398869759E-4</v>
      </c>
      <c r="W242" s="65">
        <v>3.762227238525E-4</v>
      </c>
      <c r="X242" s="65">
        <v>8.312551953449E-4</v>
      </c>
      <c r="Y242" s="37">
        <v>1.0</v>
      </c>
      <c r="Z242" s="21">
        <v>0.0</v>
      </c>
      <c r="AA242" s="36">
        <v>0.0</v>
      </c>
    </row>
    <row r="243" ht="14.25" customHeight="1">
      <c r="B243" s="37">
        <v>24642.0</v>
      </c>
      <c r="C243" s="21" t="s">
        <v>263</v>
      </c>
      <c r="D243" s="21" t="s">
        <v>456</v>
      </c>
      <c r="E243" s="21" t="s">
        <v>498</v>
      </c>
      <c r="F243" s="21" t="s">
        <v>503</v>
      </c>
      <c r="G243" s="36" t="s">
        <v>1147</v>
      </c>
      <c r="H243" s="21" t="s">
        <v>1148</v>
      </c>
      <c r="I243" s="144" t="s">
        <v>1149</v>
      </c>
      <c r="J243" s="36" t="b">
        <v>1</v>
      </c>
      <c r="K243" s="119">
        <v>4.6088259016E-5</v>
      </c>
      <c r="L243" s="65">
        <v>9.132201104738E-4</v>
      </c>
      <c r="M243" s="65">
        <v>4.8429235965E-5</v>
      </c>
      <c r="N243" s="65">
        <v>5.06810204353E-5</v>
      </c>
      <c r="O243" s="66">
        <v>4.26493794515E-5</v>
      </c>
      <c r="P243" s="65">
        <v>2.50972518509E-5</v>
      </c>
      <c r="Q243" s="65">
        <v>6.943480072212E-4</v>
      </c>
      <c r="R243" s="65">
        <v>3.232366765882E-4</v>
      </c>
      <c r="S243" s="65">
        <v>4.037956793862E-4</v>
      </c>
      <c r="T243" s="65">
        <v>0.994639731057026</v>
      </c>
      <c r="U243" s="65">
        <v>0.0015106080761166</v>
      </c>
      <c r="V243" s="65">
        <v>0.0</v>
      </c>
      <c r="W243" s="65">
        <v>3.758691975192E-4</v>
      </c>
      <c r="X243" s="65">
        <v>5.336179295624E-4</v>
      </c>
      <c r="Y243" s="37">
        <v>0.0</v>
      </c>
      <c r="Z243" s="21">
        <v>1.0</v>
      </c>
      <c r="AA243" s="36">
        <v>0.0</v>
      </c>
    </row>
    <row r="244" ht="14.25" customHeight="1">
      <c r="B244" s="37">
        <v>24748.0</v>
      </c>
      <c r="C244" s="21" t="s">
        <v>263</v>
      </c>
      <c r="D244" s="21" t="s">
        <v>456</v>
      </c>
      <c r="E244" s="21" t="s">
        <v>476</v>
      </c>
      <c r="F244" s="21" t="s">
        <v>477</v>
      </c>
      <c r="G244" s="36" t="s">
        <v>1150</v>
      </c>
      <c r="H244" s="21" t="s">
        <v>1151</v>
      </c>
      <c r="I244" s="144" t="s">
        <v>1152</v>
      </c>
      <c r="J244" s="36" t="b">
        <v>0</v>
      </c>
      <c r="K244" s="119">
        <v>7.261537211569E-4</v>
      </c>
      <c r="L244" s="65">
        <v>8.45090155592E-4</v>
      </c>
      <c r="M244" s="65">
        <v>0.0011791705232727</v>
      </c>
      <c r="N244" s="65">
        <v>2.829188220472E-4</v>
      </c>
      <c r="O244" s="66">
        <v>3.156662868405E-4</v>
      </c>
      <c r="P244" s="65">
        <v>6.998425354295E-4</v>
      </c>
      <c r="Q244" s="65">
        <v>1.36976919389E-4</v>
      </c>
      <c r="R244" s="65">
        <v>2.770046563163E-4</v>
      </c>
      <c r="S244" s="65">
        <v>0.992369477911646</v>
      </c>
      <c r="T244" s="65">
        <v>0.0017670939682684</v>
      </c>
      <c r="U244" s="65">
        <v>1.96510840848E-4</v>
      </c>
      <c r="V244" s="65">
        <v>1.295840352468E-4</v>
      </c>
      <c r="W244" s="65">
        <v>2.804524633074E-4</v>
      </c>
      <c r="X244" s="65">
        <v>6.882312456985E-4</v>
      </c>
      <c r="Y244" s="37">
        <v>0.0</v>
      </c>
      <c r="Z244" s="21">
        <v>1.0</v>
      </c>
      <c r="AA244" s="36">
        <v>0.0</v>
      </c>
    </row>
    <row r="245" ht="14.25" customHeight="1">
      <c r="B245" s="37">
        <v>24775.0</v>
      </c>
      <c r="C245" s="21" t="s">
        <v>262</v>
      </c>
      <c r="D245" s="21" t="s">
        <v>456</v>
      </c>
      <c r="E245" s="21" t="s">
        <v>551</v>
      </c>
      <c r="F245" s="21" t="s">
        <v>575</v>
      </c>
      <c r="G245" s="36" t="s">
        <v>1153</v>
      </c>
      <c r="H245" s="21" t="s">
        <v>1154</v>
      </c>
      <c r="I245" s="144" t="s">
        <v>1155</v>
      </c>
      <c r="J245" s="36" t="b">
        <v>1</v>
      </c>
      <c r="K245" s="119">
        <v>4.233442161E-6</v>
      </c>
      <c r="L245" s="65">
        <v>4.54877186504E-5</v>
      </c>
      <c r="M245" s="65">
        <v>1.01162355464E-5</v>
      </c>
      <c r="N245" s="65">
        <v>9.3277177414E-6</v>
      </c>
      <c r="O245" s="66">
        <v>0.0</v>
      </c>
      <c r="P245" s="65">
        <v>0.0</v>
      </c>
      <c r="Q245" s="65">
        <v>0.0</v>
      </c>
      <c r="R245" s="65">
        <v>0.0</v>
      </c>
      <c r="S245" s="65">
        <v>0.0</v>
      </c>
      <c r="T245" s="65">
        <v>0.0</v>
      </c>
      <c r="U245" s="65">
        <v>0.0</v>
      </c>
      <c r="V245" s="65">
        <v>0.938810110974106</v>
      </c>
      <c r="W245" s="65">
        <v>0.0</v>
      </c>
      <c r="X245" s="65">
        <v>0.0</v>
      </c>
      <c r="Y245" s="37">
        <v>0.0</v>
      </c>
      <c r="Z245" s="21">
        <v>1.0</v>
      </c>
      <c r="AA245" s="36">
        <v>0.0</v>
      </c>
    </row>
    <row r="246" ht="14.25" customHeight="1">
      <c r="B246" s="37">
        <v>24863.0</v>
      </c>
      <c r="C246" s="21" t="s">
        <v>263</v>
      </c>
      <c r="D246" s="21" t="s">
        <v>261</v>
      </c>
      <c r="E246" s="21" t="s">
        <v>574</v>
      </c>
      <c r="F246" s="21" t="s">
        <v>462</v>
      </c>
      <c r="G246" s="36" t="s">
        <v>1156</v>
      </c>
      <c r="H246" s="21" t="s">
        <v>1157</v>
      </c>
      <c r="I246" s="144" t="s">
        <v>1158</v>
      </c>
      <c r="J246" s="36" t="b">
        <v>1</v>
      </c>
      <c r="K246" s="119">
        <v>1.35596093137E-5</v>
      </c>
      <c r="L246" s="65">
        <v>1.80729464279E-5</v>
      </c>
      <c r="M246" s="65">
        <v>1.77242561509E-5</v>
      </c>
      <c r="N246" s="65">
        <v>2.00526450816E-5</v>
      </c>
      <c r="O246" s="66">
        <v>5.76165198085E-5</v>
      </c>
      <c r="P246" s="65">
        <v>0.0</v>
      </c>
      <c r="Q246" s="65">
        <v>0.0</v>
      </c>
      <c r="R246" s="65">
        <v>0.0</v>
      </c>
      <c r="S246" s="65">
        <v>0.0</v>
      </c>
      <c r="T246" s="65">
        <v>0.0</v>
      </c>
      <c r="U246" s="65">
        <v>0.0</v>
      </c>
      <c r="V246" s="65">
        <v>0.314514016243122</v>
      </c>
      <c r="W246" s="65">
        <v>9.36066647945E-5</v>
      </c>
      <c r="X246" s="65">
        <v>0.0</v>
      </c>
      <c r="Y246" s="37">
        <v>0.0</v>
      </c>
      <c r="Z246" s="21">
        <v>1.0</v>
      </c>
      <c r="AA246" s="36">
        <v>0.0</v>
      </c>
    </row>
    <row r="247" ht="14.25" customHeight="1">
      <c r="B247" s="37">
        <v>24914.0</v>
      </c>
      <c r="C247" s="21" t="s">
        <v>261</v>
      </c>
      <c r="D247" s="21" t="s">
        <v>263</v>
      </c>
      <c r="E247" s="21" t="s">
        <v>462</v>
      </c>
      <c r="F247" s="21" t="s">
        <v>574</v>
      </c>
      <c r="G247" s="36" t="s">
        <v>1159</v>
      </c>
      <c r="H247" s="21" t="s">
        <v>1160</v>
      </c>
      <c r="I247" s="144" t="s">
        <v>1161</v>
      </c>
      <c r="J247" s="36" t="b">
        <v>1</v>
      </c>
      <c r="K247" s="119">
        <v>0.995252798049192</v>
      </c>
      <c r="L247" s="65">
        <v>7.03003857371E-5</v>
      </c>
      <c r="M247" s="65">
        <v>2.02607559288E-5</v>
      </c>
      <c r="N247" s="65">
        <v>2.75696059797E-5</v>
      </c>
      <c r="O247" s="66">
        <v>1.15326508566E-5</v>
      </c>
      <c r="P247" s="65">
        <v>0.0</v>
      </c>
      <c r="Q247" s="65">
        <v>0.0016720109940448</v>
      </c>
      <c r="R247" s="65">
        <v>4.226263586777E-4</v>
      </c>
      <c r="S247" s="65">
        <v>9.017132551848E-4</v>
      </c>
      <c r="T247" s="65">
        <v>0.0017230731696159</v>
      </c>
      <c r="U247" s="65">
        <v>0.0013558728978502</v>
      </c>
      <c r="V247" s="65">
        <v>1.300559240473E-4</v>
      </c>
      <c r="W247" s="65">
        <v>2.808988764044E-4</v>
      </c>
      <c r="X247" s="65">
        <v>2.312406058503E-4</v>
      </c>
      <c r="Y247" s="37">
        <v>1.0</v>
      </c>
      <c r="Z247" s="21">
        <v>0.0</v>
      </c>
      <c r="AA247" s="36">
        <v>0.0</v>
      </c>
    </row>
    <row r="248" ht="14.25" customHeight="1">
      <c r="B248" s="37">
        <v>24990.0</v>
      </c>
      <c r="C248" s="21" t="s">
        <v>263</v>
      </c>
      <c r="D248" s="21" t="s">
        <v>456</v>
      </c>
      <c r="E248" s="21" t="s">
        <v>584</v>
      </c>
      <c r="F248" s="21" t="s">
        <v>609</v>
      </c>
      <c r="G248" s="36" t="s">
        <v>1162</v>
      </c>
      <c r="H248" s="21" t="s">
        <v>1163</v>
      </c>
      <c r="I248" s="144" t="s">
        <v>1164</v>
      </c>
      <c r="J248" s="36" t="b">
        <v>1</v>
      </c>
      <c r="K248" s="119">
        <v>5.16826077857E-5</v>
      </c>
      <c r="L248" s="65">
        <v>7.00906155585E-5</v>
      </c>
      <c r="M248" s="65">
        <v>2.381742675507E-4</v>
      </c>
      <c r="N248" s="65">
        <v>4.77133971341E-4</v>
      </c>
      <c r="O248" s="66">
        <v>0.997630386535972</v>
      </c>
      <c r="P248" s="65">
        <v>7.734530938123E-4</v>
      </c>
      <c r="Q248" s="65">
        <v>4.57603075092E-5</v>
      </c>
      <c r="R248" s="65">
        <v>3.96641766377E-5</v>
      </c>
      <c r="S248" s="65">
        <v>1.001301692199E-4</v>
      </c>
      <c r="T248" s="65">
        <v>3.04978003461E-5</v>
      </c>
      <c r="U248" s="65">
        <v>0.0</v>
      </c>
      <c r="V248" s="65">
        <v>0.0</v>
      </c>
      <c r="W248" s="65">
        <v>9.35366195865E-5</v>
      </c>
      <c r="X248" s="65">
        <v>0.0</v>
      </c>
      <c r="Y248" s="37">
        <v>1.0</v>
      </c>
      <c r="Z248" s="21">
        <v>0.0</v>
      </c>
      <c r="AA248" s="36">
        <v>1.0</v>
      </c>
    </row>
    <row r="249" ht="14.25" customHeight="1">
      <c r="B249" s="37">
        <v>25000.0</v>
      </c>
      <c r="C249" s="21" t="s">
        <v>263</v>
      </c>
      <c r="D249" s="21" t="s">
        <v>456</v>
      </c>
      <c r="E249" s="21" t="s">
        <v>462</v>
      </c>
      <c r="F249" s="21" t="s">
        <v>461</v>
      </c>
      <c r="G249" s="36" t="s">
        <v>1165</v>
      </c>
      <c r="H249" s="21" t="s">
        <v>1166</v>
      </c>
      <c r="I249" s="144" t="s">
        <v>1167</v>
      </c>
      <c r="J249" s="36" t="b">
        <v>0</v>
      </c>
      <c r="K249" s="119">
        <v>0.0010465055189396</v>
      </c>
      <c r="L249" s="65">
        <v>0.001204934941997</v>
      </c>
      <c r="M249" s="65">
        <v>0.994849710997396</v>
      </c>
      <c r="N249" s="65">
        <v>0.995019159226882</v>
      </c>
      <c r="O249" s="66">
        <v>0.997344621897248</v>
      </c>
      <c r="P249" s="65">
        <v>0.999148573861217</v>
      </c>
      <c r="Q249" s="65">
        <v>5.033403495927E-4</v>
      </c>
      <c r="R249" s="65">
        <v>0.0023219403460354</v>
      </c>
      <c r="S249" s="65">
        <v>0.0035056089743589</v>
      </c>
      <c r="T249" s="65">
        <v>0.0012498094802621</v>
      </c>
      <c r="U249" s="65">
        <v>0.0037621943217113</v>
      </c>
      <c r="V249" s="65">
        <v>2.597065316192E-4</v>
      </c>
      <c r="W249" s="65">
        <v>0.0010290953316493</v>
      </c>
      <c r="X249" s="65">
        <v>5.784024524263E-4</v>
      </c>
      <c r="Y249" s="37">
        <v>3.0</v>
      </c>
      <c r="Z249" s="21">
        <v>0.0</v>
      </c>
      <c r="AA249" s="36">
        <v>4.0</v>
      </c>
    </row>
    <row r="250" ht="14.25" customHeight="1">
      <c r="B250" s="37">
        <v>25088.0</v>
      </c>
      <c r="C250" s="21" t="s">
        <v>261</v>
      </c>
      <c r="D250" s="21" t="s">
        <v>456</v>
      </c>
      <c r="E250" s="21" t="s">
        <v>484</v>
      </c>
      <c r="F250" s="21" t="s">
        <v>477</v>
      </c>
      <c r="G250" s="36" t="s">
        <v>1168</v>
      </c>
      <c r="H250" s="21" t="s">
        <v>1169</v>
      </c>
      <c r="I250" s="144" t="s">
        <v>1170</v>
      </c>
      <c r="J250" s="36" t="b">
        <v>1</v>
      </c>
      <c r="K250" s="120">
        <v>0.0011196039422291</v>
      </c>
      <c r="L250" s="112">
        <v>0.0015172461657463</v>
      </c>
      <c r="M250" s="112">
        <v>3.881908782755E-4</v>
      </c>
      <c r="N250" s="112">
        <v>1.208398930288E-4</v>
      </c>
      <c r="O250" s="66">
        <v>5.921078259514E-4</v>
      </c>
      <c r="P250" s="112">
        <v>1.748950629622E-4</v>
      </c>
      <c r="Q250" s="112">
        <v>0.0029993309184874</v>
      </c>
      <c r="R250" s="112">
        <v>0.0012504822338401</v>
      </c>
      <c r="S250" s="112">
        <v>8.072653884964E-4</v>
      </c>
      <c r="T250" s="112">
        <v>0.994545161612054</v>
      </c>
      <c r="U250" s="112">
        <v>1.971047502244E-4</v>
      </c>
      <c r="V250" s="112">
        <v>7.831875734238E-4</v>
      </c>
      <c r="W250" s="112">
        <v>5.632216277105E-4</v>
      </c>
      <c r="X250" s="112">
        <v>0.0016477373035955</v>
      </c>
      <c r="Y250" s="42">
        <v>0.0</v>
      </c>
      <c r="Z250" s="40">
        <v>1.0</v>
      </c>
      <c r="AA250" s="39">
        <v>0.0</v>
      </c>
    </row>
    <row r="251" ht="14.25" customHeight="1">
      <c r="A251" s="24"/>
      <c r="B251" s="34"/>
      <c r="C251" s="34"/>
      <c r="D251" s="34"/>
      <c r="E251" s="34"/>
      <c r="F251" s="34"/>
      <c r="G251" s="34"/>
      <c r="H251" s="34"/>
      <c r="I251" s="34"/>
      <c r="J251" s="34"/>
      <c r="K251" s="21"/>
      <c r="L251" s="21"/>
      <c r="M251" s="21"/>
      <c r="N251" s="21"/>
      <c r="O251" s="34"/>
      <c r="P251" s="21"/>
      <c r="Q251" s="21"/>
      <c r="R251" s="21"/>
      <c r="S251" s="21"/>
      <c r="T251" s="21"/>
      <c r="U251" s="21"/>
      <c r="V251" s="21"/>
      <c r="W251" s="21"/>
      <c r="X251" s="21"/>
      <c r="Y251" s="21"/>
      <c r="Z251" s="21"/>
      <c r="AA251" s="21"/>
    </row>
    <row r="252" ht="14.25" customHeight="1">
      <c r="A252" s="47"/>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row>
    <row r="253" ht="14.25" customHeight="1">
      <c r="A253" s="156" t="s">
        <v>1171</v>
      </c>
      <c r="J253" s="21"/>
      <c r="K253" s="21"/>
      <c r="L253" s="21"/>
      <c r="M253" s="21"/>
      <c r="N253" s="21"/>
      <c r="O253" s="21"/>
      <c r="P253" s="21"/>
      <c r="Q253" s="21"/>
      <c r="R253" s="21"/>
      <c r="S253" s="21"/>
      <c r="T253" s="21"/>
      <c r="U253" s="21"/>
      <c r="V253" s="21"/>
      <c r="W253" s="21"/>
      <c r="X253" s="21"/>
      <c r="Y253" s="21"/>
      <c r="Z253" s="21"/>
      <c r="AA253" s="21"/>
    </row>
    <row r="254" ht="14.25" customHeight="1">
      <c r="J254" s="21"/>
      <c r="K254" s="21"/>
      <c r="L254" s="21"/>
      <c r="M254" s="21"/>
      <c r="N254" s="21"/>
      <c r="O254" s="21"/>
      <c r="P254" s="21"/>
      <c r="Q254" s="21"/>
      <c r="R254" s="21"/>
      <c r="S254" s="21"/>
      <c r="T254" s="21"/>
      <c r="U254" s="21"/>
      <c r="V254" s="21"/>
      <c r="W254" s="21"/>
      <c r="X254" s="21"/>
      <c r="Y254" s="21"/>
      <c r="Z254" s="21"/>
      <c r="AA254" s="21"/>
    </row>
    <row r="255" ht="14.25" customHeight="1">
      <c r="J255" s="21"/>
      <c r="K255" s="21"/>
      <c r="L255" s="21"/>
      <c r="M255" s="21"/>
      <c r="N255" s="21"/>
      <c r="O255" s="21"/>
      <c r="P255" s="21"/>
      <c r="Q255" s="21"/>
      <c r="R255" s="21"/>
      <c r="S255" s="21"/>
      <c r="T255" s="21"/>
      <c r="U255" s="21"/>
      <c r="V255" s="21"/>
      <c r="W255" s="21"/>
      <c r="X255" s="21"/>
      <c r="Y255" s="21"/>
      <c r="Z255" s="21"/>
      <c r="AA255" s="21"/>
    </row>
    <row r="256" ht="14.25" customHeight="1">
      <c r="J256" s="21"/>
      <c r="K256" s="21"/>
      <c r="L256" s="21"/>
      <c r="M256" s="21"/>
      <c r="N256" s="21"/>
      <c r="O256" s="21"/>
      <c r="P256" s="21"/>
      <c r="Q256" s="21"/>
      <c r="R256" s="21"/>
      <c r="S256" s="21"/>
      <c r="T256" s="21"/>
      <c r="U256" s="21"/>
      <c r="V256" s="21"/>
      <c r="W256" s="21"/>
      <c r="X256" s="21"/>
      <c r="Y256" s="21"/>
      <c r="Z256" s="21"/>
      <c r="AA256" s="21"/>
    </row>
    <row r="257" ht="14.25" customHeight="1">
      <c r="J257" s="21"/>
      <c r="K257" s="21"/>
      <c r="L257" s="21"/>
      <c r="M257" s="21"/>
      <c r="N257" s="21"/>
      <c r="O257" s="21"/>
      <c r="P257" s="21"/>
      <c r="Q257" s="21"/>
      <c r="R257" s="21"/>
      <c r="S257" s="21"/>
      <c r="T257" s="21"/>
      <c r="U257" s="21"/>
      <c r="V257" s="21"/>
      <c r="W257" s="21"/>
      <c r="X257" s="21"/>
      <c r="Y257" s="21"/>
      <c r="Z257" s="21"/>
      <c r="AA257" s="21"/>
    </row>
    <row r="258" ht="14.25" customHeight="1">
      <c r="J258" s="21"/>
      <c r="K258" s="21"/>
      <c r="L258" s="21"/>
      <c r="M258" s="21"/>
      <c r="N258" s="21"/>
      <c r="O258" s="21"/>
      <c r="P258" s="21"/>
      <c r="Q258" s="21"/>
      <c r="R258" s="21"/>
      <c r="S258" s="21"/>
      <c r="T258" s="21"/>
      <c r="U258" s="21"/>
      <c r="V258" s="21"/>
      <c r="W258" s="21"/>
      <c r="X258" s="21"/>
      <c r="Y258" s="21"/>
      <c r="Z258" s="21"/>
      <c r="AA258" s="21"/>
    </row>
    <row r="259" ht="14.25" customHeight="1">
      <c r="J259" s="21"/>
      <c r="K259" s="21"/>
      <c r="L259" s="21"/>
      <c r="M259" s="21"/>
      <c r="N259" s="21"/>
      <c r="O259" s="21"/>
      <c r="P259" s="21"/>
      <c r="Q259" s="21"/>
      <c r="R259" s="21"/>
      <c r="S259" s="21"/>
      <c r="T259" s="21"/>
      <c r="U259" s="21"/>
      <c r="V259" s="21"/>
      <c r="W259" s="21"/>
      <c r="X259" s="21"/>
      <c r="Y259" s="21"/>
      <c r="Z259" s="21"/>
      <c r="AA259" s="21"/>
    </row>
    <row r="260" ht="14.25" customHeight="1">
      <c r="J260" s="21"/>
      <c r="K260" s="21"/>
      <c r="L260" s="21"/>
      <c r="M260" s="21"/>
      <c r="N260" s="21"/>
      <c r="O260" s="21"/>
      <c r="P260" s="21"/>
      <c r="Q260" s="21"/>
      <c r="R260" s="21"/>
      <c r="S260" s="21"/>
      <c r="T260" s="21"/>
      <c r="U260" s="21"/>
      <c r="V260" s="21"/>
      <c r="W260" s="21"/>
      <c r="X260" s="21"/>
      <c r="Y260" s="21"/>
      <c r="Z260" s="21"/>
      <c r="AA260" s="21"/>
    </row>
    <row r="261" ht="14.25" customHeight="1">
      <c r="J261" s="21"/>
      <c r="K261" s="21"/>
      <c r="L261" s="21"/>
      <c r="M261" s="21"/>
      <c r="N261" s="21"/>
      <c r="O261" s="21"/>
      <c r="P261" s="21"/>
      <c r="Q261" s="21"/>
      <c r="R261" s="21"/>
      <c r="S261" s="21"/>
      <c r="T261" s="21"/>
      <c r="U261" s="21"/>
      <c r="V261" s="21"/>
      <c r="W261" s="21"/>
      <c r="X261" s="21"/>
      <c r="Y261" s="21"/>
      <c r="Z261" s="21"/>
      <c r="AA261" s="21"/>
    </row>
    <row r="262" ht="14.25" customHeight="1">
      <c r="J262" s="21"/>
      <c r="K262" s="21"/>
      <c r="L262" s="21"/>
      <c r="M262" s="21"/>
      <c r="N262" s="21"/>
      <c r="O262" s="21"/>
      <c r="P262" s="21"/>
      <c r="Q262" s="21"/>
      <c r="R262" s="21"/>
      <c r="S262" s="21"/>
      <c r="T262" s="21"/>
      <c r="U262" s="21"/>
      <c r="V262" s="21"/>
      <c r="W262" s="21"/>
      <c r="X262" s="21"/>
      <c r="Y262" s="21"/>
      <c r="Z262" s="21"/>
      <c r="AA262" s="21"/>
    </row>
    <row r="263" ht="14.25" customHeight="1">
      <c r="J263" s="21"/>
      <c r="K263" s="21"/>
      <c r="L263" s="21"/>
      <c r="M263" s="21"/>
      <c r="N263" s="21"/>
      <c r="O263" s="21"/>
      <c r="P263" s="21"/>
      <c r="Q263" s="21"/>
      <c r="R263" s="21"/>
      <c r="S263" s="21"/>
      <c r="T263" s="21"/>
      <c r="U263" s="21"/>
      <c r="V263" s="21"/>
      <c r="W263" s="21"/>
      <c r="X263" s="21"/>
      <c r="Y263" s="21"/>
      <c r="Z263" s="21"/>
      <c r="AA263" s="21"/>
    </row>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9">
    <mergeCell ref="H1:H2"/>
    <mergeCell ref="I1:I2"/>
    <mergeCell ref="J1:J2"/>
    <mergeCell ref="K1:X1"/>
    <mergeCell ref="Y1:Y2"/>
    <mergeCell ref="Z1:Z2"/>
    <mergeCell ref="AA1:AA2"/>
    <mergeCell ref="A89:A103"/>
    <mergeCell ref="A132:A170"/>
    <mergeCell ref="A171:A215"/>
    <mergeCell ref="A216:A250"/>
    <mergeCell ref="A253:I265"/>
    <mergeCell ref="A1:A2"/>
    <mergeCell ref="B1:B2"/>
    <mergeCell ref="C1:C2"/>
    <mergeCell ref="D1:D2"/>
    <mergeCell ref="E1:E2"/>
    <mergeCell ref="F1:F2"/>
    <mergeCell ref="G1:G2"/>
  </mergeCells>
  <conditionalFormatting sqref="I96:J96">
    <cfRule type="colorScale" priority="1">
      <colorScale>
        <cfvo type="min"/>
        <cfvo type="max"/>
        <color rgb="FFFCFCFF"/>
        <color rgb="FF63BE7B"/>
      </colorScale>
    </cfRule>
  </conditionalFormatting>
  <conditionalFormatting sqref="K3:X250">
    <cfRule type="colorScale" priority="2">
      <colorScale>
        <cfvo type="min"/>
        <cfvo type="max"/>
        <color rgb="FFFCFCFF"/>
        <color rgb="FF63BE7B"/>
      </colorScale>
    </cfRule>
  </conditionalFormatting>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8.63"/>
    <col customWidth="1" min="7" max="7" width="10.63"/>
    <col customWidth="1" min="8" max="8" width="11.75"/>
    <col customWidth="1" min="9" max="9" width="9.63"/>
    <col customWidth="1" min="10" max="10" width="10.88"/>
    <col customWidth="1" min="11" max="11" width="8.63"/>
    <col customWidth="1" min="12" max="12" width="11.0"/>
    <col customWidth="1" min="13" max="13" width="8.63"/>
    <col customWidth="1" min="14" max="14" width="10.63"/>
    <col customWidth="1" min="15" max="16" width="8.63"/>
    <col customWidth="1" min="17" max="17" width="10.63"/>
    <col customWidth="1" min="18" max="18" width="8.63"/>
    <col customWidth="1" min="19" max="19" width="14.25"/>
    <col customWidth="1" min="20" max="20" width="12.88"/>
    <col customWidth="1" min="21" max="26" width="8.63"/>
  </cols>
  <sheetData>
    <row r="1" ht="14.25" customHeight="1">
      <c r="A1" s="142" t="s">
        <v>1172</v>
      </c>
      <c r="B1" s="142" t="s">
        <v>428</v>
      </c>
      <c r="C1" s="22" t="s">
        <v>431</v>
      </c>
      <c r="D1" s="23" t="s">
        <v>433</v>
      </c>
      <c r="E1" s="91" t="s">
        <v>434</v>
      </c>
      <c r="S1" s="142" t="s">
        <v>1173</v>
      </c>
      <c r="T1" s="23" t="s">
        <v>1174</v>
      </c>
    </row>
    <row r="2" ht="14.25" customHeight="1">
      <c r="A2" s="96"/>
      <c r="B2" s="96"/>
      <c r="C2" s="26"/>
      <c r="D2" s="27"/>
      <c r="E2" s="24" t="s">
        <v>438</v>
      </c>
      <c r="F2" s="24" t="s">
        <v>439</v>
      </c>
      <c r="G2" s="24" t="s">
        <v>1175</v>
      </c>
      <c r="H2" s="24" t="s">
        <v>1176</v>
      </c>
      <c r="I2" s="101" t="s">
        <v>1177</v>
      </c>
      <c r="J2" s="101" t="s">
        <v>360</v>
      </c>
      <c r="K2" s="24" t="s">
        <v>444</v>
      </c>
      <c r="L2" s="24" t="s">
        <v>445</v>
      </c>
      <c r="M2" s="24" t="s">
        <v>446</v>
      </c>
      <c r="N2" s="24" t="s">
        <v>447</v>
      </c>
      <c r="O2" s="24" t="s">
        <v>448</v>
      </c>
      <c r="P2" s="24" t="s">
        <v>449</v>
      </c>
      <c r="Q2" s="24" t="s">
        <v>450</v>
      </c>
      <c r="R2" s="24" t="s">
        <v>451</v>
      </c>
      <c r="S2" s="96"/>
      <c r="T2" s="27"/>
    </row>
    <row r="3" ht="14.25" customHeight="1">
      <c r="A3" s="157" t="s">
        <v>1178</v>
      </c>
      <c r="B3" s="12" t="s">
        <v>676</v>
      </c>
      <c r="C3" s="12" t="s">
        <v>677</v>
      </c>
      <c r="D3" s="12" t="b">
        <v>1</v>
      </c>
      <c r="E3" s="158">
        <v>0.0021111460902716</v>
      </c>
      <c r="F3" s="159">
        <v>0.0021895797838697</v>
      </c>
      <c r="G3" s="159">
        <v>0.0010943792680791</v>
      </c>
      <c r="H3" s="159">
        <v>6.880589990244E-4</v>
      </c>
      <c r="I3" s="159">
        <v>0.0017558045512302</v>
      </c>
      <c r="J3" s="159">
        <v>6.256882570827E-4</v>
      </c>
      <c r="K3" s="159">
        <v>0.0016826518593303</v>
      </c>
      <c r="L3" s="159">
        <v>6.04010630587E-4</v>
      </c>
      <c r="M3" s="159">
        <v>0.0015473488755931</v>
      </c>
      <c r="N3" s="159">
        <v>0.0019800590899523</v>
      </c>
      <c r="O3" s="159">
        <v>6.849163739201E-4</v>
      </c>
      <c r="P3" s="159">
        <v>2.743107941297E-4</v>
      </c>
      <c r="Q3" s="159">
        <v>0.994258373205741</v>
      </c>
      <c r="R3" s="160">
        <v>7.307715729858E-4</v>
      </c>
      <c r="S3" s="12">
        <v>0.0</v>
      </c>
      <c r="T3" s="13">
        <v>1.0</v>
      </c>
    </row>
    <row r="4" ht="14.25" customHeight="1">
      <c r="A4" s="161"/>
      <c r="B4" s="12" t="s">
        <v>680</v>
      </c>
      <c r="C4" s="12" t="s">
        <v>681</v>
      </c>
      <c r="D4" s="12" t="b">
        <v>1</v>
      </c>
      <c r="E4" s="162">
        <v>8.49722353221085E-7</v>
      </c>
      <c r="F4" s="163">
        <v>2.699473670121E-4</v>
      </c>
      <c r="G4" s="163">
        <v>4.63568654517E-5</v>
      </c>
      <c r="H4" s="163">
        <v>1.5862603725E-5</v>
      </c>
      <c r="I4" s="163">
        <v>1.691253911024E-4</v>
      </c>
      <c r="J4" s="163">
        <v>0.996897518014411</v>
      </c>
      <c r="K4" s="163">
        <v>0.0</v>
      </c>
      <c r="L4" s="163">
        <v>0.0</v>
      </c>
      <c r="M4" s="163">
        <v>0.0</v>
      </c>
      <c r="N4" s="163">
        <v>6.0974680264E-5</v>
      </c>
      <c r="O4" s="163">
        <v>0.0</v>
      </c>
      <c r="P4" s="163">
        <v>0.0</v>
      </c>
      <c r="Q4" s="163">
        <v>7.480830372171E-4</v>
      </c>
      <c r="R4" s="164">
        <v>0.0</v>
      </c>
      <c r="S4" s="12">
        <v>0.0</v>
      </c>
      <c r="T4" s="13">
        <v>0.0</v>
      </c>
    </row>
    <row r="5" ht="14.25" customHeight="1">
      <c r="A5" s="161"/>
      <c r="B5" s="12" t="s">
        <v>683</v>
      </c>
      <c r="C5" s="12" t="s">
        <v>684</v>
      </c>
      <c r="D5" s="12" t="b">
        <v>0</v>
      </c>
      <c r="E5" s="162">
        <v>5.52916678008E-5</v>
      </c>
      <c r="F5" s="163">
        <v>3.84876903537E-5</v>
      </c>
      <c r="G5" s="163">
        <v>1.311799248416E-4</v>
      </c>
      <c r="H5" s="163">
        <v>9.35980198266E-5</v>
      </c>
      <c r="I5" s="163">
        <v>2.230846452377E-4</v>
      </c>
      <c r="J5" s="163">
        <v>5.246982984783E-4</v>
      </c>
      <c r="K5" s="163">
        <v>0.0</v>
      </c>
      <c r="L5" s="163">
        <v>0.310212330315238</v>
      </c>
      <c r="M5" s="163">
        <v>0.0</v>
      </c>
      <c r="N5" s="163">
        <v>7.6216026706E-6</v>
      </c>
      <c r="O5" s="163">
        <v>0.0</v>
      </c>
      <c r="P5" s="163">
        <v>0.0</v>
      </c>
      <c r="Q5" s="163">
        <v>9.36154278225E-5</v>
      </c>
      <c r="R5" s="164">
        <v>1.733803386695E-4</v>
      </c>
      <c r="S5" s="12">
        <v>0.0</v>
      </c>
      <c r="T5" s="13">
        <v>1.0</v>
      </c>
    </row>
    <row r="6" ht="14.25" customHeight="1">
      <c r="A6" s="161"/>
      <c r="B6" s="12" t="s">
        <v>686</v>
      </c>
      <c r="C6" s="12" t="s">
        <v>687</v>
      </c>
      <c r="D6" s="12" t="b">
        <v>1</v>
      </c>
      <c r="E6" s="162">
        <v>0.0011756072977887</v>
      </c>
      <c r="F6" s="163">
        <v>0.001396603649749</v>
      </c>
      <c r="G6" s="163">
        <v>0.0012090239925223</v>
      </c>
      <c r="H6" s="163">
        <v>0.0013308427021361</v>
      </c>
      <c r="I6" s="163">
        <v>0.0019593933932782</v>
      </c>
      <c r="J6" s="163">
        <v>0.0012710280373831</v>
      </c>
      <c r="K6" s="163">
        <v>8.285957603516E-4</v>
      </c>
      <c r="L6" s="163">
        <v>0.0031389896956372</v>
      </c>
      <c r="M6" s="163">
        <v>8.034548558802E-4</v>
      </c>
      <c r="N6" s="163">
        <v>0.990665528750171</v>
      </c>
      <c r="O6" s="163">
        <v>8.538213980778E-4</v>
      </c>
      <c r="P6" s="163">
        <v>7.855459544383E-4</v>
      </c>
      <c r="Q6" s="163">
        <v>0.0018737118231216</v>
      </c>
      <c r="R6" s="164">
        <v>0.0018624141543475</v>
      </c>
      <c r="S6" s="17">
        <v>0.0</v>
      </c>
      <c r="T6" s="18">
        <v>1.0</v>
      </c>
    </row>
    <row r="7" ht="14.25" customHeight="1">
      <c r="A7" s="157" t="s">
        <v>1179</v>
      </c>
      <c r="B7" s="165" t="s">
        <v>689</v>
      </c>
      <c r="C7" s="165" t="s">
        <v>690</v>
      </c>
      <c r="D7" s="165" t="b">
        <v>0</v>
      </c>
      <c r="E7" s="158">
        <v>3.579473254942E-4</v>
      </c>
      <c r="F7" s="159">
        <v>0.0012828576937089</v>
      </c>
      <c r="G7" s="159">
        <v>4.831052991565E-4</v>
      </c>
      <c r="H7" s="159">
        <v>4.988726554138E-4</v>
      </c>
      <c r="I7" s="159">
        <v>3.684570095107E-4</v>
      </c>
      <c r="J7" s="159">
        <v>3.745598921267E-4</v>
      </c>
      <c r="K7" s="159">
        <v>4.363703176316E-4</v>
      </c>
      <c r="L7" s="159">
        <v>6.007892185643E-4</v>
      </c>
      <c r="M7" s="159">
        <v>0.990619326205366</v>
      </c>
      <c r="N7" s="159">
        <v>3.729724380979E-4</v>
      </c>
      <c r="O7" s="159">
        <v>2.191492625627E-4</v>
      </c>
      <c r="P7" s="159">
        <v>0.001835824809861</v>
      </c>
      <c r="Q7" s="159">
        <v>4.683402023229E-4</v>
      </c>
      <c r="R7" s="160">
        <v>0.0018466670637993</v>
      </c>
      <c r="S7" s="165">
        <v>0.0</v>
      </c>
      <c r="T7" s="10">
        <v>1.0</v>
      </c>
    </row>
    <row r="8" ht="14.25" customHeight="1">
      <c r="A8" s="166"/>
      <c r="B8" s="17" t="s">
        <v>692</v>
      </c>
      <c r="C8" s="17" t="s">
        <v>693</v>
      </c>
      <c r="D8" s="17" t="b">
        <v>1</v>
      </c>
      <c r="E8" s="167">
        <v>0.998891604930482</v>
      </c>
      <c r="F8" s="168">
        <v>0.998760212061324</v>
      </c>
      <c r="G8" s="168">
        <v>0.999206438025862</v>
      </c>
      <c r="H8" s="168">
        <v>0.998843692568435</v>
      </c>
      <c r="I8" s="168">
        <v>0.99948183744281</v>
      </c>
      <c r="J8" s="168">
        <v>0.999625617730744</v>
      </c>
      <c r="K8" s="168">
        <v>0.933639811515917</v>
      </c>
      <c r="L8" s="168">
        <v>0.994147638496751</v>
      </c>
      <c r="M8" s="168">
        <v>0.99868832610231</v>
      </c>
      <c r="N8" s="168">
        <v>0.996764099010956</v>
      </c>
      <c r="O8" s="168">
        <v>0.998991692422349</v>
      </c>
      <c r="P8" s="168">
        <v>0.998687319506432</v>
      </c>
      <c r="Q8" s="168">
        <v>0.999062880704713</v>
      </c>
      <c r="R8" s="169">
        <v>0.998442460911759</v>
      </c>
      <c r="S8" s="17">
        <v>5.0</v>
      </c>
      <c r="T8" s="18">
        <v>8.0</v>
      </c>
    </row>
    <row r="9" ht="14.25" customHeight="1">
      <c r="A9" s="157" t="s">
        <v>1180</v>
      </c>
      <c r="B9" s="165" t="s">
        <v>695</v>
      </c>
      <c r="C9" s="165" t="s">
        <v>696</v>
      </c>
      <c r="D9" s="165" t="b">
        <v>1</v>
      </c>
      <c r="E9" s="162">
        <v>0.997981913033996</v>
      </c>
      <c r="F9" s="163">
        <v>0.0011709685640321</v>
      </c>
      <c r="G9" s="163">
        <v>0.0017291271467876</v>
      </c>
      <c r="H9" s="163">
        <v>6.656507327226E-4</v>
      </c>
      <c r="I9" s="163">
        <v>0.0010836575950514</v>
      </c>
      <c r="J9" s="163">
        <v>8.765119831709E-4</v>
      </c>
      <c r="K9" s="163">
        <v>0.0018154242117841</v>
      </c>
      <c r="L9" s="163">
        <v>0.001558574173351</v>
      </c>
      <c r="M9" s="163">
        <v>0.0025229589262286</v>
      </c>
      <c r="N9" s="163">
        <v>0.0015757142095928</v>
      </c>
      <c r="O9" s="163">
        <v>0.00206080482184</v>
      </c>
      <c r="P9" s="163">
        <v>0.0024856096284667</v>
      </c>
      <c r="Q9" s="163">
        <v>0.0032817627754336</v>
      </c>
      <c r="R9" s="164">
        <v>0.0041794207676006</v>
      </c>
      <c r="S9" s="34">
        <v>1.0</v>
      </c>
      <c r="T9" s="143">
        <v>0.0</v>
      </c>
    </row>
    <row r="10" ht="14.25" customHeight="1">
      <c r="A10" s="161"/>
      <c r="B10" s="12" t="s">
        <v>697</v>
      </c>
      <c r="C10" s="12" t="s">
        <v>698</v>
      </c>
      <c r="D10" s="12" t="b">
        <v>1</v>
      </c>
      <c r="E10" s="162">
        <v>0.0041027038999539</v>
      </c>
      <c r="F10" s="163">
        <v>0.0358165929384275</v>
      </c>
      <c r="G10" s="163">
        <v>0.0028504142246339</v>
      </c>
      <c r="H10" s="163">
        <v>0.386616767293539</v>
      </c>
      <c r="I10" s="163">
        <v>0.0036629193659122</v>
      </c>
      <c r="J10" s="163">
        <v>0.0029472001598481</v>
      </c>
      <c r="K10" s="163">
        <v>6.417602567041E-4</v>
      </c>
      <c r="L10" s="163">
        <v>0.0030945589580754</v>
      </c>
      <c r="M10" s="163">
        <v>0.0025193993751889</v>
      </c>
      <c r="N10" s="163">
        <v>0.0029123703500927</v>
      </c>
      <c r="O10" s="163">
        <v>0.0011314977924699</v>
      </c>
      <c r="P10" s="163">
        <v>0.001312163758037</v>
      </c>
      <c r="Q10" s="163">
        <v>0.0036527114357965</v>
      </c>
      <c r="R10" s="164">
        <v>0.0019678203495774</v>
      </c>
      <c r="S10" s="21">
        <v>1.0</v>
      </c>
      <c r="T10" s="36">
        <v>0.0</v>
      </c>
    </row>
    <row r="11" ht="14.25" customHeight="1">
      <c r="A11" s="161"/>
      <c r="B11" s="12" t="s">
        <v>699</v>
      </c>
      <c r="C11" s="12" t="s">
        <v>700</v>
      </c>
      <c r="D11" s="12" t="b">
        <v>1</v>
      </c>
      <c r="E11" s="162">
        <v>0.997245904657668</v>
      </c>
      <c r="F11" s="163">
        <v>4.639968428527E-4</v>
      </c>
      <c r="G11" s="163">
        <v>0.0078747160375872</v>
      </c>
      <c r="H11" s="163">
        <v>2.362124252038E-4</v>
      </c>
      <c r="I11" s="163">
        <v>3.569550582067E-4</v>
      </c>
      <c r="J11" s="163">
        <v>9.742449601558E-4</v>
      </c>
      <c r="K11" s="163">
        <v>0.0013992430324578</v>
      </c>
      <c r="L11" s="163">
        <v>8.881711748082E-4</v>
      </c>
      <c r="M11" s="163">
        <v>6.051437216338E-4</v>
      </c>
      <c r="N11" s="163">
        <v>9.590208853437E-4</v>
      </c>
      <c r="O11" s="163">
        <v>0.0018641397217105</v>
      </c>
      <c r="P11" s="163">
        <v>0.0010542962572482</v>
      </c>
      <c r="Q11" s="163">
        <v>7.494145199063E-4</v>
      </c>
      <c r="R11" s="164">
        <v>3.470213996529E-4</v>
      </c>
      <c r="S11" s="21">
        <v>1.0</v>
      </c>
      <c r="T11" s="36">
        <v>0.0</v>
      </c>
    </row>
    <row r="12" ht="14.25" customHeight="1">
      <c r="A12" s="161"/>
      <c r="B12" s="12" t="s">
        <v>702</v>
      </c>
      <c r="C12" s="12" t="s">
        <v>703</v>
      </c>
      <c r="D12" s="12" t="b">
        <v>0</v>
      </c>
      <c r="E12" s="162">
        <v>4.894416789807E-4</v>
      </c>
      <c r="F12" s="163">
        <v>0.994176969205073</v>
      </c>
      <c r="G12" s="163">
        <v>0.998962906173202</v>
      </c>
      <c r="H12" s="163">
        <v>0.0066026810036835</v>
      </c>
      <c r="I12" s="163">
        <v>0.0011942305908542</v>
      </c>
      <c r="J12" s="163">
        <v>0.999323002858432</v>
      </c>
      <c r="K12" s="163">
        <v>0.0015164047422111</v>
      </c>
      <c r="L12" s="163">
        <v>0.0010490356941119</v>
      </c>
      <c r="M12" s="163">
        <v>0.0011097659402744</v>
      </c>
      <c r="N12" s="163">
        <v>7.925319108401E-4</v>
      </c>
      <c r="O12" s="163">
        <v>0.0011738908945934</v>
      </c>
      <c r="P12" s="163">
        <v>0.0056386047731445</v>
      </c>
      <c r="Q12" s="163">
        <v>0.0015928042724632</v>
      </c>
      <c r="R12" s="164">
        <v>0.0023116042533518</v>
      </c>
      <c r="S12" s="21">
        <v>2.0</v>
      </c>
      <c r="T12" s="36">
        <v>0.0</v>
      </c>
    </row>
    <row r="13" ht="14.25" customHeight="1">
      <c r="A13" s="161"/>
      <c r="B13" s="12" t="s">
        <v>705</v>
      </c>
      <c r="C13" s="12" t="s">
        <v>706</v>
      </c>
      <c r="D13" s="12" t="b">
        <v>0</v>
      </c>
      <c r="E13" s="162">
        <v>6.341584750993E-4</v>
      </c>
      <c r="F13" s="163">
        <v>0.0010576880307578</v>
      </c>
      <c r="G13" s="163">
        <v>0.998660532736884</v>
      </c>
      <c r="H13" s="163">
        <v>0.611837821376979</v>
      </c>
      <c r="I13" s="163">
        <v>0.999788913750158</v>
      </c>
      <c r="J13" s="163">
        <v>0.999825100567174</v>
      </c>
      <c r="K13" s="163">
        <v>0.0016471449487554</v>
      </c>
      <c r="L13" s="163">
        <v>3.95982101609E-4</v>
      </c>
      <c r="M13" s="163">
        <v>0.0017100895282164</v>
      </c>
      <c r="N13" s="163">
        <v>0.0051905217880321</v>
      </c>
      <c r="O13" s="163">
        <v>4.138261494565E-4</v>
      </c>
      <c r="P13" s="163">
        <v>6.530825496342E-4</v>
      </c>
      <c r="Q13" s="163">
        <v>8.414360508601E-4</v>
      </c>
      <c r="R13" s="164">
        <v>2.305741295826E-4</v>
      </c>
      <c r="S13" s="21">
        <v>3.0</v>
      </c>
      <c r="T13" s="36">
        <v>0.0</v>
      </c>
    </row>
    <row r="14" ht="14.25" customHeight="1">
      <c r="A14" s="161"/>
      <c r="B14" s="12" t="s">
        <v>708</v>
      </c>
      <c r="C14" s="12" t="s">
        <v>709</v>
      </c>
      <c r="D14" s="12" t="b">
        <v>0</v>
      </c>
      <c r="E14" s="162">
        <v>0.0030450292402626</v>
      </c>
      <c r="F14" s="163">
        <v>0.0036244741730236</v>
      </c>
      <c r="G14" s="163">
        <v>0.99914385961336</v>
      </c>
      <c r="H14" s="163">
        <v>0.0020537645844488</v>
      </c>
      <c r="I14" s="163">
        <v>0.0030035804524984</v>
      </c>
      <c r="J14" s="163">
        <v>0.999470232088799</v>
      </c>
      <c r="K14" s="163">
        <v>0.0023557395421174</v>
      </c>
      <c r="L14" s="163">
        <v>0.0441024827476798</v>
      </c>
      <c r="M14" s="163">
        <v>0.0014088759182851</v>
      </c>
      <c r="N14" s="163">
        <v>0.0042537353113202</v>
      </c>
      <c r="O14" s="163">
        <v>0.0030737034857105</v>
      </c>
      <c r="P14" s="163">
        <v>0.0070542129327237</v>
      </c>
      <c r="Q14" s="163">
        <v>0.0026178010471204</v>
      </c>
      <c r="R14" s="164">
        <v>0.0014395117176253</v>
      </c>
      <c r="S14" s="21">
        <v>1.0</v>
      </c>
      <c r="T14" s="36">
        <v>0.0</v>
      </c>
    </row>
    <row r="15" ht="14.25" customHeight="1">
      <c r="A15" s="161"/>
      <c r="B15" s="12" t="s">
        <v>711</v>
      </c>
      <c r="C15" s="12" t="s">
        <v>712</v>
      </c>
      <c r="D15" s="12" t="b">
        <v>1</v>
      </c>
      <c r="E15" s="162">
        <v>3.3977403327E-6</v>
      </c>
      <c r="F15" s="163">
        <v>2.6815708373E-6</v>
      </c>
      <c r="G15" s="163">
        <v>5.34122817726E-5</v>
      </c>
      <c r="H15" s="163">
        <v>8.6027663424E-6</v>
      </c>
      <c r="I15" s="163">
        <v>0.999005868458672</v>
      </c>
      <c r="J15" s="163">
        <v>3.256594604073E-4</v>
      </c>
      <c r="K15" s="163">
        <v>0.0</v>
      </c>
      <c r="L15" s="163">
        <v>0.0</v>
      </c>
      <c r="M15" s="163">
        <v>0.0</v>
      </c>
      <c r="N15" s="163">
        <v>7.596936915E-6</v>
      </c>
      <c r="O15" s="163">
        <v>0.0</v>
      </c>
      <c r="P15" s="163">
        <v>0.0</v>
      </c>
      <c r="Q15" s="163">
        <v>0.0</v>
      </c>
      <c r="R15" s="164">
        <v>0.0</v>
      </c>
      <c r="S15" s="21">
        <v>1.0</v>
      </c>
      <c r="T15" s="36">
        <v>0.0</v>
      </c>
    </row>
    <row r="16" ht="14.25" customHeight="1">
      <c r="A16" s="161"/>
      <c r="B16" s="12" t="s">
        <v>714</v>
      </c>
      <c r="C16" s="12" t="s">
        <v>715</v>
      </c>
      <c r="D16" s="12" t="b">
        <v>1</v>
      </c>
      <c r="E16" s="162">
        <v>6.72933233652E-4</v>
      </c>
      <c r="F16" s="163">
        <v>4.427601349759E-4</v>
      </c>
      <c r="G16" s="163">
        <v>0.997423441589522</v>
      </c>
      <c r="H16" s="163">
        <v>4.143656375281E-4</v>
      </c>
      <c r="I16" s="163">
        <v>7.609823590453E-4</v>
      </c>
      <c r="J16" s="163">
        <v>0.998073169511035</v>
      </c>
      <c r="K16" s="163">
        <v>2.521027662548E-4</v>
      </c>
      <c r="L16" s="163">
        <v>3.807555277543E-4</v>
      </c>
      <c r="M16" s="163">
        <v>1.005025125628E-4</v>
      </c>
      <c r="N16" s="163">
        <v>3.115619894372E-4</v>
      </c>
      <c r="O16" s="163">
        <v>1.959887633109E-4</v>
      </c>
      <c r="P16" s="163">
        <v>0.0</v>
      </c>
      <c r="Q16" s="163">
        <v>4.673333956444E-4</v>
      </c>
      <c r="R16" s="164">
        <v>0.0020745692387483</v>
      </c>
      <c r="S16" s="21">
        <v>1.0</v>
      </c>
      <c r="T16" s="36">
        <v>0.0</v>
      </c>
    </row>
    <row r="17" ht="14.25" customHeight="1">
      <c r="A17" s="166"/>
      <c r="B17" s="17" t="s">
        <v>717</v>
      </c>
      <c r="C17" s="17" t="s">
        <v>718</v>
      </c>
      <c r="D17" s="17" t="b">
        <v>0</v>
      </c>
      <c r="E17" s="167">
        <v>0.998418155931915</v>
      </c>
      <c r="F17" s="168">
        <v>1.190052235031E-4</v>
      </c>
      <c r="G17" s="168">
        <v>2.0316273589E-5</v>
      </c>
      <c r="H17" s="168">
        <v>6.99972998848E-5</v>
      </c>
      <c r="I17" s="168">
        <v>1.15091574529E-5</v>
      </c>
      <c r="J17" s="168">
        <v>0.0</v>
      </c>
      <c r="K17" s="168">
        <v>0.0027871062070225</v>
      </c>
      <c r="L17" s="168">
        <v>2.240320497614E-4</v>
      </c>
      <c r="M17" s="168">
        <v>6.033789219629E-4</v>
      </c>
      <c r="N17" s="168">
        <v>3.419452887537E-4</v>
      </c>
      <c r="O17" s="168">
        <v>0.001373356876594</v>
      </c>
      <c r="P17" s="168">
        <v>5.204944697462E-4</v>
      </c>
      <c r="Q17" s="168">
        <v>2.803214352457E-4</v>
      </c>
      <c r="R17" s="169">
        <v>3.445899379738E-4</v>
      </c>
      <c r="S17" s="40">
        <v>1.0</v>
      </c>
      <c r="T17" s="39">
        <v>0.0</v>
      </c>
    </row>
    <row r="18" ht="14.25" customHeight="1"/>
    <row r="19" ht="14.25" customHeight="1">
      <c r="A19" s="58" t="s">
        <v>1181</v>
      </c>
      <c r="L19" s="170"/>
      <c r="M19" s="170"/>
      <c r="N19" s="170"/>
    </row>
    <row r="20" ht="14.25" customHeight="1">
      <c r="L20" s="170"/>
      <c r="M20" s="170"/>
      <c r="N20" s="170"/>
    </row>
    <row r="21" ht="14.25" customHeight="1">
      <c r="L21" s="170"/>
      <c r="M21" s="170"/>
      <c r="N21" s="170"/>
    </row>
    <row r="22" ht="14.25" customHeight="1">
      <c r="L22" s="170"/>
      <c r="M22" s="170"/>
      <c r="N22" s="170"/>
    </row>
    <row r="23" ht="14.25" customHeight="1">
      <c r="L23" s="170"/>
      <c r="M23" s="170"/>
      <c r="N23" s="170"/>
    </row>
    <row r="24" ht="14.25" customHeight="1">
      <c r="L24" s="170"/>
      <c r="M24" s="170"/>
      <c r="N24" s="170"/>
    </row>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8">
    <mergeCell ref="A1:A2"/>
    <mergeCell ref="B1:B2"/>
    <mergeCell ref="C1:C2"/>
    <mergeCell ref="D1:D2"/>
    <mergeCell ref="E1:R1"/>
    <mergeCell ref="S1:S2"/>
    <mergeCell ref="T1:T2"/>
    <mergeCell ref="A19:K25"/>
  </mergeCells>
  <conditionalFormatting sqref="D10">
    <cfRule type="colorScale" priority="1">
      <colorScale>
        <cfvo type="min"/>
        <cfvo type="max"/>
        <color rgb="FFFCFCFF"/>
        <color rgb="FF63BE7B"/>
      </colorScale>
    </cfRule>
  </conditionalFormatting>
  <conditionalFormatting sqref="E3:R17">
    <cfRule type="colorScale" priority="2">
      <colorScale>
        <cfvo type="min"/>
        <cfvo type="max"/>
        <color rgb="FFFCFCFF"/>
        <color rgb="FF63BE7B"/>
      </colorScale>
    </cfRule>
  </conditionalFormatting>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5"/>
    <col customWidth="1" min="2" max="2" width="16.25"/>
    <col customWidth="1" min="3" max="3" width="17.13"/>
    <col customWidth="1" min="4" max="26" width="8.63"/>
  </cols>
  <sheetData>
    <row r="1" ht="14.25" customHeight="1">
      <c r="A1" s="21"/>
      <c r="B1" s="171" t="s">
        <v>1182</v>
      </c>
      <c r="C1" s="172"/>
      <c r="D1" s="21"/>
      <c r="E1" s="21"/>
      <c r="F1" s="21"/>
      <c r="G1" s="21"/>
    </row>
    <row r="2" ht="14.25" customHeight="1">
      <c r="A2" s="21"/>
      <c r="B2" s="173" t="s">
        <v>1183</v>
      </c>
      <c r="C2" s="174" t="s">
        <v>1184</v>
      </c>
      <c r="D2" s="21"/>
      <c r="E2" s="21"/>
      <c r="F2" s="21"/>
      <c r="G2" s="21"/>
    </row>
    <row r="3" ht="14.25" customHeight="1">
      <c r="A3" s="47" t="s">
        <v>1185</v>
      </c>
      <c r="B3" s="33"/>
      <c r="C3" s="143"/>
      <c r="D3" s="21"/>
      <c r="E3" s="21"/>
      <c r="F3" s="21"/>
      <c r="G3" s="21"/>
    </row>
    <row r="4" ht="14.25" customHeight="1">
      <c r="A4" s="1" t="s">
        <v>1186</v>
      </c>
      <c r="B4" s="175">
        <v>0.076923077</v>
      </c>
      <c r="C4" s="35">
        <v>0.070120356</v>
      </c>
      <c r="D4" s="21"/>
      <c r="E4" s="21"/>
      <c r="F4" s="21"/>
      <c r="G4" s="21"/>
    </row>
    <row r="5" ht="14.25" customHeight="1">
      <c r="A5" s="4" t="s">
        <v>1187</v>
      </c>
      <c r="B5" s="176">
        <v>0.514905149</v>
      </c>
      <c r="C5" s="38">
        <v>0.514905149</v>
      </c>
      <c r="D5" s="21"/>
      <c r="E5" s="21"/>
      <c r="F5" s="21"/>
      <c r="G5" s="21"/>
    </row>
    <row r="6" ht="14.25" customHeight="1">
      <c r="A6" s="4" t="s">
        <v>1188</v>
      </c>
      <c r="B6" s="176">
        <v>0.145748988</v>
      </c>
      <c r="C6" s="38">
        <v>0.137274412</v>
      </c>
      <c r="D6" s="21"/>
      <c r="E6" s="21"/>
      <c r="F6" s="21"/>
      <c r="G6" s="21"/>
    </row>
    <row r="7" ht="14.25" customHeight="1">
      <c r="A7" s="4" t="s">
        <v>1189</v>
      </c>
      <c r="B7" s="176">
        <v>1.0</v>
      </c>
      <c r="C7" s="38">
        <v>0.666666667</v>
      </c>
      <c r="D7" s="21"/>
      <c r="E7" s="21"/>
      <c r="F7" s="21"/>
      <c r="G7" s="21"/>
    </row>
    <row r="8" ht="14.25" customHeight="1">
      <c r="A8" s="4" t="s">
        <v>303</v>
      </c>
      <c r="B8" s="176">
        <v>0.2</v>
      </c>
      <c r="C8" s="38">
        <v>0.162962963</v>
      </c>
      <c r="D8" s="21"/>
      <c r="E8" s="21"/>
      <c r="F8" s="21"/>
      <c r="G8" s="21"/>
    </row>
    <row r="9" ht="14.25" customHeight="1">
      <c r="A9" s="4" t="s">
        <v>304</v>
      </c>
      <c r="B9" s="176">
        <v>0.827586207</v>
      </c>
      <c r="C9" s="38">
        <v>0.827586207</v>
      </c>
      <c r="D9" s="21"/>
      <c r="E9" s="21"/>
      <c r="F9" s="21"/>
      <c r="G9" s="21"/>
    </row>
    <row r="10" ht="14.25" customHeight="1">
      <c r="A10" s="4" t="s">
        <v>1190</v>
      </c>
      <c r="B10" s="176">
        <v>0.078947368</v>
      </c>
      <c r="C10" s="38">
        <v>0.078947368</v>
      </c>
      <c r="D10" s="21"/>
      <c r="E10" s="21"/>
      <c r="F10" s="21"/>
      <c r="G10" s="21"/>
    </row>
    <row r="11" ht="14.25" customHeight="1">
      <c r="A11" s="4" t="s">
        <v>306</v>
      </c>
      <c r="B11" s="176">
        <v>0.05</v>
      </c>
      <c r="C11" s="38">
        <v>0.037804878</v>
      </c>
      <c r="D11" s="21"/>
      <c r="E11" s="21"/>
      <c r="F11" s="21"/>
      <c r="G11" s="21"/>
    </row>
    <row r="12" ht="14.25" customHeight="1">
      <c r="A12" s="4" t="s">
        <v>307</v>
      </c>
      <c r="B12" s="176">
        <v>0.4</v>
      </c>
      <c r="C12" s="38">
        <v>0.321052632</v>
      </c>
      <c r="D12" s="21"/>
      <c r="E12" s="21"/>
      <c r="F12" s="21"/>
      <c r="G12" s="21"/>
    </row>
    <row r="13" ht="14.25" customHeight="1">
      <c r="A13" s="4" t="s">
        <v>1191</v>
      </c>
      <c r="B13" s="176">
        <v>0.197278912</v>
      </c>
      <c r="C13" s="38">
        <v>0.176445578</v>
      </c>
      <c r="D13" s="21"/>
      <c r="E13" s="21"/>
      <c r="F13" s="21"/>
      <c r="G13" s="21"/>
    </row>
    <row r="14" ht="14.25" customHeight="1">
      <c r="A14" s="4" t="s">
        <v>309</v>
      </c>
      <c r="B14" s="176">
        <v>0.80952381</v>
      </c>
      <c r="C14" s="38">
        <v>0.80952381</v>
      </c>
      <c r="D14" s="21"/>
      <c r="E14" s="21"/>
      <c r="F14" s="21"/>
      <c r="G14" s="21"/>
    </row>
    <row r="15" ht="14.25" customHeight="1">
      <c r="A15" s="4" t="s">
        <v>310</v>
      </c>
      <c r="B15" s="176">
        <v>0.172413793</v>
      </c>
      <c r="C15" s="38">
        <v>0.158808351</v>
      </c>
      <c r="D15" s="21"/>
      <c r="E15" s="21"/>
      <c r="F15" s="21"/>
      <c r="G15" s="21"/>
    </row>
    <row r="16" ht="14.25" customHeight="1">
      <c r="A16" s="173" t="s">
        <v>1192</v>
      </c>
      <c r="B16" s="177">
        <v>0.372777275</v>
      </c>
      <c r="C16" s="178">
        <v>0.330174864</v>
      </c>
      <c r="D16" s="21"/>
      <c r="E16" s="21"/>
      <c r="F16" s="21"/>
      <c r="G16" s="21"/>
    </row>
    <row r="17" ht="14.25" customHeight="1">
      <c r="A17" s="21"/>
      <c r="B17" s="21"/>
      <c r="C17" s="21"/>
      <c r="D17" s="21"/>
      <c r="E17" s="21"/>
      <c r="F17" s="21"/>
      <c r="G17" s="21"/>
    </row>
    <row r="18" ht="14.25" customHeight="1">
      <c r="A18" s="156" t="s">
        <v>1193</v>
      </c>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B1:C1"/>
    <mergeCell ref="A18:G23"/>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11.5"/>
    <col customWidth="1" min="3" max="3" width="11.75"/>
    <col customWidth="1" min="4" max="4" width="11.88"/>
    <col customWidth="1" min="5" max="5" width="13.5"/>
    <col customWidth="1" min="6" max="6" width="15.38"/>
    <col customWidth="1" min="7" max="7" width="18.13"/>
    <col customWidth="1" min="8" max="9" width="8.63"/>
    <col customWidth="1" min="10" max="10" width="11.63"/>
    <col customWidth="1" min="11" max="11" width="11.0"/>
    <col customWidth="1" min="12" max="12" width="12.13"/>
    <col customWidth="1" min="13" max="13" width="13.88"/>
    <col customWidth="1" min="14" max="14" width="15.13"/>
    <col customWidth="1" min="15" max="15" width="18.0"/>
    <col customWidth="1" min="16" max="26" width="8.63"/>
  </cols>
  <sheetData>
    <row r="1" ht="14.25" customHeight="1">
      <c r="A1" s="47"/>
      <c r="B1" s="171" t="s">
        <v>1194</v>
      </c>
      <c r="C1" s="179"/>
      <c r="D1" s="179"/>
      <c r="E1" s="179"/>
      <c r="F1" s="179"/>
      <c r="G1" s="179"/>
      <c r="H1" s="179"/>
      <c r="I1" s="179"/>
      <c r="J1" s="179"/>
      <c r="K1" s="179"/>
      <c r="L1" s="179"/>
      <c r="M1" s="179"/>
      <c r="N1" s="179"/>
      <c r="O1" s="179"/>
      <c r="P1" s="179"/>
      <c r="Q1" s="172"/>
    </row>
    <row r="2" ht="14.25" customHeight="1">
      <c r="B2" s="180">
        <v>5.0E-5</v>
      </c>
      <c r="C2" s="90"/>
      <c r="D2" s="90"/>
      <c r="E2" s="90"/>
      <c r="F2" s="90"/>
      <c r="G2" s="90"/>
      <c r="H2" s="90"/>
      <c r="I2" s="181"/>
      <c r="J2" s="182">
        <v>0.9</v>
      </c>
      <c r="K2" s="90"/>
      <c r="L2" s="90"/>
      <c r="M2" s="90"/>
      <c r="N2" s="90"/>
      <c r="O2" s="90"/>
      <c r="P2" s="90"/>
      <c r="Q2" s="181"/>
    </row>
    <row r="3" ht="14.25" customHeight="1">
      <c r="A3" s="2" t="s">
        <v>1195</v>
      </c>
      <c r="B3" s="142" t="s">
        <v>1196</v>
      </c>
      <c r="C3" s="22" t="s">
        <v>1197</v>
      </c>
      <c r="D3" s="22" t="s">
        <v>1198</v>
      </c>
      <c r="E3" s="22" t="s">
        <v>1199</v>
      </c>
      <c r="F3" s="22" t="s">
        <v>1200</v>
      </c>
      <c r="G3" s="22" t="s">
        <v>1201</v>
      </c>
      <c r="H3" s="22" t="s">
        <v>1202</v>
      </c>
      <c r="I3" s="23" t="s">
        <v>1203</v>
      </c>
      <c r="J3" s="22" t="s">
        <v>1196</v>
      </c>
      <c r="K3" s="22" t="s">
        <v>1197</v>
      </c>
      <c r="L3" s="22" t="s">
        <v>1198</v>
      </c>
      <c r="M3" s="22" t="s">
        <v>1199</v>
      </c>
      <c r="N3" s="22" t="s">
        <v>1200</v>
      </c>
      <c r="O3" s="22" t="s">
        <v>1201</v>
      </c>
      <c r="P3" s="22" t="s">
        <v>1202</v>
      </c>
      <c r="Q3" s="23" t="s">
        <v>1203</v>
      </c>
    </row>
    <row r="4" ht="14.25" customHeight="1">
      <c r="A4" s="96"/>
      <c r="B4" s="96"/>
      <c r="C4" s="26"/>
      <c r="D4" s="26"/>
      <c r="E4" s="26"/>
      <c r="F4" s="26"/>
      <c r="G4" s="26"/>
      <c r="H4" s="26"/>
      <c r="I4" s="27"/>
      <c r="J4" s="26"/>
      <c r="K4" s="26"/>
      <c r="L4" s="26"/>
      <c r="M4" s="26"/>
      <c r="N4" s="26"/>
      <c r="O4" s="26"/>
      <c r="P4" s="26"/>
      <c r="Q4" s="27"/>
    </row>
    <row r="5" ht="14.25" customHeight="1">
      <c r="A5" s="183" t="s">
        <v>284</v>
      </c>
      <c r="B5" s="184">
        <v>2897.0</v>
      </c>
      <c r="C5" s="165">
        <v>3822.0</v>
      </c>
      <c r="D5" s="165">
        <v>19916.0</v>
      </c>
      <c r="E5" s="165">
        <v>26081.0</v>
      </c>
      <c r="F5" s="185">
        <v>0.757980115122972</v>
      </c>
      <c r="G5" s="186">
        <f t="shared" ref="G5:G24" si="1">D5/E5</f>
        <v>0.7636210268</v>
      </c>
      <c r="H5" s="186">
        <f t="shared" ref="H5:H24" si="2">F5/G5</f>
        <v>0.9926129435</v>
      </c>
      <c r="I5" s="187">
        <v>0.413043039157522</v>
      </c>
      <c r="J5" s="165">
        <v>37.0</v>
      </c>
      <c r="K5" s="165">
        <v>3822.0</v>
      </c>
      <c r="L5" s="165">
        <v>92.0</v>
      </c>
      <c r="M5" s="165">
        <v>26081.0</v>
      </c>
      <c r="N5" s="185">
        <v>0.00968079539508111</v>
      </c>
      <c r="O5" s="186">
        <f t="shared" ref="O5:O24" si="3">L5/M5</f>
        <v>0.003527472106</v>
      </c>
      <c r="P5" s="186">
        <f t="shared" ref="P5:P24" si="4">N5/O5</f>
        <v>2.744400268</v>
      </c>
      <c r="Q5" s="187">
        <v>9.18827342457156E-8</v>
      </c>
    </row>
    <row r="6" ht="14.25" customHeight="1">
      <c r="A6" s="188" t="s">
        <v>287</v>
      </c>
      <c r="B6" s="189">
        <v>155.0</v>
      </c>
      <c r="C6" s="12">
        <v>228.0</v>
      </c>
      <c r="D6" s="12">
        <v>22658.0</v>
      </c>
      <c r="E6" s="12">
        <v>29675.0</v>
      </c>
      <c r="F6" s="190">
        <v>0.679824561403508</v>
      </c>
      <c r="G6" s="191">
        <f t="shared" si="1"/>
        <v>0.7635383319</v>
      </c>
      <c r="H6" s="191">
        <f t="shared" si="2"/>
        <v>0.8903607494</v>
      </c>
      <c r="I6" s="192">
        <v>0.00385352331175822</v>
      </c>
      <c r="J6" s="12">
        <v>3.0</v>
      </c>
      <c r="K6" s="12">
        <v>228.0</v>
      </c>
      <c r="L6" s="12">
        <v>126.0</v>
      </c>
      <c r="M6" s="12">
        <v>29675.0</v>
      </c>
      <c r="N6" s="190">
        <v>0.0131578947368421</v>
      </c>
      <c r="O6" s="191">
        <f t="shared" si="3"/>
        <v>0.004245998315</v>
      </c>
      <c r="P6" s="191">
        <f t="shared" si="4"/>
        <v>3.098893066</v>
      </c>
      <c r="Q6" s="192">
        <v>0.0741346984321563</v>
      </c>
    </row>
    <row r="7" ht="14.25" customHeight="1">
      <c r="A7" s="188" t="s">
        <v>288</v>
      </c>
      <c r="B7" s="189">
        <v>457.0</v>
      </c>
      <c r="C7" s="12">
        <v>669.0</v>
      </c>
      <c r="D7" s="12">
        <v>22356.0</v>
      </c>
      <c r="E7" s="12">
        <v>29234.0</v>
      </c>
      <c r="F7" s="190">
        <v>0.683109118086696</v>
      </c>
      <c r="G7" s="191">
        <f t="shared" si="1"/>
        <v>0.764726004</v>
      </c>
      <c r="H7" s="191">
        <f t="shared" si="2"/>
        <v>0.8932730344</v>
      </c>
      <c r="I7" s="192">
        <v>1.5668680850706E-6</v>
      </c>
      <c r="J7" s="12">
        <v>4.0</v>
      </c>
      <c r="K7" s="12">
        <v>669.0</v>
      </c>
      <c r="L7" s="12">
        <v>125.0</v>
      </c>
      <c r="M7" s="12">
        <v>29234.0</v>
      </c>
      <c r="N7" s="190">
        <v>0.00597907324364723</v>
      </c>
      <c r="O7" s="191">
        <f t="shared" si="3"/>
        <v>0.004275843196</v>
      </c>
      <c r="P7" s="191">
        <f t="shared" si="4"/>
        <v>1.398337818</v>
      </c>
      <c r="Q7" s="192">
        <v>0.378378346449954</v>
      </c>
    </row>
    <row r="8" ht="14.25" customHeight="1">
      <c r="A8" s="188" t="s">
        <v>293</v>
      </c>
      <c r="B8" s="189">
        <v>588.0</v>
      </c>
      <c r="C8" s="12">
        <v>744.0</v>
      </c>
      <c r="D8" s="12">
        <v>22225.0</v>
      </c>
      <c r="E8" s="12">
        <v>29159.0</v>
      </c>
      <c r="F8" s="190">
        <v>0.790322580645161</v>
      </c>
      <c r="G8" s="191">
        <f t="shared" si="1"/>
        <v>0.7622003498</v>
      </c>
      <c r="H8" s="191">
        <f t="shared" si="2"/>
        <v>1.036896114</v>
      </c>
      <c r="I8" s="192">
        <v>0.0773651971870851</v>
      </c>
      <c r="J8" s="12">
        <v>2.0</v>
      </c>
      <c r="K8" s="12">
        <v>744.0</v>
      </c>
      <c r="L8" s="12">
        <v>127.0</v>
      </c>
      <c r="M8" s="12">
        <v>29159.0</v>
      </c>
      <c r="N8" s="190">
        <v>0.00268817204301075</v>
      </c>
      <c r="O8" s="191">
        <f t="shared" si="3"/>
        <v>0.00435543057</v>
      </c>
      <c r="P8" s="191">
        <f t="shared" si="4"/>
        <v>0.6172000677</v>
      </c>
      <c r="Q8" s="192">
        <v>0.77755855752664</v>
      </c>
    </row>
    <row r="9" ht="14.25" customHeight="1">
      <c r="A9" s="188" t="s">
        <v>266</v>
      </c>
      <c r="B9" s="189">
        <v>10107.0</v>
      </c>
      <c r="C9" s="12">
        <v>13203.0</v>
      </c>
      <c r="D9" s="12">
        <v>12706.0</v>
      </c>
      <c r="E9" s="12">
        <v>16700.0</v>
      </c>
      <c r="F9" s="190">
        <v>0.765507839127471</v>
      </c>
      <c r="G9" s="191">
        <f t="shared" si="1"/>
        <v>0.7608383234</v>
      </c>
      <c r="H9" s="191">
        <f t="shared" si="2"/>
        <v>1.00613733</v>
      </c>
      <c r="I9" s="192">
        <v>0.209594500915321</v>
      </c>
      <c r="J9" s="12">
        <v>43.0</v>
      </c>
      <c r="K9" s="12">
        <v>13203.0</v>
      </c>
      <c r="L9" s="12">
        <v>86.0</v>
      </c>
      <c r="M9" s="12">
        <v>16700.0</v>
      </c>
      <c r="N9" s="190">
        <v>0.00325683556767401</v>
      </c>
      <c r="O9" s="191">
        <f t="shared" si="3"/>
        <v>0.005149700599</v>
      </c>
      <c r="P9" s="191">
        <f t="shared" si="4"/>
        <v>0.632432023</v>
      </c>
      <c r="Q9" s="192">
        <v>0.0015290548803166</v>
      </c>
    </row>
    <row r="10" ht="14.25" customHeight="1">
      <c r="A10" s="188" t="s">
        <v>285</v>
      </c>
      <c r="B10" s="189">
        <v>356.0</v>
      </c>
      <c r="C10" s="12">
        <v>372.0</v>
      </c>
      <c r="D10" s="12">
        <v>22457.0</v>
      </c>
      <c r="E10" s="12">
        <v>29531.0</v>
      </c>
      <c r="F10" s="190">
        <v>0.956989247311828</v>
      </c>
      <c r="G10" s="191">
        <f t="shared" si="1"/>
        <v>0.760455115</v>
      </c>
      <c r="H10" s="191">
        <f t="shared" si="2"/>
        <v>1.258442778</v>
      </c>
      <c r="I10" s="192">
        <v>4.4457774226949E-25</v>
      </c>
      <c r="J10" s="12">
        <v>6.0</v>
      </c>
      <c r="K10" s="12">
        <v>372.0</v>
      </c>
      <c r="L10" s="12">
        <v>123.0</v>
      </c>
      <c r="M10" s="12">
        <v>29531.0</v>
      </c>
      <c r="N10" s="190">
        <v>0.0161290322580645</v>
      </c>
      <c r="O10" s="191">
        <f t="shared" si="3"/>
        <v>0.004165114625</v>
      </c>
      <c r="P10" s="191">
        <f t="shared" si="4"/>
        <v>3.872410176</v>
      </c>
      <c r="Q10" s="192">
        <v>0.0050818075457528</v>
      </c>
    </row>
    <row r="11" ht="14.25" customHeight="1">
      <c r="A11" s="188" t="s">
        <v>289</v>
      </c>
      <c r="B11" s="189">
        <v>163.0</v>
      </c>
      <c r="C11" s="12">
        <v>186.0</v>
      </c>
      <c r="D11" s="12">
        <v>22650.0</v>
      </c>
      <c r="E11" s="12">
        <v>29717.0</v>
      </c>
      <c r="F11" s="190">
        <v>0.876344086021505</v>
      </c>
      <c r="G11" s="191">
        <f t="shared" si="1"/>
        <v>0.7621899923</v>
      </c>
      <c r="H11" s="191">
        <f t="shared" si="2"/>
        <v>1.149771179</v>
      </c>
      <c r="I11" s="192">
        <v>1.34319797307057E-4</v>
      </c>
      <c r="J11" s="12">
        <v>0.0</v>
      </c>
      <c r="K11" s="12">
        <v>186.0</v>
      </c>
      <c r="L11" s="12">
        <v>129.0</v>
      </c>
      <c r="M11" s="12">
        <v>29717.0</v>
      </c>
      <c r="N11" s="190">
        <v>0.0</v>
      </c>
      <c r="O11" s="191">
        <f t="shared" si="3"/>
        <v>0.004340949625</v>
      </c>
      <c r="P11" s="191">
        <f t="shared" si="4"/>
        <v>0</v>
      </c>
      <c r="Q11" s="192">
        <v>1.0</v>
      </c>
    </row>
    <row r="12" ht="14.25" customHeight="1">
      <c r="A12" s="188" t="s">
        <v>290</v>
      </c>
      <c r="B12" s="189">
        <v>356.0</v>
      </c>
      <c r="C12" s="12">
        <v>362.0</v>
      </c>
      <c r="D12" s="12">
        <v>22457.0</v>
      </c>
      <c r="E12" s="12">
        <v>29541.0</v>
      </c>
      <c r="F12" s="190">
        <v>0.98342541436464</v>
      </c>
      <c r="G12" s="191">
        <f t="shared" si="1"/>
        <v>0.7601976913</v>
      </c>
      <c r="H12" s="191">
        <f t="shared" si="2"/>
        <v>1.293644305</v>
      </c>
      <c r="I12" s="192">
        <v>5.25092332812418E-34</v>
      </c>
      <c r="J12" s="12">
        <v>0.0</v>
      </c>
      <c r="K12" s="12">
        <v>362.0</v>
      </c>
      <c r="L12" s="12">
        <v>129.0</v>
      </c>
      <c r="M12" s="12">
        <v>29541.0</v>
      </c>
      <c r="N12" s="190">
        <v>0.0</v>
      </c>
      <c r="O12" s="191">
        <f t="shared" si="3"/>
        <v>0.004366812227</v>
      </c>
      <c r="P12" s="191">
        <f t="shared" si="4"/>
        <v>0</v>
      </c>
      <c r="Q12" s="192">
        <v>0.41655362681908</v>
      </c>
    </row>
    <row r="13" ht="14.25" customHeight="1">
      <c r="A13" s="188" t="s">
        <v>291</v>
      </c>
      <c r="B13" s="189">
        <v>125.0</v>
      </c>
      <c r="C13" s="12">
        <v>128.0</v>
      </c>
      <c r="D13" s="12">
        <v>22688.0</v>
      </c>
      <c r="E13" s="12">
        <v>29775.0</v>
      </c>
      <c r="F13" s="190">
        <v>0.9765625</v>
      </c>
      <c r="G13" s="191">
        <f t="shared" si="1"/>
        <v>0.7619815281</v>
      </c>
      <c r="H13" s="191">
        <f t="shared" si="2"/>
        <v>1.281609152</v>
      </c>
      <c r="I13" s="192">
        <v>1.95489631430674E-11</v>
      </c>
      <c r="J13" s="12">
        <v>1.0</v>
      </c>
      <c r="K13" s="12">
        <v>128.0</v>
      </c>
      <c r="L13" s="12">
        <v>128.0</v>
      </c>
      <c r="M13" s="12">
        <v>29775.0</v>
      </c>
      <c r="N13" s="190">
        <v>0.0078125</v>
      </c>
      <c r="O13" s="191">
        <f t="shared" si="3"/>
        <v>0.00429890848</v>
      </c>
      <c r="P13" s="191">
        <f t="shared" si="4"/>
        <v>1.817321777</v>
      </c>
      <c r="Q13" s="192">
        <v>0.42388411279635</v>
      </c>
    </row>
    <row r="14" ht="14.25" customHeight="1">
      <c r="A14" s="188" t="s">
        <v>292</v>
      </c>
      <c r="B14" s="189">
        <v>350.0</v>
      </c>
      <c r="C14" s="12">
        <v>366.0</v>
      </c>
      <c r="D14" s="12">
        <v>22463.0</v>
      </c>
      <c r="E14" s="12">
        <v>29537.0</v>
      </c>
      <c r="F14" s="190">
        <v>0.956284153005464</v>
      </c>
      <c r="G14" s="191">
        <f t="shared" si="1"/>
        <v>0.7605037749</v>
      </c>
      <c r="H14" s="191">
        <f t="shared" si="2"/>
        <v>1.257435117</v>
      </c>
      <c r="I14" s="192">
        <v>2.3639745181845E-24</v>
      </c>
      <c r="J14" s="12">
        <v>2.0</v>
      </c>
      <c r="K14" s="12">
        <v>366.0</v>
      </c>
      <c r="L14" s="12">
        <v>127.0</v>
      </c>
      <c r="M14" s="12">
        <v>29537.0</v>
      </c>
      <c r="N14" s="190">
        <v>0.00546448087431694</v>
      </c>
      <c r="O14" s="191">
        <f t="shared" si="3"/>
        <v>0.004299691912</v>
      </c>
      <c r="P14" s="191">
        <f t="shared" si="4"/>
        <v>1.270900564</v>
      </c>
      <c r="Q14" s="192">
        <v>0.673507978078291</v>
      </c>
    </row>
    <row r="15" ht="14.25" customHeight="1">
      <c r="A15" s="5" t="s">
        <v>296</v>
      </c>
      <c r="B15" s="189">
        <v>108.0</v>
      </c>
      <c r="C15" s="12">
        <v>117.0</v>
      </c>
      <c r="D15" s="12">
        <v>22705.0</v>
      </c>
      <c r="E15" s="12">
        <v>29786.0</v>
      </c>
      <c r="F15" s="190">
        <v>0.923076923076923</v>
      </c>
      <c r="G15" s="191">
        <f t="shared" si="1"/>
        <v>0.7622708655</v>
      </c>
      <c r="H15" s="191">
        <f t="shared" si="2"/>
        <v>1.210956584</v>
      </c>
      <c r="I15" s="192">
        <v>9.78330006049497E-6</v>
      </c>
      <c r="J15" s="12">
        <v>1.0</v>
      </c>
      <c r="K15" s="12">
        <v>117.0</v>
      </c>
      <c r="L15" s="12">
        <v>128.0</v>
      </c>
      <c r="M15" s="12">
        <v>29786.0</v>
      </c>
      <c r="N15" s="190">
        <v>0.00854700854700854</v>
      </c>
      <c r="O15" s="191">
        <f t="shared" si="3"/>
        <v>0.004297320889</v>
      </c>
      <c r="P15" s="193">
        <f t="shared" si="4"/>
        <v>1.988915598</v>
      </c>
      <c r="Q15" s="192">
        <v>0.395812057617451</v>
      </c>
    </row>
    <row r="16" ht="14.25" customHeight="1">
      <c r="A16" s="183" t="s">
        <v>1178</v>
      </c>
      <c r="B16" s="184">
        <v>529.0</v>
      </c>
      <c r="C16" s="165">
        <v>750.0</v>
      </c>
      <c r="D16" s="165">
        <v>22284.0</v>
      </c>
      <c r="E16" s="165">
        <v>29153.0</v>
      </c>
      <c r="F16" s="185">
        <v>0.705333333333333</v>
      </c>
      <c r="G16" s="186">
        <f t="shared" si="1"/>
        <v>0.7643810243</v>
      </c>
      <c r="H16" s="186">
        <f t="shared" si="2"/>
        <v>0.9227509723</v>
      </c>
      <c r="I16" s="187">
        <v>2.09879537177117E-4</v>
      </c>
      <c r="J16" s="165">
        <v>2.0</v>
      </c>
      <c r="K16" s="165">
        <v>750.0</v>
      </c>
      <c r="L16" s="165">
        <v>127.0</v>
      </c>
      <c r="M16" s="165">
        <v>29153.0</v>
      </c>
      <c r="N16" s="185">
        <v>0.00266666666666666</v>
      </c>
      <c r="O16" s="186">
        <f t="shared" si="3"/>
        <v>0.004356326965</v>
      </c>
      <c r="P16" s="191">
        <f t="shared" si="4"/>
        <v>0.6121364829</v>
      </c>
      <c r="Q16" s="187">
        <v>0.778028741683855</v>
      </c>
    </row>
    <row r="17" ht="14.25" customHeight="1">
      <c r="A17" s="188" t="s">
        <v>1204</v>
      </c>
      <c r="B17" s="189">
        <v>262.0</v>
      </c>
      <c r="C17" s="12">
        <v>345.0</v>
      </c>
      <c r="D17" s="12">
        <v>22551.0</v>
      </c>
      <c r="E17" s="12">
        <v>29558.0</v>
      </c>
      <c r="F17" s="190">
        <v>0.759420289855072</v>
      </c>
      <c r="G17" s="191">
        <f t="shared" si="1"/>
        <v>0.762940659</v>
      </c>
      <c r="H17" s="191">
        <f t="shared" si="2"/>
        <v>0.995385789</v>
      </c>
      <c r="I17" s="192">
        <v>0.899248273297041</v>
      </c>
      <c r="J17" s="12">
        <v>2.0</v>
      </c>
      <c r="K17" s="12">
        <v>345.0</v>
      </c>
      <c r="L17" s="12">
        <v>127.0</v>
      </c>
      <c r="M17" s="12">
        <v>29558.0</v>
      </c>
      <c r="N17" s="190">
        <v>0.00579710144927536</v>
      </c>
      <c r="O17" s="191">
        <f t="shared" si="3"/>
        <v>0.00429663712</v>
      </c>
      <c r="P17" s="191">
        <f t="shared" si="4"/>
        <v>1.349218304</v>
      </c>
      <c r="Q17" s="192">
        <v>0.662977576430141</v>
      </c>
    </row>
    <row r="18" ht="14.25" customHeight="1">
      <c r="A18" s="188" t="s">
        <v>1205</v>
      </c>
      <c r="B18" s="189">
        <v>1027.0</v>
      </c>
      <c r="C18" s="12">
        <v>1659.0</v>
      </c>
      <c r="D18" s="12">
        <v>21786.0</v>
      </c>
      <c r="E18" s="12">
        <v>28244.0</v>
      </c>
      <c r="F18" s="190">
        <v>0.619047619047619</v>
      </c>
      <c r="G18" s="191">
        <f t="shared" si="1"/>
        <v>0.7713496672</v>
      </c>
      <c r="H18" s="191">
        <f t="shared" si="2"/>
        <v>0.8025512234</v>
      </c>
      <c r="I18" s="192">
        <v>5.23358257213307E-44</v>
      </c>
      <c r="J18" s="12">
        <v>2.0</v>
      </c>
      <c r="K18" s="12">
        <v>1659.0</v>
      </c>
      <c r="L18" s="12">
        <v>127.0</v>
      </c>
      <c r="M18" s="12">
        <v>28244.0</v>
      </c>
      <c r="N18" s="190">
        <v>0.00120554550934297</v>
      </c>
      <c r="O18" s="191">
        <f t="shared" si="3"/>
        <v>0.004496530237</v>
      </c>
      <c r="P18" s="191">
        <f t="shared" si="4"/>
        <v>0.2681057273</v>
      </c>
      <c r="Q18" s="192">
        <v>0.0411685856434658</v>
      </c>
    </row>
    <row r="19" ht="14.25" customHeight="1">
      <c r="A19" s="188" t="s">
        <v>1206</v>
      </c>
      <c r="B19" s="189">
        <v>784.0</v>
      </c>
      <c r="C19" s="12">
        <v>876.0</v>
      </c>
      <c r="D19" s="12">
        <v>22029.0</v>
      </c>
      <c r="E19" s="12">
        <v>29027.0</v>
      </c>
      <c r="F19" s="190">
        <v>0.894977168949771</v>
      </c>
      <c r="G19" s="191">
        <f t="shared" si="1"/>
        <v>0.7589141144</v>
      </c>
      <c r="H19" s="191">
        <f t="shared" si="2"/>
        <v>1.179286499</v>
      </c>
      <c r="I19" s="192">
        <v>1.34845956786576E-24</v>
      </c>
      <c r="J19" s="12">
        <v>8.0</v>
      </c>
      <c r="K19" s="12">
        <v>876.0</v>
      </c>
      <c r="L19" s="12">
        <v>121.0</v>
      </c>
      <c r="M19" s="12">
        <v>29027.0</v>
      </c>
      <c r="N19" s="190">
        <v>0.0091324200913242</v>
      </c>
      <c r="O19" s="191">
        <f t="shared" si="3"/>
        <v>0.004168532745</v>
      </c>
      <c r="P19" s="191">
        <f t="shared" si="4"/>
        <v>2.190799653</v>
      </c>
      <c r="Q19" s="192">
        <v>0.0327254711886014</v>
      </c>
    </row>
    <row r="20" ht="14.25" customHeight="1">
      <c r="A20" s="188" t="s">
        <v>1207</v>
      </c>
      <c r="B20" s="189">
        <v>490.0</v>
      </c>
      <c r="C20" s="12">
        <v>669.0</v>
      </c>
      <c r="D20" s="12">
        <v>22323.0</v>
      </c>
      <c r="E20" s="12">
        <v>29234.0</v>
      </c>
      <c r="F20" s="190">
        <v>0.732436472346786</v>
      </c>
      <c r="G20" s="191">
        <f t="shared" si="1"/>
        <v>0.7635971814</v>
      </c>
      <c r="H20" s="191">
        <f t="shared" si="2"/>
        <v>0.9591922158</v>
      </c>
      <c r="I20" s="192">
        <v>0.0620003990920359</v>
      </c>
      <c r="J20" s="12">
        <v>15.0</v>
      </c>
      <c r="K20" s="12">
        <v>669.0</v>
      </c>
      <c r="L20" s="12">
        <v>114.0</v>
      </c>
      <c r="M20" s="12">
        <v>29234.0</v>
      </c>
      <c r="N20" s="190">
        <v>0.0224215246636771</v>
      </c>
      <c r="O20" s="191">
        <f t="shared" si="3"/>
        <v>0.003899568995</v>
      </c>
      <c r="P20" s="191">
        <f t="shared" si="4"/>
        <v>5.749744316</v>
      </c>
      <c r="Q20" s="192">
        <v>1.06303935804075E-7</v>
      </c>
    </row>
    <row r="21" ht="14.25" customHeight="1">
      <c r="A21" s="188" t="s">
        <v>1208</v>
      </c>
      <c r="B21" s="189">
        <v>1405.0</v>
      </c>
      <c r="C21" s="12">
        <v>1998.0</v>
      </c>
      <c r="D21" s="12">
        <v>21408.0</v>
      </c>
      <c r="E21" s="12">
        <v>27905.0</v>
      </c>
      <c r="F21" s="190">
        <v>0.703203203203203</v>
      </c>
      <c r="G21" s="191">
        <f t="shared" si="1"/>
        <v>0.7671743415</v>
      </c>
      <c r="H21" s="191">
        <f t="shared" si="2"/>
        <v>0.9166146013</v>
      </c>
      <c r="I21" s="192">
        <v>4.75438609621625E-11</v>
      </c>
      <c r="J21" s="12">
        <v>11.0</v>
      </c>
      <c r="K21" s="12">
        <v>1998.0</v>
      </c>
      <c r="L21" s="12">
        <v>118.0</v>
      </c>
      <c r="M21" s="12">
        <v>27905.0</v>
      </c>
      <c r="N21" s="190">
        <v>0.0055055055055055</v>
      </c>
      <c r="O21" s="191">
        <f t="shared" si="3"/>
        <v>0.004228632861</v>
      </c>
      <c r="P21" s="191">
        <f t="shared" si="4"/>
        <v>1.301958738</v>
      </c>
      <c r="Q21" s="192">
        <v>0.383581246369246</v>
      </c>
    </row>
    <row r="22" ht="14.25" customHeight="1">
      <c r="A22" s="188" t="s">
        <v>286</v>
      </c>
      <c r="B22" s="189">
        <v>405.0</v>
      </c>
      <c r="C22" s="12">
        <v>456.0</v>
      </c>
      <c r="D22" s="12">
        <v>22408.0</v>
      </c>
      <c r="E22" s="12">
        <v>29447.0</v>
      </c>
      <c r="F22" s="190">
        <v>0.888157894736842</v>
      </c>
      <c r="G22" s="191">
        <f t="shared" si="1"/>
        <v>0.7609603695</v>
      </c>
      <c r="H22" s="191">
        <f t="shared" si="2"/>
        <v>1.167153942</v>
      </c>
      <c r="I22" s="192">
        <v>8.66971580665997E-12</v>
      </c>
      <c r="J22" s="12">
        <v>2.0</v>
      </c>
      <c r="K22" s="12">
        <v>456.0</v>
      </c>
      <c r="L22" s="12">
        <v>127.0</v>
      </c>
      <c r="M22" s="12">
        <v>29447.0</v>
      </c>
      <c r="N22" s="190">
        <v>0.0043859649122807</v>
      </c>
      <c r="O22" s="191">
        <f t="shared" si="3"/>
        <v>0.004312833226</v>
      </c>
      <c r="P22" s="191">
        <f t="shared" si="4"/>
        <v>1.016956762</v>
      </c>
      <c r="Q22" s="192">
        <v>0.724798126480001</v>
      </c>
    </row>
    <row r="23" ht="14.25" customHeight="1">
      <c r="A23" s="188" t="s">
        <v>294</v>
      </c>
      <c r="B23" s="189">
        <v>230.0</v>
      </c>
      <c r="C23" s="12">
        <v>294.0</v>
      </c>
      <c r="D23" s="12">
        <v>22583.0</v>
      </c>
      <c r="E23" s="12">
        <v>29609.0</v>
      </c>
      <c r="F23" s="190">
        <v>0.782312925170068</v>
      </c>
      <c r="G23" s="191">
        <f t="shared" si="1"/>
        <v>0.7627072849</v>
      </c>
      <c r="H23" s="191">
        <f t="shared" si="2"/>
        <v>1.025705327</v>
      </c>
      <c r="I23" s="192">
        <v>0.451553197412649</v>
      </c>
      <c r="J23" s="12">
        <v>2.0</v>
      </c>
      <c r="K23" s="12">
        <v>294.0</v>
      </c>
      <c r="L23" s="12">
        <v>127.0</v>
      </c>
      <c r="M23" s="12">
        <v>29609.0</v>
      </c>
      <c r="N23" s="190">
        <v>0.00680272108843537</v>
      </c>
      <c r="O23" s="191">
        <f t="shared" si="3"/>
        <v>0.004289236381</v>
      </c>
      <c r="P23" s="191">
        <f t="shared" si="4"/>
        <v>1.585998179</v>
      </c>
      <c r="Q23" s="192">
        <v>0.359512173843761</v>
      </c>
    </row>
    <row r="24" ht="14.25" customHeight="1">
      <c r="A24" s="194" t="s">
        <v>295</v>
      </c>
      <c r="B24" s="195">
        <v>197.0</v>
      </c>
      <c r="C24" s="17">
        <v>222.0</v>
      </c>
      <c r="D24" s="17">
        <v>22616.0</v>
      </c>
      <c r="E24" s="17">
        <v>29681.0</v>
      </c>
      <c r="F24" s="196">
        <v>0.887387387387387</v>
      </c>
      <c r="G24" s="193">
        <f t="shared" si="1"/>
        <v>0.7619689364</v>
      </c>
      <c r="H24" s="193">
        <f t="shared" si="2"/>
        <v>1.164597853</v>
      </c>
      <c r="I24" s="197">
        <v>2.78173518530025E-6</v>
      </c>
      <c r="J24" s="17">
        <v>4.0</v>
      </c>
      <c r="K24" s="17">
        <v>222.0</v>
      </c>
      <c r="L24" s="17">
        <v>125.0</v>
      </c>
      <c r="M24" s="17">
        <v>29681.0</v>
      </c>
      <c r="N24" s="196">
        <v>0.018018018018018</v>
      </c>
      <c r="O24" s="193">
        <f t="shared" si="3"/>
        <v>0.004211448401</v>
      </c>
      <c r="P24" s="193">
        <f t="shared" si="4"/>
        <v>4.278342342</v>
      </c>
      <c r="Q24" s="197">
        <v>0.0150231415193675</v>
      </c>
    </row>
    <row r="25" ht="14.25" customHeight="1"/>
    <row r="26" ht="14.25" customHeight="1">
      <c r="A26" s="58" t="s">
        <v>1209</v>
      </c>
      <c r="J26" s="91"/>
      <c r="K26" s="91"/>
      <c r="L26" s="91"/>
    </row>
    <row r="27" ht="14.25" customHeight="1">
      <c r="J27" s="91"/>
      <c r="K27" s="91"/>
      <c r="L27" s="91"/>
    </row>
    <row r="28" ht="14.25" customHeight="1">
      <c r="J28" s="91"/>
      <c r="K28" s="91"/>
      <c r="L28" s="91"/>
    </row>
    <row r="29" ht="14.25" customHeight="1">
      <c r="J29" s="91"/>
      <c r="K29" s="91"/>
      <c r="L29" s="91"/>
    </row>
    <row r="30" ht="14.25" customHeight="1"/>
    <row r="31" ht="14.25" customHeight="1">
      <c r="A31" s="25"/>
      <c r="B31" s="25"/>
      <c r="C31" s="25"/>
      <c r="D31" s="25"/>
      <c r="E31" s="25"/>
      <c r="F31" s="25"/>
      <c r="G31" s="25"/>
      <c r="H31" s="25"/>
      <c r="I31" s="25"/>
    </row>
    <row r="32" ht="14.25" customHeight="1">
      <c r="A32" s="25"/>
      <c r="B32" s="25"/>
      <c r="C32" s="25"/>
      <c r="D32" s="25"/>
      <c r="E32" s="25"/>
      <c r="F32" s="25"/>
      <c r="G32" s="25"/>
      <c r="H32" s="25"/>
      <c r="I32" s="25"/>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1">
    <mergeCell ref="E3:E4"/>
    <mergeCell ref="F3:F4"/>
    <mergeCell ref="G3:G4"/>
    <mergeCell ref="H3:H4"/>
    <mergeCell ref="A26:I30"/>
    <mergeCell ref="I3:I4"/>
    <mergeCell ref="J3:J4"/>
    <mergeCell ref="K3:K4"/>
    <mergeCell ref="L3:L4"/>
    <mergeCell ref="M3:M4"/>
    <mergeCell ref="N3:N4"/>
    <mergeCell ref="O3:O4"/>
    <mergeCell ref="P3:P4"/>
    <mergeCell ref="B1:Q1"/>
    <mergeCell ref="B2:I2"/>
    <mergeCell ref="J2:Q2"/>
    <mergeCell ref="A3:A4"/>
    <mergeCell ref="B3:B4"/>
    <mergeCell ref="C3:C4"/>
    <mergeCell ref="D3:D4"/>
    <mergeCell ref="Q3:Q4"/>
  </mergeCells>
  <conditionalFormatting sqref="H6:H7 H10:H16 H18:H19 H21:H22 H24 P5 P9:P10 P18:P20 P24">
    <cfRule type="cellIs" dxfId="0" priority="1" operator="greaterThan">
      <formula>1</formula>
    </cfRule>
  </conditionalFormatting>
  <conditionalFormatting sqref="H6:H7 H10:H16 H18:H19 H21:H22 H24 P5 P9:P10 P18:P20 P24">
    <cfRule type="cellIs" dxfId="1" priority="2" operator="lessThan">
      <formula>1</formula>
    </cfRule>
  </conditionalFormatting>
  <conditionalFormatting sqref="H6:H7 H10:H16 H18:H19 H21:H22 H24 I5:I24 P5 P9:P10 P18:P20 P24 Q5:Q24">
    <cfRule type="cellIs" dxfId="2" priority="3" operator="lessThanOrEqual">
      <formula>0.05</formula>
    </cfRule>
  </conditionalFormatting>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2025-07-15T17:53:05Z</dcterms:created>
  <dc:creator>John</dc:creator>
</cp:coreProperties>
</file>